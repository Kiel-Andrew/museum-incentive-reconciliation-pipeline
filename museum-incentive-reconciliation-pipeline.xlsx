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iele\Downloads\Data Analysis\"/>
    </mc:Choice>
  </mc:AlternateContent>
  <xr:revisionPtr revIDLastSave="0" documentId="8_{20BA869D-855C-42D5-AED2-871C2BA6F030}" xr6:coauthVersionLast="47" xr6:coauthVersionMax="47" xr10:uidLastSave="{00000000-0000-0000-0000-000000000000}"/>
  <bookViews>
    <workbookView xWindow="-108" yWindow="-108" windowWidth="23256" windowHeight="12456" activeTab="5" xr2:uid="{00000000-000D-0000-FFFF-FFFF00000000}"/>
  </bookViews>
  <sheets>
    <sheet name="Transactions" sheetId="1" r:id="rId1"/>
    <sheet name="Admissions" sheetId="2" r:id="rId2"/>
    <sheet name="Exception" sheetId="3" r:id="rId3"/>
    <sheet name="Clean_Data" sheetId="4" r:id="rId4"/>
    <sheet name="Payout_Summary" sheetId="5" r:id="rId5"/>
    <sheet name="Anomaly" sheetId="6" r:id="rId6"/>
  </sheets>
  <definedNames>
    <definedName name="ExternalData_1" localSheetId="2" hidden="1">Exception!$A$1:$H$7</definedName>
    <definedName name="ExternalData_2" localSheetId="3" hidden="1">Clean_Data!$A$1:$V$2116</definedName>
  </definedName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6" l="1"/>
  <c r="E12" i="6"/>
  <c r="E31" i="6"/>
  <c r="E29" i="6"/>
  <c r="E27" i="6"/>
  <c r="F2" i="5"/>
  <c r="H50" i="5"/>
  <c r="H49"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2" i="5"/>
  <c r="A2" i="5" a="1"/>
  <c r="A2" i="5" s="1"/>
  <c r="B2" i="5" s="1"/>
  <c r="B50" i="5" s="1"/>
  <c r="B9" i="5"/>
  <c r="C10" i="5"/>
  <c r="D21" i="5"/>
  <c r="D22" i="5"/>
  <c r="E23" i="5"/>
  <c r="E29" i="5"/>
  <c r="D33" i="5"/>
  <c r="D34" i="5"/>
  <c r="B35" i="5"/>
  <c r="B45" i="5"/>
  <c r="E46" i="5"/>
  <c r="E4" i="5"/>
  <c r="E5" i="5"/>
  <c r="E11" i="5"/>
  <c r="E21" i="5"/>
  <c r="E22" i="5"/>
  <c r="E33" i="5"/>
  <c r="E34" i="5"/>
  <c r="E35" i="5"/>
  <c r="E40" i="5"/>
  <c r="E41" i="5"/>
  <c r="E47" i="5"/>
  <c r="D5" i="5"/>
  <c r="D11" i="5"/>
  <c r="D29" i="5"/>
  <c r="D40" i="5"/>
  <c r="D41" i="5"/>
  <c r="D45" i="5"/>
  <c r="D46" i="5"/>
  <c r="D47" i="5"/>
  <c r="C11" i="5"/>
  <c r="C33" i="5"/>
  <c r="C34" i="5"/>
  <c r="C47" i="5"/>
  <c r="B3" i="5"/>
  <c r="B11" i="5"/>
  <c r="B15" i="5"/>
  <c r="B27" i="5"/>
  <c r="B33" i="5"/>
  <c r="B34" i="5"/>
  <c r="B39" i="5"/>
  <c r="B47" i="5"/>
  <c r="E33" i="6"/>
  <c r="E5" i="6"/>
  <c r="E7" i="6"/>
  <c r="E16" i="6"/>
  <c r="E14" i="6"/>
  <c r="F11" i="5" l="1"/>
  <c r="G11" i="5" s="1"/>
  <c r="F34" i="5"/>
  <c r="G34" i="5" s="1"/>
  <c r="F33" i="5"/>
  <c r="G33" i="5" s="1"/>
  <c r="F40" i="5"/>
  <c r="G40" i="5" s="1"/>
  <c r="F22" i="5"/>
  <c r="G22" i="5" s="1"/>
  <c r="F21" i="5"/>
  <c r="G21" i="5" s="1"/>
  <c r="E31" i="5"/>
  <c r="C31" i="5"/>
  <c r="D31" i="5"/>
  <c r="F31" i="5" s="1"/>
  <c r="G31" i="5" s="1"/>
  <c r="B31" i="5"/>
  <c r="B30" i="5"/>
  <c r="E30" i="5"/>
  <c r="C30" i="5"/>
  <c r="D30" i="5"/>
  <c r="C19" i="5"/>
  <c r="B19" i="5"/>
  <c r="D19" i="5"/>
  <c r="E19" i="5"/>
  <c r="E49" i="5"/>
  <c r="C49" i="5"/>
  <c r="D49" i="5"/>
  <c r="B49" i="5"/>
  <c r="B18" i="5"/>
  <c r="E18" i="5"/>
  <c r="D18" i="5"/>
  <c r="F18" i="5" s="1"/>
  <c r="G18" i="5" s="1"/>
  <c r="C18" i="5"/>
  <c r="C8" i="5"/>
  <c r="E8" i="5"/>
  <c r="B8" i="5"/>
  <c r="D8" i="5"/>
  <c r="E48" i="5"/>
  <c r="D48" i="5"/>
  <c r="F48" i="5" s="1"/>
  <c r="G48" i="5" s="1"/>
  <c r="B48" i="5"/>
  <c r="C48" i="5"/>
  <c r="D38" i="5"/>
  <c r="E38" i="5"/>
  <c r="C38" i="5"/>
  <c r="B38" i="5"/>
  <c r="E7" i="5"/>
  <c r="D7" i="5"/>
  <c r="B7" i="5"/>
  <c r="C7" i="5"/>
  <c r="D37" i="5"/>
  <c r="F37" i="5" s="1"/>
  <c r="G37" i="5" s="1"/>
  <c r="E37" i="5"/>
  <c r="B37" i="5"/>
  <c r="C37" i="5"/>
  <c r="B6" i="5"/>
  <c r="D6" i="5"/>
  <c r="C6" i="5"/>
  <c r="E6" i="5"/>
  <c r="E43" i="5"/>
  <c r="C43" i="5"/>
  <c r="B43" i="5"/>
  <c r="D43" i="5"/>
  <c r="E36" i="5"/>
  <c r="D36" i="5"/>
  <c r="B36" i="5"/>
  <c r="C36" i="5"/>
  <c r="D26" i="5"/>
  <c r="E26" i="5"/>
  <c r="B26" i="5"/>
  <c r="C26" i="5"/>
  <c r="D25" i="5"/>
  <c r="E25" i="5"/>
  <c r="C25" i="5"/>
  <c r="B25" i="5"/>
  <c r="B20" i="5"/>
  <c r="D20" i="5"/>
  <c r="E20" i="5"/>
  <c r="C20" i="5"/>
  <c r="E24" i="5"/>
  <c r="B24" i="5"/>
  <c r="C24" i="5"/>
  <c r="D24" i="5"/>
  <c r="D14" i="5"/>
  <c r="E14" i="5"/>
  <c r="C14" i="5"/>
  <c r="B14" i="5"/>
  <c r="E12" i="5"/>
  <c r="D12" i="5"/>
  <c r="B12" i="5"/>
  <c r="C12" i="5"/>
  <c r="B42" i="5"/>
  <c r="D42" i="5"/>
  <c r="C42" i="5"/>
  <c r="E42" i="5"/>
  <c r="D32" i="5"/>
  <c r="E32" i="5"/>
  <c r="B32" i="5"/>
  <c r="C32" i="5"/>
  <c r="E44" i="5"/>
  <c r="B44" i="5"/>
  <c r="C44" i="5"/>
  <c r="D44" i="5"/>
  <c r="D13" i="5"/>
  <c r="E13" i="5"/>
  <c r="B13" i="5"/>
  <c r="C13" i="5"/>
  <c r="D10" i="5"/>
  <c r="C46" i="5"/>
  <c r="F29" i="5"/>
  <c r="G29" i="5" s="1"/>
  <c r="D9" i="5"/>
  <c r="B16" i="5"/>
  <c r="C16" i="5"/>
  <c r="D16" i="5"/>
  <c r="B46" i="5"/>
  <c r="C45" i="5"/>
  <c r="F46" i="5"/>
  <c r="G46" i="5" s="1"/>
  <c r="B17" i="5"/>
  <c r="C17" i="5"/>
  <c r="B23" i="5"/>
  <c r="C22" i="5"/>
  <c r="D35" i="5"/>
  <c r="F35" i="5" s="1"/>
  <c r="G35" i="5" s="1"/>
  <c r="E10" i="5"/>
  <c r="B41" i="5"/>
  <c r="C41" i="5"/>
  <c r="B5" i="5"/>
  <c r="C5" i="5"/>
  <c r="B22" i="5"/>
  <c r="C21" i="5"/>
  <c r="E45" i="5"/>
  <c r="F45" i="5" s="1"/>
  <c r="G45" i="5" s="1"/>
  <c r="E9" i="5"/>
  <c r="C15" i="5"/>
  <c r="D15" i="5"/>
  <c r="E15" i="5"/>
  <c r="B29" i="5"/>
  <c r="C29" i="5"/>
  <c r="F41" i="5"/>
  <c r="G41" i="5" s="1"/>
  <c r="B10" i="5"/>
  <c r="C9" i="5"/>
  <c r="F5" i="5"/>
  <c r="G5" i="5" s="1"/>
  <c r="E16" i="5"/>
  <c r="B28" i="5"/>
  <c r="C28" i="5"/>
  <c r="D28" i="5"/>
  <c r="C27" i="5"/>
  <c r="D27" i="5"/>
  <c r="E27" i="5"/>
  <c r="B21" i="5"/>
  <c r="C35" i="5"/>
  <c r="D17" i="5"/>
  <c r="E28" i="5"/>
  <c r="B40" i="5"/>
  <c r="C40" i="5"/>
  <c r="B4" i="5"/>
  <c r="C4" i="5"/>
  <c r="D4" i="5"/>
  <c r="F4" i="5" s="1"/>
  <c r="G4" i="5" s="1"/>
  <c r="D23" i="5"/>
  <c r="F23" i="5" s="1"/>
  <c r="G23" i="5" s="1"/>
  <c r="E17" i="5"/>
  <c r="C23" i="5"/>
  <c r="F47" i="5"/>
  <c r="G47" i="5" s="1"/>
  <c r="C39" i="5"/>
  <c r="D39" i="5"/>
  <c r="E39" i="5"/>
  <c r="C3" i="5"/>
  <c r="D3" i="5"/>
  <c r="E3" i="5"/>
  <c r="D2" i="5"/>
  <c r="C2" i="5"/>
  <c r="E2" i="5"/>
  <c r="E50" i="5" s="1"/>
  <c r="F49" i="5"/>
  <c r="G49" i="5" s="1"/>
  <c r="F15" i="5" l="1"/>
  <c r="G15" i="5" s="1"/>
  <c r="D50" i="5"/>
  <c r="F24" i="5"/>
  <c r="G24" i="5" s="1"/>
  <c r="F30" i="5"/>
  <c r="G30" i="5" s="1"/>
  <c r="F17" i="5"/>
  <c r="G17" i="5" s="1"/>
  <c r="F10" i="5"/>
  <c r="G10" i="5" s="1"/>
  <c r="F7" i="5"/>
  <c r="G7" i="5" s="1"/>
  <c r="F32" i="5"/>
  <c r="G32" i="5" s="1"/>
  <c r="F38" i="5"/>
  <c r="G38" i="5" s="1"/>
  <c r="F20" i="5"/>
  <c r="G20" i="5" s="1"/>
  <c r="F14" i="5"/>
  <c r="G14" i="5" s="1"/>
  <c r="F6" i="5"/>
  <c r="G6" i="5" s="1"/>
  <c r="F25" i="5"/>
  <c r="G25" i="5" s="1"/>
  <c r="F3" i="5"/>
  <c r="G3" i="5" s="1"/>
  <c r="F9" i="5"/>
  <c r="G9" i="5" s="1"/>
  <c r="F13" i="5"/>
  <c r="G13" i="5" s="1"/>
  <c r="F19" i="5"/>
  <c r="G19" i="5" s="1"/>
  <c r="F16" i="5"/>
  <c r="G16" i="5" s="1"/>
  <c r="F42" i="5"/>
  <c r="G42" i="5" s="1"/>
  <c r="F27" i="5"/>
  <c r="G27" i="5" s="1"/>
  <c r="F44" i="5"/>
  <c r="G44" i="5" s="1"/>
  <c r="F26" i="5"/>
  <c r="G26" i="5" s="1"/>
  <c r="F39" i="5"/>
  <c r="G39" i="5" s="1"/>
  <c r="C50" i="5"/>
  <c r="F28" i="5"/>
  <c r="G28" i="5" s="1"/>
  <c r="F12" i="5"/>
  <c r="G12" i="5" s="1"/>
  <c r="F36" i="5"/>
  <c r="G36" i="5" s="1"/>
  <c r="F43" i="5"/>
  <c r="G43" i="5" s="1"/>
  <c r="F8" i="5"/>
  <c r="G8" i="5" s="1"/>
  <c r="G2" i="5" l="1"/>
  <c r="F50" i="5"/>
  <c r="G50"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D5070-62C9-424F-9F63-AF7885431DAE}" keepAlive="1" name="Query - duplicate_id" description="Connection to the 'duplicate_id' query in the workbook." type="5" refreshedVersion="0" background="1">
    <dbPr connection="Provider=Microsoft.Mashup.OleDb.1;Data Source=$Workbook$;Location=duplicate_id;Extended Properties=&quot;&quot;" command="SELECT * FROM [duplicate_id]"/>
  </connection>
  <connection id="2" xr16:uid="{CFA0490E-092B-41CB-8F07-E6DE88C4E54A}" keepAlive="1" name="Query - exception_register" description="Connection to the 'exception_register' query in the workbook." type="5" refreshedVersion="8" background="1" saveData="1">
    <dbPr connection="Provider=Microsoft.Mashup.OleDb.1;Data Source=$Workbook$;Location=exception_register;Extended Properties=&quot;&quot;" command="SELECT * FROM [exception_register]"/>
  </connection>
  <connection id="3" xr16:uid="{2F22122E-317A-4CF6-83DB-0A285E9E2C09}" keepAlive="1" name="Query - transaction_clean" description="Connection to the 'transaction_clean' query in the workbook." type="5" refreshedVersion="8" background="1" saveData="1">
    <dbPr connection="Provider=Microsoft.Mashup.OleDb.1;Data Source=$Workbook$;Location=transaction_clean;Extended Properties=&quot;&quot;" command="SELECT * FROM [transaction_clean]"/>
  </connection>
  <connection id="4" xr16:uid="{D606B17F-251C-46F8-9F3E-4DB509A5EFE4}" keepAlive="1" name="Query - transform_raw" description="Connection to the 'transform_raw' query in the workbook." type="5" refreshedVersion="0" background="1">
    <dbPr connection="Provider=Microsoft.Mashup.OleDb.1;Data Source=$Workbook$;Location=transform_raw;Extended Properties=&quot;&quot;" command="SELECT * FROM [transform_ra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<sst xmlns="http://schemas.openxmlformats.org/spreadsheetml/2006/main" count="38094" uniqueCount="2271">
  <si>
    <t>transaction_id</t>
  </si>
  <si>
    <t>date</t>
  </si>
  <si>
    <t>venue</t>
  </si>
  <si>
    <t>associate_id</t>
  </si>
  <si>
    <t>event_type</t>
  </si>
  <si>
    <t>sale_kind</t>
  </si>
  <si>
    <t>product</t>
  </si>
  <si>
    <t>channel</t>
  </si>
  <si>
    <t>status</t>
  </si>
  <si>
    <t>amount_credits</t>
  </si>
  <si>
    <t>original_transaction_id</t>
  </si>
  <si>
    <t>offer_code</t>
  </si>
  <si>
    <t>T00001</t>
  </si>
  <si>
    <t>2026-06-01</t>
  </si>
  <si>
    <t>North Gallery</t>
  </si>
  <si>
    <t>A011</t>
  </si>
  <si>
    <t>SALE</t>
  </si>
  <si>
    <t>NEW</t>
  </si>
  <si>
    <t>Duo</t>
  </si>
  <si>
    <t>DESK</t>
  </si>
  <si>
    <t>COMPLETED</t>
  </si>
  <si>
    <t>T00002</t>
  </si>
  <si>
    <t>A008</t>
  </si>
  <si>
    <t>Single</t>
  </si>
  <si>
    <t>ONLINE</t>
  </si>
  <si>
    <t>T00003</t>
  </si>
  <si>
    <t>A004</t>
  </si>
  <si>
    <t>T00004</t>
  </si>
  <si>
    <t>A002</t>
  </si>
  <si>
    <t>OPEN-DAY</t>
  </si>
  <si>
    <t>T00005</t>
  </si>
  <si>
    <t>A001</t>
  </si>
  <si>
    <t>Circle</t>
  </si>
  <si>
    <t>T00006</t>
  </si>
  <si>
    <t>A003</t>
  </si>
  <si>
    <t>RENEWAL</t>
  </si>
  <si>
    <t>T00007</t>
  </si>
  <si>
    <t>A005</t>
  </si>
  <si>
    <t>T00008</t>
  </si>
  <si>
    <t>T00009</t>
  </si>
  <si>
    <t>A007</t>
  </si>
  <si>
    <t>T00010</t>
  </si>
  <si>
    <t>A012</t>
  </si>
  <si>
    <t>T00011</t>
  </si>
  <si>
    <t>T00012</t>
  </si>
  <si>
    <t>T00013</t>
  </si>
  <si>
    <t>T00014</t>
  </si>
  <si>
    <t>River Annex</t>
  </si>
  <si>
    <t>A017</t>
  </si>
  <si>
    <t>T00015</t>
  </si>
  <si>
    <t>A022</t>
  </si>
  <si>
    <t>T00016</t>
  </si>
  <si>
    <t>A020</t>
  </si>
  <si>
    <t>PENDING</t>
  </si>
  <si>
    <t>T00017</t>
  </si>
  <si>
    <t>A013</t>
  </si>
  <si>
    <t>T00018</t>
  </si>
  <si>
    <t>T00019</t>
  </si>
  <si>
    <t>T00020</t>
  </si>
  <si>
    <t>A016</t>
  </si>
  <si>
    <t>T00021</t>
  </si>
  <si>
    <t>T00022</t>
  </si>
  <si>
    <t>A021</t>
  </si>
  <si>
    <t>T00023</t>
  </si>
  <si>
    <t>A019</t>
  </si>
  <si>
    <t>T00024</t>
  </si>
  <si>
    <t>A014</t>
  </si>
  <si>
    <t>T00025</t>
  </si>
  <si>
    <t>T00026</t>
  </si>
  <si>
    <t>T00027</t>
  </si>
  <si>
    <t>T00028</t>
  </si>
  <si>
    <t>A023</t>
  </si>
  <si>
    <t>T00029</t>
  </si>
  <si>
    <t>A024</t>
  </si>
  <si>
    <t>VOID</t>
  </si>
  <si>
    <t>T00030</t>
  </si>
  <si>
    <t>T00031</t>
  </si>
  <si>
    <t>T00032</t>
  </si>
  <si>
    <t>Garden Wing</t>
  </si>
  <si>
    <t>A030</t>
  </si>
  <si>
    <t>T00033</t>
  </si>
  <si>
    <t>A035</t>
  </si>
  <si>
    <t>T00034</t>
  </si>
  <si>
    <t>A036</t>
  </si>
  <si>
    <t>T00035</t>
  </si>
  <si>
    <t>A026</t>
  </si>
  <si>
    <t>T00036</t>
  </si>
  <si>
    <t>A028</t>
  </si>
  <si>
    <t>T00037</t>
  </si>
  <si>
    <t>A027</t>
  </si>
  <si>
    <t>T00038</t>
  </si>
  <si>
    <t>T00039</t>
  </si>
  <si>
    <t>T00040</t>
  </si>
  <si>
    <t>A029</t>
  </si>
  <si>
    <t>T00041</t>
  </si>
  <si>
    <t>T00042</t>
  </si>
  <si>
    <t>T00043</t>
  </si>
  <si>
    <t>A033</t>
  </si>
  <si>
    <t>T00044</t>
  </si>
  <si>
    <t>T00045</t>
  </si>
  <si>
    <t>T00046</t>
  </si>
  <si>
    <t>T00047</t>
  </si>
  <si>
    <t>A025</t>
  </si>
  <si>
    <t>T00048</t>
  </si>
  <si>
    <t>T00049</t>
  </si>
  <si>
    <t>Clock Hall</t>
  </si>
  <si>
    <t>A038</t>
  </si>
  <si>
    <t>T00050</t>
  </si>
  <si>
    <t>A041</t>
  </si>
  <si>
    <t>T00051</t>
  </si>
  <si>
    <t>A048</t>
  </si>
  <si>
    <t>T00052</t>
  </si>
  <si>
    <t>A046</t>
  </si>
  <si>
    <t>T00053</t>
  </si>
  <si>
    <t>T00054</t>
  </si>
  <si>
    <t>T00055</t>
  </si>
  <si>
    <t>A042</t>
  </si>
  <si>
    <t>T00056</t>
  </si>
  <si>
    <t>A037</t>
  </si>
  <si>
    <t>T00057</t>
  </si>
  <si>
    <t>A040</t>
  </si>
  <si>
    <t>T00058</t>
  </si>
  <si>
    <t>T00059</t>
  </si>
  <si>
    <t>T00060</t>
  </si>
  <si>
    <t>T00061</t>
  </si>
  <si>
    <t>T00062</t>
  </si>
  <si>
    <t>T00063</t>
  </si>
  <si>
    <t>2026-06-02</t>
  </si>
  <si>
    <t>T00064</t>
  </si>
  <si>
    <t>T00065</t>
  </si>
  <si>
    <t>T00066</t>
  </si>
  <si>
    <t>A010</t>
  </si>
  <si>
    <t>T00067</t>
  </si>
  <si>
    <t>T00068</t>
  </si>
  <si>
    <t>T00069</t>
  </si>
  <si>
    <t>T00070</t>
  </si>
  <si>
    <t>T00071</t>
  </si>
  <si>
    <t>A006</t>
  </si>
  <si>
    <t>T00072</t>
  </si>
  <si>
    <t>T00073</t>
  </si>
  <si>
    <t>T00074</t>
  </si>
  <si>
    <t>T00075</t>
  </si>
  <si>
    <t>T00076</t>
  </si>
  <si>
    <t>T00077</t>
  </si>
  <si>
    <t>T00078</t>
  </si>
  <si>
    <t>T00079</t>
  </si>
  <si>
    <t>T00080</t>
  </si>
  <si>
    <t>T00081</t>
  </si>
  <si>
    <t>A015</t>
  </si>
  <si>
    <t>T00082</t>
  </si>
  <si>
    <t>T00083</t>
  </si>
  <si>
    <t>T00084</t>
  </si>
  <si>
    <t>A018</t>
  </si>
  <si>
    <t>T00085</t>
  </si>
  <si>
    <t>T00086</t>
  </si>
  <si>
    <t>T00087</t>
  </si>
  <si>
    <t>T00088</t>
  </si>
  <si>
    <t>T00089</t>
  </si>
  <si>
    <t>T00090</t>
  </si>
  <si>
    <t>T00091</t>
  </si>
  <si>
    <t>T00092</t>
  </si>
  <si>
    <t>A032</t>
  </si>
  <si>
    <t>T00093</t>
  </si>
  <si>
    <t>A034</t>
  </si>
  <si>
    <t>T00094</t>
  </si>
  <si>
    <t>T00095</t>
  </si>
  <si>
    <t>T00096</t>
  </si>
  <si>
    <t>T00097</t>
  </si>
  <si>
    <t>T00098</t>
  </si>
  <si>
    <t>T00099</t>
  </si>
  <si>
    <t>T00100</t>
  </si>
  <si>
    <t>T00101</t>
  </si>
  <si>
    <t>T00102</t>
  </si>
  <si>
    <t>T00103</t>
  </si>
  <si>
    <t>T00104</t>
  </si>
  <si>
    <t>T00105</t>
  </si>
  <si>
    <t>T00106</t>
  </si>
  <si>
    <t>T00107</t>
  </si>
  <si>
    <t>T00108</t>
  </si>
  <si>
    <t>T00109</t>
  </si>
  <si>
    <t>T00110</t>
  </si>
  <si>
    <t>T00111</t>
  </si>
  <si>
    <t>A044</t>
  </si>
  <si>
    <t>T00112</t>
  </si>
  <si>
    <t>T00113</t>
  </si>
  <si>
    <t>T00114</t>
  </si>
  <si>
    <t>T00115</t>
  </si>
  <si>
    <t>A045</t>
  </si>
  <si>
    <t>T00116</t>
  </si>
  <si>
    <t>T00117</t>
  </si>
  <si>
    <t>T00118</t>
  </si>
  <si>
    <t>A039</t>
  </si>
  <si>
    <t>T00119</t>
  </si>
  <si>
    <t>T00120</t>
  </si>
  <si>
    <t>A047</t>
  </si>
  <si>
    <t>T00121</t>
  </si>
  <si>
    <t>T00122</t>
  </si>
  <si>
    <t>T00123</t>
  </si>
  <si>
    <t>T00124</t>
  </si>
  <si>
    <t>T00125</t>
  </si>
  <si>
    <t>T00126</t>
  </si>
  <si>
    <t>T00127</t>
  </si>
  <si>
    <t>T00128</t>
  </si>
  <si>
    <t>2026-06-03</t>
  </si>
  <si>
    <t>T00129</t>
  </si>
  <si>
    <t>T00130</t>
  </si>
  <si>
    <t>T00131</t>
  </si>
  <si>
    <t>T00132</t>
  </si>
  <si>
    <t>T00133</t>
  </si>
  <si>
    <t>T00134</t>
  </si>
  <si>
    <t>A009</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</si>
  <si>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</si>
  <si>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</si>
  <si>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</si>
  <si>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</si>
  <si>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</si>
  <si>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</si>
  <si>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</si>
  <si>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</si>
  <si>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</si>
  <si>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</si>
  <si>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</si>
  <si>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</si>
  <si>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</si>
  <si>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</si>
  <si>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</si>
  <si>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</si>
  <si>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</si>
  <si>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</si>
  <si>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</si>
  <si>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</si>
  <si>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</si>
  <si>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</si>
  <si>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</si>
  <si>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</si>
  <si>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</si>
  <si>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</si>
  <si>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</si>
  <si>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</si>
  <si>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</si>
  <si>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</si>
  <si>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</si>
  <si>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A031</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</si>
  <si>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</si>
  <si>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</si>
  <si>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</si>
  <si>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</si>
  <si>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</si>
  <si>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</si>
  <si>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</si>
  <si>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</si>
  <si>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</si>
  <si>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</si>
  <si>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</si>
  <si>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</si>
  <si>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</si>
  <si>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</si>
  <si>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</si>
  <si>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</si>
  <si>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</si>
  <si>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</si>
  <si>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</si>
  <si>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</si>
  <si>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</si>
  <si>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</si>
  <si>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A043</t>
  </si>
  <si>
    <t>T00188</t>
  </si>
  <si>
    <t>T00189</t>
  </si>
  <si>
    <t>T00190</t>
  </si>
  <si>
    <t>T00191</t>
  </si>
  <si>
    <t>T00192</t>
  </si>
  <si>
    <t>T00193</t>
  </si>
  <si>
    <t>2026-06-04</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</si>
  <si>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</si>
  <si>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</si>
  <si>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</si>
  <si>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</si>
  <si>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</si>
  <si>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</si>
  <si>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</si>
  <si>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</si>
  <si>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</si>
  <si>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</si>
  <si>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</si>
  <si>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</si>
  <si>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</si>
  <si>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</si>
  <si>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</si>
  <si>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</si>
  <si>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</si>
  <si>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</si>
  <si>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</si>
  <si>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</si>
  <si>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</si>
  <si>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</si>
  <si>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</si>
  <si>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</si>
  <si>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</si>
  <si>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</si>
  <si>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</si>
  <si>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</si>
  <si>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</si>
  <si>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</si>
  <si>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</si>
  <si>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</si>
  <si>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</si>
  <si>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</si>
  <si>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</si>
  <si>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</si>
  <si>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</si>
  <si>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</si>
  <si>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</si>
  <si>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</si>
  <si>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</si>
  <si>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</si>
  <si>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</si>
  <si>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</si>
  <si>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</si>
  <si>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</si>
  <si>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</si>
  <si>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</si>
  <si>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</si>
  <si>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</si>
  <si>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</si>
  <si>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</si>
  <si>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</si>
  <si>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</si>
  <si>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</si>
  <si>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</si>
  <si>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</si>
  <si>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</si>
  <si>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</si>
  <si>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</si>
  <si>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</si>
  <si>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</si>
  <si>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</si>
  <si>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</si>
  <si>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</si>
  <si>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</si>
  <si>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</si>
  <si>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</si>
  <si>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2026-06-05</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</si>
  <si>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</si>
  <si>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</si>
  <si>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</si>
  <si>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</si>
  <si>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</si>
  <si>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</si>
  <si>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</si>
  <si>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</si>
  <si>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</si>
  <si>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</si>
  <si>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</si>
  <si>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</si>
  <si>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</si>
  <si>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</si>
  <si>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</si>
  <si>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</si>
  <si>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</si>
  <si>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</si>
  <si>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</si>
  <si>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</si>
  <si>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</si>
  <si>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</si>
  <si>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</si>
  <si>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</si>
  <si>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</si>
  <si>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</si>
  <si>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</si>
  <si>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</si>
  <si>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</si>
  <si>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</si>
  <si>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</si>
  <si>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</si>
  <si>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</si>
  <si>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</si>
  <si>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</si>
  <si>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</si>
  <si>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</si>
  <si>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</si>
  <si>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</si>
  <si>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</si>
  <si>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</si>
  <si>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</si>
  <si>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</si>
  <si>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</si>
  <si>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</si>
  <si>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</si>
  <si>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</si>
  <si>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</si>
  <si>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</si>
  <si>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</si>
  <si>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</si>
  <si>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</si>
  <si>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</si>
  <si>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</si>
  <si>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</si>
  <si>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</si>
  <si>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</si>
  <si>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</si>
  <si>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</si>
  <si>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T02110</t>
  </si>
  <si>
    <t>REFUND</t>
  </si>
  <si>
    <t>T00321</t>
  </si>
  <si>
    <t>2026-06-06</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</si>
  <si>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</si>
  <si>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</si>
  <si>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</si>
  <si>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</si>
  <si>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</si>
  <si>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</si>
  <si>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</si>
  <si>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</si>
  <si>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</si>
  <si>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</si>
  <si>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</si>
  <si>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</si>
  <si>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</si>
  <si>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</si>
  <si>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</si>
  <si>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</si>
  <si>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</si>
  <si>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</si>
  <si>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</si>
  <si>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</si>
  <si>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</si>
  <si>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</si>
  <si>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</si>
  <si>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</si>
  <si>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</si>
  <si>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</si>
  <si>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</si>
  <si>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</si>
  <si>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</si>
  <si>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</si>
  <si>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</si>
  <si>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</si>
  <si>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</si>
  <si>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</si>
  <si>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</si>
  <si>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</si>
  <si>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</si>
  <si>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</si>
  <si>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</si>
  <si>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</si>
  <si>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</si>
  <si>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</si>
  <si>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</si>
  <si>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</si>
  <si>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</si>
  <si>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</si>
  <si>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</si>
  <si>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</si>
  <si>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</si>
  <si>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</si>
  <si>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</si>
  <si>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</si>
  <si>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</si>
  <si>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</si>
  <si>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</si>
  <si>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</si>
  <si>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</si>
  <si>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</si>
  <si>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T02075</t>
  </si>
  <si>
    <t>T02083</t>
  </si>
  <si>
    <t>T02094</t>
  </si>
  <si>
    <t>T02098</t>
  </si>
  <si>
    <t>T02117</t>
  </si>
  <si>
    <t>T00380</t>
  </si>
  <si>
    <t>2026-06-07</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</si>
  <si>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</si>
  <si>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</si>
  <si>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</si>
  <si>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</si>
  <si>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</si>
  <si>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</si>
  <si>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</si>
  <si>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</si>
  <si>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</si>
  <si>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</si>
  <si>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</si>
  <si>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</si>
  <si>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</si>
  <si>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</si>
  <si>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</si>
  <si>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</si>
  <si>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</si>
  <si>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</si>
  <si>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</si>
  <si>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</si>
  <si>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</si>
  <si>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</si>
  <si>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</si>
  <si>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</si>
  <si>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</si>
  <si>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</si>
  <si>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</si>
  <si>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</si>
  <si>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</si>
  <si>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</si>
  <si>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</si>
  <si>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</si>
  <si>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</si>
  <si>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</si>
  <si>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</si>
  <si>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</si>
  <si>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</si>
  <si>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</si>
  <si>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</si>
  <si>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</si>
  <si>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</si>
  <si>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</si>
  <si>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</si>
  <si>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</si>
  <si>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</si>
  <si>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</si>
  <si>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</si>
  <si>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</si>
  <si>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</si>
  <si>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</si>
  <si>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</si>
  <si>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</si>
  <si>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</si>
  <si>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</si>
  <si>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</si>
  <si>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</si>
  <si>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</si>
  <si>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</si>
  <si>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</si>
  <si>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</si>
  <si>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</si>
  <si>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</si>
  <si>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</si>
  <si>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</si>
  <si>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T02067</t>
  </si>
  <si>
    <t>T02103</t>
  </si>
  <si>
    <t>T02116</t>
  </si>
  <si>
    <t>T00445</t>
  </si>
  <si>
    <t>2026-06-08</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</si>
  <si>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</si>
  <si>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</si>
  <si>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</si>
  <si>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</si>
  <si>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</si>
  <si>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</si>
  <si>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</si>
  <si>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</si>
  <si>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</si>
  <si>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</si>
  <si>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</si>
  <si>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</si>
  <si>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</si>
  <si>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</si>
  <si>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</si>
  <si>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</si>
  <si>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</si>
  <si>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</si>
  <si>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</si>
  <si>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</si>
  <si>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</si>
  <si>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</si>
  <si>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</si>
  <si>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</si>
  <si>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</si>
  <si>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</si>
  <si>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</si>
  <si>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</si>
  <si>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</si>
  <si>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</si>
  <si>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</si>
  <si>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</si>
  <si>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</si>
  <si>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</si>
  <si>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</si>
  <si>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</si>
  <si>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</si>
  <si>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</si>
  <si>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</si>
  <si>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</si>
  <si>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</si>
  <si>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</si>
  <si>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</si>
  <si>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</si>
  <si>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</si>
  <si>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</si>
  <si>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</si>
  <si>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</si>
  <si>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</si>
  <si>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</si>
  <si>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</si>
  <si>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</si>
  <si>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</si>
  <si>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</si>
  <si>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</si>
  <si>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</si>
  <si>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</si>
  <si>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</si>
  <si>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</si>
  <si>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</si>
  <si>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</si>
  <si>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T02114</t>
  </si>
  <si>
    <t>T00507</t>
  </si>
  <si>
    <t>2026-06-09</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</si>
  <si>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</si>
  <si>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</si>
  <si>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</si>
  <si>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</si>
  <si>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</si>
  <si>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</si>
  <si>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</si>
  <si>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</si>
  <si>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</si>
  <si>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</si>
  <si>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</si>
  <si>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</si>
  <si>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</si>
  <si>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</si>
  <si>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</si>
  <si>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</si>
  <si>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</si>
  <si>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</si>
  <si>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</si>
  <si>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</si>
  <si>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</si>
  <si>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</si>
  <si>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</si>
  <si>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</si>
  <si>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</si>
  <si>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</si>
  <si>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</si>
  <si>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</si>
  <si>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</si>
  <si>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</si>
  <si>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</si>
  <si>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</si>
  <si>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</si>
  <si>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</si>
  <si>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</si>
  <si>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</si>
  <si>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</si>
  <si>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</si>
  <si>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</si>
  <si>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</si>
  <si>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</si>
  <si>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</si>
  <si>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</si>
  <si>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</si>
  <si>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</si>
  <si>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</si>
  <si>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</si>
  <si>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</si>
  <si>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</si>
  <si>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</si>
  <si>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</si>
  <si>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</si>
  <si>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</si>
  <si>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</si>
  <si>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</si>
  <si>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</si>
  <si>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</si>
  <si>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</si>
  <si>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</si>
  <si>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</si>
  <si>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</si>
  <si>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</si>
  <si>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</si>
  <si>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</si>
  <si>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</si>
  <si>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</si>
  <si>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</si>
  <si>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</si>
  <si>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T02063</t>
  </si>
  <si>
    <t>T02066</t>
  </si>
  <si>
    <t>T02104</t>
  </si>
  <si>
    <t>T02109</t>
  </si>
  <si>
    <t>T00576</t>
  </si>
  <si>
    <t>2026-06-10</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</si>
  <si>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</si>
  <si>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</si>
  <si>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</si>
  <si>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</si>
  <si>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</si>
  <si>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</si>
  <si>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</si>
  <si>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</si>
  <si>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</si>
  <si>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</si>
  <si>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</si>
  <si>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</si>
  <si>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</si>
  <si>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</si>
  <si>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</si>
  <si>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</si>
  <si>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</si>
  <si>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</si>
  <si>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</si>
  <si>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</si>
  <si>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</si>
  <si>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</si>
  <si>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</si>
  <si>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</si>
  <si>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</si>
  <si>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</si>
  <si>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</si>
  <si>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</si>
  <si>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</si>
  <si>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</si>
  <si>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</si>
  <si>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</si>
  <si>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</si>
  <si>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</si>
  <si>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</si>
  <si>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</si>
  <si>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</si>
  <si>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</si>
  <si>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</si>
  <si>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</si>
  <si>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</si>
  <si>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</si>
  <si>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</si>
  <si>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</si>
  <si>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</si>
  <si>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</si>
  <si>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</si>
  <si>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</si>
  <si>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</si>
  <si>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</si>
  <si>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</si>
  <si>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</si>
  <si>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</si>
  <si>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</si>
  <si>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</si>
  <si>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</si>
  <si>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</si>
  <si>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</si>
  <si>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T02081</t>
  </si>
  <si>
    <t>T00635</t>
  </si>
  <si>
    <t>2026-06-11</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</si>
  <si>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</si>
  <si>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</si>
  <si>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</si>
  <si>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</si>
  <si>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</si>
  <si>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</si>
  <si>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</si>
  <si>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</si>
  <si>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</si>
  <si>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</si>
  <si>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</si>
  <si>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</si>
  <si>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</si>
  <si>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</si>
  <si>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</si>
  <si>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</si>
  <si>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</si>
  <si>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</si>
  <si>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</si>
  <si>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</si>
  <si>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</si>
  <si>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</si>
  <si>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</si>
  <si>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</si>
  <si>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</si>
  <si>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</si>
  <si>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</si>
  <si>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</si>
  <si>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</si>
  <si>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</si>
  <si>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</si>
  <si>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</si>
  <si>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</si>
  <si>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</si>
  <si>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</si>
  <si>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</si>
  <si>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</si>
  <si>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</si>
  <si>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</si>
  <si>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</si>
  <si>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</si>
  <si>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</si>
  <si>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</si>
  <si>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</si>
  <si>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</si>
  <si>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</si>
  <si>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</si>
  <si>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</si>
  <si>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</si>
  <si>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</si>
  <si>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</si>
  <si>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</si>
  <si>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</si>
  <si>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</si>
  <si>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</si>
  <si>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</si>
  <si>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</si>
  <si>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</si>
  <si>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</si>
  <si>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</si>
  <si>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</si>
  <si>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</si>
  <si>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</si>
  <si>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</si>
  <si>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T02086</t>
  </si>
  <si>
    <t>T00700</t>
  </si>
  <si>
    <t>2026-06-12</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</si>
  <si>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</si>
  <si>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</si>
  <si>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</si>
  <si>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</si>
  <si>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</si>
  <si>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</si>
  <si>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</si>
  <si>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</si>
  <si>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</si>
  <si>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</si>
  <si>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</si>
  <si>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</si>
  <si>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</si>
  <si>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</si>
  <si>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</si>
  <si>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</si>
  <si>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</si>
  <si>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</si>
  <si>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</si>
  <si>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</si>
  <si>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</si>
  <si>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</si>
  <si>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</si>
  <si>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</si>
  <si>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</si>
  <si>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</si>
  <si>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</si>
  <si>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</si>
  <si>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</si>
  <si>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</si>
  <si>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</si>
  <si>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</si>
  <si>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</si>
  <si>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</si>
  <si>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</si>
  <si>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</si>
  <si>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</si>
  <si>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</si>
  <si>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</si>
  <si>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</si>
  <si>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</si>
  <si>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</si>
  <si>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</si>
  <si>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</si>
  <si>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</si>
  <si>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</si>
  <si>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</si>
  <si>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</si>
  <si>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</si>
  <si>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</si>
  <si>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</si>
  <si>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</si>
  <si>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</si>
  <si>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</si>
  <si>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</si>
  <si>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</si>
  <si>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</si>
  <si>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</si>
  <si>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</si>
  <si>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</si>
  <si>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</si>
  <si>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</si>
  <si>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</si>
  <si>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</si>
  <si>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</si>
  <si>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</si>
  <si>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</si>
  <si>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</si>
  <si>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T02068</t>
  </si>
  <si>
    <t>T02076</t>
  </si>
  <si>
    <t>T02085</t>
  </si>
  <si>
    <t>T00769</t>
  </si>
  <si>
    <t>2026-06-13</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</si>
  <si>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</si>
  <si>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</si>
  <si>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</si>
  <si>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</si>
  <si>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</si>
  <si>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</si>
  <si>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</si>
  <si>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</si>
  <si>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</si>
  <si>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</si>
  <si>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</si>
  <si>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</si>
  <si>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</si>
  <si>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</si>
  <si>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</si>
  <si>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</si>
  <si>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</si>
  <si>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</si>
  <si>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</si>
  <si>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</si>
  <si>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</si>
  <si>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</si>
  <si>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</si>
  <si>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</si>
  <si>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</si>
  <si>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</si>
  <si>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</si>
  <si>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</si>
  <si>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</si>
  <si>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</si>
  <si>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</si>
  <si>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</si>
  <si>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</si>
  <si>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</si>
  <si>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</si>
  <si>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</si>
  <si>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</si>
  <si>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</si>
  <si>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</si>
  <si>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</si>
  <si>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</si>
  <si>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</si>
  <si>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</si>
  <si>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</si>
  <si>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</si>
  <si>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</si>
  <si>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</si>
  <si>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</si>
  <si>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</si>
  <si>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</si>
  <si>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</si>
  <si>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</si>
  <si>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</si>
  <si>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</si>
  <si>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</si>
  <si>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</si>
  <si>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</si>
  <si>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</si>
  <si>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</si>
  <si>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</si>
  <si>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</si>
  <si>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</si>
  <si>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</si>
  <si>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T02088</t>
  </si>
  <si>
    <t>T02092</t>
  </si>
  <si>
    <t>T02112</t>
  </si>
  <si>
    <t>T02113</t>
  </si>
  <si>
    <t>T00833</t>
  </si>
  <si>
    <t>2026-06-14</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</si>
  <si>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</si>
  <si>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</si>
  <si>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</si>
  <si>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</si>
  <si>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</si>
  <si>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</si>
  <si>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</si>
  <si>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</si>
  <si>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</si>
  <si>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</si>
  <si>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</si>
  <si>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</si>
  <si>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</si>
  <si>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</si>
  <si>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</si>
  <si>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</si>
  <si>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</si>
  <si>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</si>
  <si>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</si>
  <si>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</si>
  <si>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</si>
  <si>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</si>
  <si>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</si>
  <si>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</si>
  <si>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</si>
  <si>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</si>
  <si>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</si>
  <si>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</si>
  <si>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</si>
  <si>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</si>
  <si>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</si>
  <si>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</si>
  <si>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</si>
  <si>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</si>
  <si>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</si>
  <si>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</si>
  <si>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</si>
  <si>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</si>
  <si>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</si>
  <si>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</si>
  <si>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</si>
  <si>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</si>
  <si>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</si>
  <si>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</si>
  <si>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</si>
  <si>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</si>
  <si>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</si>
  <si>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</si>
  <si>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</si>
  <si>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</si>
  <si>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</si>
  <si>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</si>
  <si>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</si>
  <si>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</si>
  <si>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</si>
  <si>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</si>
  <si>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</si>
  <si>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</si>
  <si>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</si>
  <si>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</si>
  <si>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</si>
  <si>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</si>
  <si>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</si>
  <si>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</si>
  <si>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</si>
  <si>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</si>
  <si>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2026-06-15</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</si>
  <si>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</si>
  <si>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</si>
  <si>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</si>
  <si>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</si>
  <si>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</si>
  <si>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</si>
  <si>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</si>
  <si>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</si>
  <si>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</si>
  <si>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</si>
  <si>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</si>
  <si>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</si>
  <si>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</si>
  <si>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</si>
  <si>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</si>
  <si>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</si>
  <si>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</si>
  <si>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</si>
  <si>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</si>
  <si>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</si>
  <si>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</si>
  <si>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</si>
  <si>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</si>
  <si>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</si>
  <si>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</si>
  <si>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</si>
  <si>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</si>
  <si>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</si>
  <si>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</si>
  <si>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</si>
  <si>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</si>
  <si>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</si>
  <si>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</si>
  <si>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</si>
  <si>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</si>
  <si>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</si>
  <si>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</si>
  <si>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</si>
  <si>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</si>
  <si>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</si>
  <si>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</si>
  <si>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</si>
  <si>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</si>
  <si>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</si>
  <si>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</si>
  <si>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</si>
  <si>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</si>
  <si>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</si>
  <si>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</si>
  <si>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</si>
  <si>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</si>
  <si>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</si>
  <si>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</si>
  <si>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</si>
  <si>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</si>
  <si>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</si>
  <si>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</si>
  <si>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</si>
  <si>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</si>
  <si>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</si>
  <si>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</si>
  <si>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</si>
  <si>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2026-06-16</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</si>
  <si>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</si>
  <si>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</si>
  <si>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</si>
  <si>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</si>
  <si>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</si>
  <si>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</si>
  <si>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</si>
  <si>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</si>
  <si>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</si>
  <si>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</si>
  <si>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</si>
  <si>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</si>
  <si>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</si>
  <si>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</si>
  <si>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</si>
  <si>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</si>
  <si>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</si>
  <si>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</si>
  <si>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</si>
  <si>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</si>
  <si>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</si>
  <si>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</si>
  <si>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</si>
  <si>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</si>
  <si>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</si>
  <si>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</si>
  <si>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</si>
  <si>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</si>
  <si>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</si>
  <si>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</si>
  <si>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</si>
  <si>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</si>
  <si>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</si>
  <si>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</si>
  <si>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</si>
  <si>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</si>
  <si>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</si>
  <si>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</si>
  <si>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</si>
  <si>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</si>
  <si>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</si>
  <si>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</si>
  <si>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</si>
  <si>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</si>
  <si>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</si>
  <si>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</si>
  <si>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</si>
  <si>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</si>
  <si>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</si>
  <si>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</si>
  <si>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</si>
  <si>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</si>
  <si>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</si>
  <si>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</si>
  <si>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</si>
  <si>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</si>
  <si>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</si>
  <si>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</si>
  <si>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</si>
  <si>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</si>
  <si>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</si>
  <si>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</si>
  <si>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</si>
  <si>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</si>
  <si>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</si>
  <si>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T02074</t>
  </si>
  <si>
    <t>T02077</t>
  </si>
  <si>
    <t>T01027</t>
  </si>
  <si>
    <t>2026-06-17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</si>
  <si>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</si>
  <si>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</si>
  <si>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</si>
  <si>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</si>
  <si>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</si>
  <si>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</si>
  <si>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</si>
  <si>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</si>
  <si>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</si>
  <si>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</si>
  <si>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</si>
  <si>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</si>
  <si>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</si>
  <si>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</si>
  <si>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</si>
  <si>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</si>
  <si>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</si>
  <si>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</si>
  <si>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</si>
  <si>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</si>
  <si>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</si>
  <si>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</si>
  <si>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</si>
  <si>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</si>
  <si>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</si>
  <si>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</si>
  <si>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</si>
  <si>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</si>
  <si>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</si>
  <si>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</si>
  <si>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</si>
  <si>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</si>
  <si>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</si>
  <si>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</si>
  <si>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</si>
  <si>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</si>
  <si>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</si>
  <si>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</si>
  <si>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</si>
  <si>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</si>
  <si>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</si>
  <si>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</si>
  <si>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</si>
  <si>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</si>
  <si>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</si>
  <si>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</si>
  <si>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</si>
  <si>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</si>
  <si>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</si>
  <si>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</si>
  <si>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</si>
  <si>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</si>
  <si>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</si>
  <si>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</si>
  <si>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</si>
  <si>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</si>
  <si>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</si>
  <si>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</si>
  <si>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</si>
  <si>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</si>
  <si>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</si>
  <si>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</si>
  <si>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</si>
  <si>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</si>
  <si>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</si>
  <si>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</si>
  <si>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</si>
  <si>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</si>
  <si>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</si>
  <si>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T02099</t>
  </si>
  <si>
    <t>T01097</t>
  </si>
  <si>
    <t>2026-06-18</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</si>
  <si>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</si>
  <si>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</si>
  <si>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</si>
  <si>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</si>
  <si>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</si>
  <si>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</si>
  <si>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</si>
  <si>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</si>
  <si>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</si>
  <si>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</si>
  <si>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</si>
  <si>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</si>
  <si>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</si>
  <si>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</si>
  <si>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</si>
  <si>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</si>
  <si>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</si>
  <si>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</si>
  <si>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</si>
  <si>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</si>
  <si>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</si>
  <si>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</si>
  <si>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</si>
  <si>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</si>
  <si>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</si>
  <si>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</si>
  <si>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</si>
  <si>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</si>
  <si>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</si>
  <si>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</si>
  <si>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</si>
  <si>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</si>
  <si>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</si>
  <si>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</si>
  <si>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</si>
  <si>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</si>
  <si>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</si>
  <si>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</si>
  <si>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</si>
  <si>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</si>
  <si>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</si>
  <si>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</si>
  <si>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</si>
  <si>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</si>
  <si>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</si>
  <si>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</si>
  <si>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</si>
  <si>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</si>
  <si>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</si>
  <si>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</si>
  <si>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</si>
  <si>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</si>
  <si>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MIDYEAR-CIRCLE</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</si>
  <si>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</si>
  <si>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</si>
  <si>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</si>
  <si>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</si>
  <si>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</si>
  <si>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</si>
  <si>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</si>
  <si>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</si>
  <si>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</si>
  <si>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</si>
  <si>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</si>
  <si>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</si>
  <si>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</si>
  <si>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</si>
  <si>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</si>
  <si>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</si>
  <si>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</si>
  <si>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</si>
  <si>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</si>
  <si>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</si>
  <si>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</si>
  <si>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</si>
  <si>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</si>
  <si>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</si>
  <si>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</si>
  <si>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</si>
  <si>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</si>
  <si>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</si>
  <si>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</si>
  <si>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</si>
  <si>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</si>
  <si>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</si>
  <si>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</si>
  <si>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</si>
  <si>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</si>
  <si>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</si>
  <si>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</si>
  <si>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T02064</t>
  </si>
  <si>
    <t>T02065</t>
  </si>
  <si>
    <t>T02070</t>
  </si>
  <si>
    <t>T02080</t>
  </si>
  <si>
    <t>T01187</t>
  </si>
  <si>
    <t>2026-06-19</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</si>
  <si>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</si>
  <si>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</si>
  <si>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</si>
  <si>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</si>
  <si>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</si>
  <si>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</si>
  <si>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</si>
  <si>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</si>
  <si>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</si>
  <si>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</si>
  <si>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</si>
  <si>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</si>
  <si>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</si>
  <si>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</si>
  <si>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</si>
  <si>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</si>
  <si>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</si>
  <si>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</si>
  <si>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</si>
  <si>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</si>
  <si>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</si>
  <si>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</si>
  <si>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</si>
  <si>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</si>
  <si>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</si>
  <si>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</si>
  <si>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</si>
  <si>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</si>
  <si>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</si>
  <si>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</si>
  <si>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</si>
  <si>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</si>
  <si>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</si>
  <si>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</si>
  <si>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</si>
  <si>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</si>
  <si>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</si>
  <si>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</si>
  <si>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</si>
  <si>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</si>
  <si>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</si>
  <si>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</si>
  <si>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</si>
  <si>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</si>
  <si>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</si>
  <si>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</si>
  <si>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</si>
  <si>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</si>
  <si>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</si>
  <si>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</si>
  <si>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</si>
  <si>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</si>
  <si>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</si>
  <si>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</si>
  <si>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</si>
  <si>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</si>
  <si>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</si>
  <si>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</si>
  <si>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</si>
  <si>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</si>
  <si>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</si>
  <si>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</si>
  <si>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</si>
  <si>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</si>
  <si>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</si>
  <si>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</si>
  <si>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</si>
  <si>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</si>
  <si>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</si>
  <si>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</si>
  <si>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</si>
  <si>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</si>
  <si>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</si>
  <si>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</si>
  <si>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</si>
  <si>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</si>
  <si>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</si>
  <si>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</si>
  <si>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</si>
  <si>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</si>
  <si>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</si>
  <si>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</si>
  <si>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</si>
  <si>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T02089</t>
  </si>
  <si>
    <t>T01271</t>
  </si>
  <si>
    <t>2026-06-20</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</si>
  <si>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</si>
  <si>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</si>
  <si>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</si>
  <si>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</si>
  <si>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</si>
  <si>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</si>
  <si>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</si>
  <si>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</si>
  <si>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</si>
  <si>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</si>
  <si>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</si>
  <si>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</si>
  <si>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</si>
  <si>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</si>
  <si>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</si>
  <si>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</si>
  <si>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</si>
  <si>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</si>
  <si>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</si>
  <si>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</si>
  <si>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</si>
  <si>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</si>
  <si>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</si>
  <si>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</si>
  <si>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</si>
  <si>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</si>
  <si>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</si>
  <si>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</si>
  <si>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</si>
  <si>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</si>
  <si>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</si>
  <si>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</si>
  <si>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</si>
  <si>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</si>
  <si>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</si>
  <si>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</si>
  <si>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</si>
  <si>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</si>
  <si>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</si>
  <si>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</si>
  <si>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</si>
  <si>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</si>
  <si>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</si>
  <si>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</si>
  <si>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</si>
  <si>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</si>
  <si>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</si>
  <si>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</si>
  <si>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</si>
  <si>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</si>
  <si>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</si>
  <si>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</si>
  <si>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</si>
  <si>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</si>
  <si>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</si>
  <si>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</si>
  <si>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</si>
  <si>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</si>
  <si>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</si>
  <si>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</si>
  <si>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</si>
  <si>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</si>
  <si>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</si>
  <si>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</si>
  <si>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</si>
  <si>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</si>
  <si>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</si>
  <si>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</si>
  <si>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</si>
  <si>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</si>
  <si>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</si>
  <si>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</si>
  <si>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</si>
  <si>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</si>
  <si>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</si>
  <si>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</si>
  <si>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</si>
  <si>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</si>
  <si>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</si>
  <si>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T02073</t>
  </si>
  <si>
    <t>T02084</t>
  </si>
  <si>
    <t>T02087</t>
  </si>
  <si>
    <t>T01351</t>
  </si>
  <si>
    <t>2026-06-21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</si>
  <si>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</si>
  <si>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</si>
  <si>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</si>
  <si>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</si>
  <si>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</si>
  <si>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</si>
  <si>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</si>
  <si>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</si>
  <si>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</si>
  <si>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</si>
  <si>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</si>
  <si>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</si>
  <si>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</si>
  <si>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</si>
  <si>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</si>
  <si>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</si>
  <si>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</si>
  <si>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</si>
  <si>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</si>
  <si>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</si>
  <si>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</si>
  <si>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</si>
  <si>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</si>
  <si>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</si>
  <si>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</si>
  <si>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</si>
  <si>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</si>
  <si>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</si>
  <si>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</si>
  <si>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</si>
  <si>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</si>
  <si>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</si>
  <si>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</si>
  <si>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</si>
  <si>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</si>
  <si>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</si>
  <si>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</si>
  <si>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</si>
  <si>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</si>
  <si>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</si>
  <si>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</si>
  <si>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</si>
  <si>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</si>
  <si>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</si>
  <si>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</si>
  <si>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</si>
  <si>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</si>
  <si>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</si>
  <si>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</si>
  <si>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</si>
  <si>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</si>
  <si>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</si>
  <si>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</si>
  <si>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</si>
  <si>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</si>
  <si>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</si>
  <si>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</si>
  <si>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</si>
  <si>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</si>
  <si>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</si>
  <si>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</si>
  <si>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</si>
  <si>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</si>
  <si>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</si>
  <si>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</si>
  <si>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</si>
  <si>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</si>
  <si>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</si>
  <si>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</si>
  <si>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</si>
  <si>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</si>
  <si>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</si>
  <si>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</si>
  <si>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</si>
  <si>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</si>
  <si>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</si>
  <si>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</si>
  <si>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</si>
  <si>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</si>
  <si>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</si>
  <si>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</si>
  <si>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</si>
  <si>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2026-06-22</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</si>
  <si>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</si>
  <si>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</si>
  <si>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</si>
  <si>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</si>
  <si>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</si>
  <si>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</si>
  <si>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</si>
  <si>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</si>
  <si>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</si>
  <si>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</si>
  <si>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</si>
  <si>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</si>
  <si>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</si>
  <si>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</si>
  <si>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</si>
  <si>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</si>
  <si>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</si>
  <si>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</si>
  <si>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</si>
  <si>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</si>
  <si>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</si>
  <si>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</si>
  <si>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</si>
  <si>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</si>
  <si>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</si>
  <si>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</si>
  <si>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</si>
  <si>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</si>
  <si>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</si>
  <si>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</si>
  <si>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</si>
  <si>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</si>
  <si>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</si>
  <si>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</si>
  <si>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</si>
  <si>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</si>
  <si>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</si>
  <si>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</si>
  <si>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</si>
  <si>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</si>
  <si>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</si>
  <si>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</si>
  <si>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</si>
  <si>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</si>
  <si>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</si>
  <si>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</si>
  <si>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</si>
  <si>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</si>
  <si>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</si>
  <si>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</si>
  <si>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</si>
  <si>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</si>
  <si>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</si>
  <si>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</si>
  <si>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</si>
  <si>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</si>
  <si>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</si>
  <si>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</si>
  <si>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</si>
  <si>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</si>
  <si>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</si>
  <si>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</si>
  <si>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</si>
  <si>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</si>
  <si>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</si>
  <si>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</si>
  <si>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</si>
  <si>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</si>
  <si>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</si>
  <si>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T02106</t>
  </si>
  <si>
    <t>T02108</t>
  </si>
  <si>
    <t>T01503</t>
  </si>
  <si>
    <t>2026-06-23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</si>
  <si>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</si>
  <si>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</si>
  <si>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</si>
  <si>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</si>
  <si>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</si>
  <si>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</si>
  <si>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</si>
  <si>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</si>
  <si>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</si>
  <si>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</si>
  <si>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</si>
  <si>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</si>
  <si>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</si>
  <si>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</si>
  <si>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</si>
  <si>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</si>
  <si>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</si>
  <si>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</si>
  <si>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</si>
  <si>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</si>
  <si>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</si>
  <si>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</si>
  <si>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</si>
  <si>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</si>
  <si>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</si>
  <si>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</si>
  <si>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</si>
  <si>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</si>
  <si>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</si>
  <si>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</si>
  <si>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</si>
  <si>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</si>
  <si>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</si>
  <si>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</si>
  <si>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</si>
  <si>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</si>
  <si>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</si>
  <si>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</si>
  <si>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</si>
  <si>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</si>
  <si>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</si>
  <si>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</si>
  <si>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</si>
  <si>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</si>
  <si>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</si>
  <si>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</si>
  <si>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</si>
  <si>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</si>
  <si>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</si>
  <si>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</si>
  <si>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</si>
  <si>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</si>
  <si>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</si>
  <si>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</si>
  <si>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</si>
  <si>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</si>
  <si>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</si>
  <si>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</si>
  <si>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</si>
  <si>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</si>
  <si>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T02079</t>
  </si>
  <si>
    <t>T02090</t>
  </si>
  <si>
    <t>T02100</t>
  </si>
  <si>
    <t>T01564</t>
  </si>
  <si>
    <t>2026-06-24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</si>
  <si>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</si>
  <si>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</si>
  <si>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</si>
  <si>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</si>
  <si>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</si>
  <si>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</si>
  <si>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</si>
  <si>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</si>
  <si>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</si>
  <si>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</si>
  <si>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</si>
  <si>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</si>
  <si>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</si>
  <si>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</si>
  <si>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</si>
  <si>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</si>
  <si>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</si>
  <si>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</si>
  <si>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</si>
  <si>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</si>
  <si>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</si>
  <si>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</si>
  <si>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</si>
  <si>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</si>
  <si>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</si>
  <si>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</si>
  <si>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</si>
  <si>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</si>
  <si>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</si>
  <si>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</si>
  <si>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</si>
  <si>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</si>
  <si>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</si>
  <si>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</si>
  <si>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</si>
  <si>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</si>
  <si>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</si>
  <si>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</si>
  <si>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</si>
  <si>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</si>
  <si>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</si>
  <si>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</si>
  <si>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</si>
  <si>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</si>
  <si>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</si>
  <si>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</si>
  <si>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</si>
  <si>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</si>
  <si>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</si>
  <si>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</si>
  <si>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</si>
  <si>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</si>
  <si>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</si>
  <si>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</si>
  <si>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</si>
  <si>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</si>
  <si>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</si>
  <si>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</si>
  <si>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</si>
  <si>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</si>
  <si>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</si>
  <si>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T02031</t>
  </si>
  <si>
    <t>T02036</t>
  </si>
  <si>
    <t>T02041</t>
  </si>
  <si>
    <t>T02050</t>
  </si>
  <si>
    <t>T02058</t>
  </si>
  <si>
    <t>T02091</t>
  </si>
  <si>
    <t>T02096</t>
  </si>
  <si>
    <t>T01626</t>
  </si>
  <si>
    <t>2026-06-25</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</si>
  <si>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</si>
  <si>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</si>
  <si>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</si>
  <si>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</si>
  <si>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</si>
  <si>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</si>
  <si>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</si>
  <si>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</si>
  <si>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</si>
  <si>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</si>
  <si>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</si>
  <si>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</si>
  <si>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</si>
  <si>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</si>
  <si>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</si>
  <si>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</si>
  <si>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</si>
  <si>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</si>
  <si>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</si>
  <si>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</si>
  <si>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</si>
  <si>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</si>
  <si>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</si>
  <si>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</si>
  <si>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</si>
  <si>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</si>
  <si>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</si>
  <si>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</si>
  <si>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</si>
  <si>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</si>
  <si>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</si>
  <si>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</si>
  <si>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</si>
  <si>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</si>
  <si>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</si>
  <si>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</si>
  <si>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</si>
  <si>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</si>
  <si>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</si>
  <si>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</si>
  <si>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</si>
  <si>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</si>
  <si>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</si>
  <si>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</si>
  <si>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</si>
  <si>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</si>
  <si>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</si>
  <si>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</si>
  <si>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</si>
  <si>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</si>
  <si>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</si>
  <si>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</si>
  <si>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</si>
  <si>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</si>
  <si>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</si>
  <si>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</si>
  <si>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</si>
  <si>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</si>
  <si>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</si>
  <si>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</si>
  <si>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</si>
  <si>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</si>
  <si>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</si>
  <si>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</si>
  <si>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</si>
  <si>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T02005</t>
  </si>
  <si>
    <t>T02012</t>
  </si>
  <si>
    <t>T02018</t>
  </si>
  <si>
    <t>T02028</t>
  </si>
  <si>
    <t>T02035</t>
  </si>
  <si>
    <t>T02039</t>
  </si>
  <si>
    <t>T02045</t>
  </si>
  <si>
    <t>T02047</t>
  </si>
  <si>
    <t>T02048</t>
  </si>
  <si>
    <t>T02049</t>
  </si>
  <si>
    <t>T02052</t>
  </si>
  <si>
    <t>T02053</t>
  </si>
  <si>
    <t>T02054</t>
  </si>
  <si>
    <t>T02069</t>
  </si>
  <si>
    <t>T02101</t>
  </si>
  <si>
    <t>T02102</t>
  </si>
  <si>
    <t>T02107</t>
  </si>
  <si>
    <t>T02115</t>
  </si>
  <si>
    <t>T01692</t>
  </si>
  <si>
    <t>2026-06-26</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</si>
  <si>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</si>
  <si>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</si>
  <si>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</si>
  <si>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</si>
  <si>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</si>
  <si>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</si>
  <si>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</si>
  <si>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</si>
  <si>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</si>
  <si>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</si>
  <si>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</si>
  <si>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</si>
  <si>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</si>
  <si>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</si>
  <si>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</si>
  <si>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</si>
  <si>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</si>
  <si>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</si>
  <si>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</si>
  <si>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</si>
  <si>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</si>
  <si>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</si>
  <si>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</si>
  <si>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</si>
  <si>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</si>
  <si>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</si>
  <si>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</si>
  <si>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</si>
  <si>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</si>
  <si>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</si>
  <si>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</si>
  <si>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</si>
  <si>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</si>
  <si>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</si>
  <si>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</si>
  <si>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</si>
  <si>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</si>
  <si>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</si>
  <si>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</si>
  <si>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</si>
  <si>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</si>
  <si>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</si>
  <si>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</si>
  <si>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</si>
  <si>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</si>
  <si>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</si>
  <si>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</si>
  <si>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</si>
  <si>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</si>
  <si>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</si>
  <si>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</si>
  <si>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</si>
  <si>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</si>
  <si>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</si>
  <si>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</si>
  <si>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</si>
  <si>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</si>
  <si>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</si>
  <si>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</si>
  <si>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</si>
  <si>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</si>
  <si>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</si>
  <si>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T02007</t>
  </si>
  <si>
    <t>T02011</t>
  </si>
  <si>
    <t>T02014</t>
  </si>
  <si>
    <t>T02015</t>
  </si>
  <si>
    <t>T02016</t>
  </si>
  <si>
    <t>T02017</t>
  </si>
  <si>
    <t>T02019</t>
  </si>
  <si>
    <t>T02021</t>
  </si>
  <si>
    <t>T02026</t>
  </si>
  <si>
    <t>T02030</t>
  </si>
  <si>
    <t>T02034</t>
  </si>
  <si>
    <t>T02037</t>
  </si>
  <si>
    <t>T02038</t>
  </si>
  <si>
    <t>T02040</t>
  </si>
  <si>
    <t>T02042</t>
  </si>
  <si>
    <t>T02046</t>
  </si>
  <si>
    <t>T02055</t>
  </si>
  <si>
    <t>T02057</t>
  </si>
  <si>
    <t>T02059</t>
  </si>
  <si>
    <t>T02060</t>
  </si>
  <si>
    <t>T02078</t>
  </si>
  <si>
    <t>T02082</t>
  </si>
  <si>
    <t>T02093</t>
  </si>
  <si>
    <t>T02111</t>
  </si>
  <si>
    <t>T01755</t>
  </si>
  <si>
    <t>2026-06-27</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</si>
  <si>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</si>
  <si>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</si>
  <si>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</si>
  <si>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</si>
  <si>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</si>
  <si>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</si>
  <si>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</si>
  <si>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</si>
  <si>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</si>
  <si>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</si>
  <si>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</si>
  <si>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</si>
  <si>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</si>
  <si>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</si>
  <si>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</si>
  <si>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</si>
  <si>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</si>
  <si>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</si>
  <si>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</si>
  <si>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</si>
  <si>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</si>
  <si>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</si>
  <si>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</si>
  <si>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</si>
  <si>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</si>
  <si>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</si>
  <si>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</si>
  <si>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</si>
  <si>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</si>
  <si>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</si>
  <si>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</si>
  <si>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</si>
  <si>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</si>
  <si>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</si>
  <si>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</si>
  <si>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</si>
  <si>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</si>
  <si>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</si>
  <si>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</si>
  <si>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</si>
  <si>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</si>
  <si>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</si>
  <si>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</si>
  <si>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</si>
  <si>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</si>
  <si>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</si>
  <si>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</si>
  <si>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</si>
  <si>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</si>
  <si>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</si>
  <si>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</si>
  <si>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</si>
  <si>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</si>
  <si>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</si>
  <si>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</si>
  <si>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</si>
  <si>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</si>
  <si>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</si>
  <si>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</si>
  <si>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</si>
  <si>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</si>
  <si>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</si>
  <si>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</si>
  <si>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</si>
  <si>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T02006</t>
  </si>
  <si>
    <t>T02008</t>
  </si>
  <si>
    <t>T02009</t>
  </si>
  <si>
    <t>T02010</t>
  </si>
  <si>
    <t>T02020</t>
  </si>
  <si>
    <t>T02022</t>
  </si>
  <si>
    <t>T02024</t>
  </si>
  <si>
    <t>T02025</t>
  </si>
  <si>
    <t>T02032</t>
  </si>
  <si>
    <t>T02033</t>
  </si>
  <si>
    <t>T02044</t>
  </si>
  <si>
    <t>T02095</t>
  </si>
  <si>
    <t>T02097</t>
  </si>
  <si>
    <t>T01820</t>
  </si>
  <si>
    <t>2026-06-28</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</si>
  <si>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</si>
  <si>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</si>
  <si>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</si>
  <si>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</si>
  <si>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</si>
  <si>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</si>
  <si>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</si>
  <si>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</si>
  <si>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</si>
  <si>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</si>
  <si>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</si>
  <si>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</si>
  <si>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</si>
  <si>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</si>
  <si>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</si>
  <si>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</si>
  <si>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</si>
  <si>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</si>
  <si>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</si>
  <si>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</si>
  <si>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</si>
  <si>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</si>
  <si>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</si>
  <si>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</si>
  <si>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</si>
  <si>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</si>
  <si>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</si>
  <si>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</si>
  <si>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</si>
  <si>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</si>
  <si>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</si>
  <si>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</si>
  <si>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</si>
  <si>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</si>
  <si>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</si>
  <si>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</si>
  <si>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</si>
  <si>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</si>
  <si>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</si>
  <si>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</si>
  <si>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</si>
  <si>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</si>
  <si>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</si>
  <si>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</si>
  <si>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</si>
  <si>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</si>
  <si>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</si>
  <si>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</si>
  <si>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</si>
  <si>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</si>
  <si>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</si>
  <si>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</si>
  <si>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</si>
  <si>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</si>
  <si>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</si>
  <si>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</si>
  <si>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</si>
  <si>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</si>
  <si>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</si>
  <si>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</si>
  <si>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</si>
  <si>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</si>
  <si>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T02013</t>
  </si>
  <si>
    <t>T02023</t>
  </si>
  <si>
    <t>T02027</t>
  </si>
  <si>
    <t>T02029</t>
  </si>
  <si>
    <t>T02043</t>
  </si>
  <si>
    <t>T02051</t>
  </si>
  <si>
    <t>T02056</t>
  </si>
  <si>
    <t>T02061</t>
  </si>
  <si>
    <t>T02072</t>
  </si>
  <si>
    <t>T01883</t>
  </si>
  <si>
    <t>2026-06-29</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</si>
  <si>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</si>
  <si>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</si>
  <si>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</si>
  <si>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</si>
  <si>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</si>
  <si>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</si>
  <si>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</si>
  <si>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</si>
  <si>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</si>
  <si>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</si>
  <si>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</si>
  <si>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</si>
  <si>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</si>
  <si>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</si>
  <si>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</si>
  <si>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</si>
  <si>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</si>
  <si>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</si>
  <si>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</si>
  <si>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</si>
  <si>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</si>
  <si>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</si>
  <si>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</si>
  <si>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</si>
  <si>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</si>
  <si>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</si>
  <si>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</si>
  <si>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</si>
  <si>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</si>
  <si>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</si>
  <si>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</si>
  <si>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</si>
  <si>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</si>
  <si>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</si>
  <si>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</si>
  <si>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</si>
  <si>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</si>
  <si>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</si>
  <si>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</si>
  <si>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</si>
  <si>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</si>
  <si>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</si>
  <si>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</si>
  <si>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</si>
  <si>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</si>
  <si>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</si>
  <si>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</si>
  <si>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</si>
  <si>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</si>
  <si>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</si>
  <si>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</si>
  <si>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</si>
  <si>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</si>
  <si>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</si>
  <si>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</si>
  <si>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</si>
  <si>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</si>
  <si>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</si>
  <si>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T02071</t>
  </si>
  <si>
    <t>T02105</t>
  </si>
  <si>
    <t>T02118</t>
  </si>
  <si>
    <t>T01942</t>
  </si>
  <si>
    <t>2026-06-30</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</si>
  <si>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</si>
  <si>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</si>
  <si>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</si>
  <si>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</si>
  <si>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</si>
  <si>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</si>
  <si>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</si>
  <si>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</si>
  <si>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</si>
  <si>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</si>
  <si>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</si>
  <si>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</si>
  <si>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</si>
  <si>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</si>
  <si>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</si>
  <si>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</si>
  <si>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</si>
  <si>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</si>
  <si>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</si>
  <si>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</si>
  <si>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</si>
  <si>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</si>
  <si>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</si>
  <si>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</si>
  <si>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</si>
  <si>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</si>
  <si>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</si>
  <si>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</si>
  <si>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</si>
  <si>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</si>
  <si>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</si>
  <si>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</si>
  <si>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</si>
  <si>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</si>
  <si>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</si>
  <si>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</si>
  <si>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</si>
  <si>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</si>
  <si>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</si>
  <si>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</si>
  <si>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</si>
  <si>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</si>
  <si>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</si>
  <si>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</si>
  <si>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</si>
  <si>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</si>
  <si>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</si>
  <si>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</si>
  <si>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</si>
  <si>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</si>
  <si>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</si>
  <si>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</si>
  <si>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</si>
  <si>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</si>
  <si>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</si>
  <si>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</si>
  <si>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</si>
  <si>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</si>
  <si>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</si>
  <si>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</si>
  <si>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</si>
  <si>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</si>
  <si>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T02062</t>
  </si>
  <si>
    <t>T02119</t>
  </si>
  <si>
    <t>T99999</t>
  </si>
  <si>
    <t>admissions</t>
  </si>
  <si>
    <t>exception_reason</t>
  </si>
  <si>
    <t>Original sale is not COMPLETED</t>
  </si>
  <si>
    <t>Duplicate transaction_id held for review</t>
  </si>
  <si>
    <t>Original sale not found</t>
  </si>
  <si>
    <t>orig_associate_id</t>
  </si>
  <si>
    <t>orig_sale_kind</t>
  </si>
  <si>
    <t>orig_channel</t>
  </si>
  <si>
    <t>orig_status</t>
  </si>
  <si>
    <t>orig_amount</t>
  </si>
  <si>
    <t>orig_product</t>
  </si>
  <si>
    <t>sale_incentive</t>
  </si>
  <si>
    <t>refund_reversal</t>
  </si>
  <si>
    <t>is_new_desk_sale</t>
  </si>
  <si>
    <t>is_new_desk_refund</t>
  </si>
  <si>
    <t>Eligible_Sale_Incentive</t>
  </si>
  <si>
    <t>Associate_Id</t>
  </si>
  <si>
    <t>Refund_Reversal</t>
  </si>
  <si>
    <t>Gross_NEW_Sales</t>
  </si>
  <si>
    <t>Refunded_NEW_Sales</t>
  </si>
  <si>
    <t>Net_NEW_Sales</t>
  </si>
  <si>
    <t>Bonus</t>
  </si>
  <si>
    <t>Final_Payout</t>
  </si>
  <si>
    <t>TOTAL</t>
  </si>
  <si>
    <t>Grand Total</t>
  </si>
  <si>
    <t>Count of transaction_id</t>
  </si>
  <si>
    <t>Column Labels</t>
  </si>
  <si>
    <t>(blank)</t>
  </si>
  <si>
    <t>VENUE</t>
  </si>
  <si>
    <t>Garden Wing Mid Year Refund Percentage</t>
  </si>
  <si>
    <t>Garden Wing Refund Percentage Across the entire Venue</t>
  </si>
  <si>
    <t>Average of admissions</t>
  </si>
  <si>
    <t>DATE</t>
  </si>
  <si>
    <t>Total Average of Admissions on June</t>
  </si>
  <si>
    <t>Average MIDYEAR-CIRCLE Admissions</t>
  </si>
  <si>
    <t>ADMISSION COMPARISON</t>
  </si>
  <si>
    <t>Average MIDYEAR-CIRCLE Admissions (Sales Window)</t>
  </si>
  <si>
    <t>Average MIDYEAR-CIRCLE Admissions (Refund Window)</t>
  </si>
  <si>
    <t xml:space="preserve"> </t>
  </si>
  <si>
    <t>Desk Circle Sales</t>
  </si>
  <si>
    <t>Sales During MIDYEAR-CIRCLE (76 x 27)</t>
  </si>
  <si>
    <t xml:space="preserve">Refunds During MIDYEAR-CIRCLE </t>
  </si>
  <si>
    <t>Total Retained Sales after Refund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</si>
</sst>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6">
    <fill>
      <patternFill patternType="none"/>
    </fill>
    <fill>
      <patternFill patternType="gray125"/>
    </fill>
    <fill>
      <patternFill patternType="solid">
        <fgColor rgb="FF1F2937"/>
      </patternFill>
    </fill>
    <fill>
      <patternFill patternType="solid">
        <fgColor theme="3" tint="0.89999084444715716"/>
        <bgColor indexed="64"/>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4" fontId="0" fillId="0" borderId="0" xfId="0" applyNumberFormat="1"/>
    <xf numFmtId="14" fontId="0" fillId="0" borderId="0" xfId="0" applyNumberFormat="1"/>
    <xf numFmtId="2" fontId="0" fillId="0" borderId="0" xfId="0" applyNumberFormat="1"/>
    <xf numFmtId="0" fontId="2" fillId="0" borderId="0" xfId="0" applyFont="1"/>
    <xf numFmtId="4" fontId="2" fillId="0" borderId="0" xfId="0" applyNumberFormat="1" applyFont="1"/>
    <xf numFmtId="0" fontId="0" fillId="3" borderId="0" xfId="0" applyFill="1"/>
    <xf numFmtId="4" fontId="0" fillId="3" borderId="0" xfId="0" applyNumberFormat="1" applyFill="1"/>
    <xf numFmtId="4" fontId="2" fillId="3"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4" borderId="0" xfId="0" applyFill="1" applyAlignment="1">
      <alignment horizontal="left" indent="1"/>
    </xf>
    <xf numFmtId="10" fontId="0" fillId="0" borderId="0" xfId="0" applyNumberFormat="1"/>
    <xf numFmtId="0" fontId="2" fillId="5" borderId="0" xfId="0" applyFont="1" applyFill="1" applyAlignment="1">
      <alignment horizont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trike val="0"/>
        <condense val="0"/>
        <extend val="0"/>
        <outline val="0"/>
        <shadow val="0"/>
        <u val="none"/>
        <vertAlign val="baseline"/>
        <sz val="11"/>
        <color rgb="FFFFFFFF"/>
        <name val="Carlito"/>
        <scheme val="none"/>
      </font>
      <fill>
        <patternFill patternType="solid">
          <fgColor indexed="64"/>
          <bgColor rgb="FF1F2937"/>
        </patternFill>
      </fill>
    </dxf>
    <dxf>
      <numFmt numFmtId="4" formatCode="#,##0.00"/>
    </dxf>
    <dxf>
      <font>
        <b/>
        <i val="0"/>
        <strike val="0"/>
        <condense val="0"/>
        <extend val="0"/>
        <outline val="0"/>
        <shadow val="0"/>
        <u val="none"/>
        <vertAlign val="baseline"/>
        <sz val="11"/>
        <color rgb="FFFFFFFF"/>
        <name val="Carlito"/>
        <scheme val="none"/>
      </font>
      <fill>
        <patternFill patternType="solid">
          <fgColor indexed="64"/>
          <bgColor rgb="FF1F2937"/>
        </patternFill>
      </fill>
    </dxf>
    <dxf>
      <numFmt numFmtId="2" formatCode="0.00"/>
    </dxf>
    <dxf>
      <fill>
        <patternFill>
          <bgColor rgb="FFFFFF00"/>
        </patternFill>
      </fill>
    </dxf>
    <dxf>
      <fill>
        <patternFill>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8</xdr:col>
      <xdr:colOff>662941</xdr:colOff>
      <xdr:row>1</xdr:row>
      <xdr:rowOff>53340</xdr:rowOff>
    </xdr:from>
    <xdr:ext cx="5364479" cy="1986826"/>
    <xdr:sp macro="" textlink="">
      <xdr:nvSpPr>
        <xdr:cNvPr id="2" name="TextBox 1">
          <a:extLst>
            <a:ext uri="{FF2B5EF4-FFF2-40B4-BE49-F238E27FC236}">
              <a16:creationId xmlns:a16="http://schemas.microsoft.com/office/drawing/2014/main" id="{0CA2E5A7-7FDA-066C-82F1-9EF325412F96}"/>
            </a:ext>
          </a:extLst>
        </xdr:cNvPr>
        <xdr:cNvSpPr txBox="1"/>
      </xdr:nvSpPr>
      <xdr:spPr>
        <a:xfrm>
          <a:off x="7132321" y="228600"/>
          <a:ext cx="5364479" cy="198682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PH" sz="1100">
              <a:solidFill>
                <a:schemeClr val="tx1"/>
              </a:solidFill>
              <a:effectLst/>
              <a:latin typeface="+mn-lt"/>
              <a:ea typeface="+mn-ea"/>
              <a:cs typeface="+mn-cs"/>
            </a:rPr>
            <a:t>When the next period's raw data arrives,</a:t>
          </a:r>
          <a:r>
            <a:rPr lang="en-PH" sz="1100" baseline="0">
              <a:solidFill>
                <a:schemeClr val="tx1"/>
              </a:solidFill>
              <a:effectLst/>
              <a:latin typeface="+mn-lt"/>
              <a:ea typeface="+mn-ea"/>
              <a:cs typeface="+mn-cs"/>
            </a:rPr>
            <a:t> do the following:</a:t>
          </a:r>
        </a:p>
        <a:p>
          <a:pPr lvl="0"/>
          <a:endParaRPr lang="en-PH" sz="1100" baseline="0">
            <a:solidFill>
              <a:schemeClr val="tx1"/>
            </a:solidFill>
            <a:effectLst/>
            <a:latin typeface="+mn-lt"/>
            <a:ea typeface="+mn-ea"/>
            <a:cs typeface="+mn-cs"/>
          </a:endParaRPr>
        </a:p>
        <a:p>
          <a:pPr lvl="0"/>
          <a:r>
            <a:rPr lang="en-PH" sz="1100">
              <a:solidFill>
                <a:schemeClr val="tx1"/>
              </a:solidFill>
              <a:effectLst/>
              <a:latin typeface="+mn-lt"/>
              <a:ea typeface="+mn-ea"/>
              <a:cs typeface="+mn-cs"/>
            </a:rPr>
            <a:t>-</a:t>
          </a:r>
          <a:r>
            <a:rPr lang="en-PH" sz="1100" baseline="0">
              <a:solidFill>
                <a:schemeClr val="tx1"/>
              </a:solidFill>
              <a:effectLst/>
              <a:latin typeface="+mn-lt"/>
              <a:ea typeface="+mn-ea"/>
              <a:cs typeface="+mn-cs"/>
            </a:rPr>
            <a:t> P</a:t>
          </a:r>
          <a:r>
            <a:rPr lang="en-PH" sz="1100">
              <a:solidFill>
                <a:schemeClr val="tx1"/>
              </a:solidFill>
              <a:effectLst/>
              <a:latin typeface="+mn-lt"/>
              <a:ea typeface="+mn-ea"/>
              <a:cs typeface="+mn-cs"/>
            </a:rPr>
            <a:t>aste the new records into the </a:t>
          </a:r>
          <a:r>
            <a:rPr lang="en-PH" sz="1100" b="1">
              <a:solidFill>
                <a:schemeClr val="tx1"/>
              </a:solidFill>
              <a:effectLst/>
              <a:latin typeface="+mn-lt"/>
              <a:ea typeface="+mn-ea"/>
              <a:cs typeface="+mn-cs"/>
            </a:rPr>
            <a:t>Transactions </a:t>
          </a:r>
          <a:r>
            <a:rPr lang="en-PH" sz="1100">
              <a:solidFill>
                <a:schemeClr val="tx1"/>
              </a:solidFill>
              <a:effectLst/>
              <a:latin typeface="+mn-lt"/>
              <a:ea typeface="+mn-ea"/>
              <a:cs typeface="+mn-cs"/>
            </a:rPr>
            <a:t>and </a:t>
          </a:r>
          <a:r>
            <a:rPr lang="en-PH" sz="1100" b="1">
              <a:solidFill>
                <a:schemeClr val="tx1"/>
              </a:solidFill>
              <a:effectLst/>
              <a:latin typeface="+mn-lt"/>
              <a:ea typeface="+mn-ea"/>
              <a:cs typeface="+mn-cs"/>
            </a:rPr>
            <a:t>Admissions</a:t>
          </a:r>
          <a:r>
            <a:rPr lang="en-PH" sz="1100">
              <a:solidFill>
                <a:schemeClr val="tx1"/>
              </a:solidFill>
              <a:effectLst/>
              <a:latin typeface="+mn-lt"/>
              <a:ea typeface="+mn-ea"/>
              <a:cs typeface="+mn-cs"/>
            </a:rPr>
            <a:t> sheets (or replace the source files). </a:t>
          </a:r>
        </a:p>
        <a:p>
          <a:pPr lvl="0"/>
          <a:endParaRPr lang="en-PH" sz="1100">
            <a:solidFill>
              <a:schemeClr val="tx1"/>
            </a:solidFill>
            <a:effectLst/>
            <a:latin typeface="+mn-lt"/>
            <a:ea typeface="+mn-ea"/>
            <a:cs typeface="+mn-cs"/>
          </a:endParaRPr>
        </a:p>
        <a:p>
          <a:pPr lvl="0"/>
          <a:r>
            <a:rPr lang="en-PH" sz="1100">
              <a:solidFill>
                <a:schemeClr val="tx1"/>
              </a:solidFill>
              <a:effectLst/>
              <a:latin typeface="+mn-lt"/>
              <a:ea typeface="+mn-ea"/>
              <a:cs typeface="+mn-cs"/>
            </a:rPr>
            <a:t>-</a:t>
          </a:r>
          <a:r>
            <a:rPr lang="en-PH" sz="1100" baseline="0">
              <a:solidFill>
                <a:schemeClr val="tx1"/>
              </a:solidFill>
              <a:effectLst/>
              <a:latin typeface="+mn-lt"/>
              <a:ea typeface="+mn-ea"/>
              <a:cs typeface="+mn-cs"/>
            </a:rPr>
            <a:t> </a:t>
          </a:r>
          <a:r>
            <a:rPr lang="en-PH" sz="1100">
              <a:solidFill>
                <a:schemeClr val="tx1"/>
              </a:solidFill>
              <a:effectLst/>
              <a:latin typeface="+mn-lt"/>
              <a:ea typeface="+mn-ea"/>
              <a:cs typeface="+mn-cs"/>
            </a:rPr>
            <a:t>Go to the ribbon and click </a:t>
          </a:r>
          <a:r>
            <a:rPr lang="en-PH" sz="1100" b="1">
              <a:solidFill>
                <a:schemeClr val="tx1"/>
              </a:solidFill>
              <a:effectLst/>
              <a:latin typeface="+mn-lt"/>
              <a:ea typeface="+mn-ea"/>
              <a:cs typeface="+mn-cs"/>
            </a:rPr>
            <a:t>Data &gt; Refresh All</a:t>
          </a:r>
          <a:r>
            <a:rPr lang="en-PH" sz="1100">
              <a:solidFill>
                <a:schemeClr val="tx1"/>
              </a:solidFill>
              <a:effectLst/>
              <a:latin typeface="+mn-lt"/>
              <a:ea typeface="+mn-ea"/>
              <a:cs typeface="+mn-cs"/>
            </a:rPr>
            <a:t>. </a:t>
          </a:r>
        </a:p>
        <a:p>
          <a:pPr lvl="0"/>
          <a:endParaRPr lang="en-PH" sz="1100">
            <a:solidFill>
              <a:schemeClr val="tx1"/>
            </a:solidFill>
            <a:effectLst/>
            <a:latin typeface="+mn-lt"/>
            <a:ea typeface="+mn-ea"/>
            <a:cs typeface="+mn-cs"/>
          </a:endParaRPr>
        </a:p>
        <a:p>
          <a:pPr lvl="0"/>
          <a:r>
            <a:rPr lang="en-PH" sz="1100">
              <a:solidFill>
                <a:schemeClr val="tx1"/>
              </a:solidFill>
              <a:effectLst/>
              <a:latin typeface="+mn-lt"/>
              <a:ea typeface="+mn-ea"/>
              <a:cs typeface="+mn-cs"/>
            </a:rPr>
            <a:t>Power Query automatically reruns all duplicate detection, validates refunds against completed sales, routes invalid rows to the Exceptions sheet, attributes refund clawbacks to the original seller, and updates all payout amounts and bonus qualifications across the entire file without manual intervention.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160020</xdr:rowOff>
    </xdr:from>
    <xdr:ext cx="4762500" cy="5102145"/>
    <xdr:sp macro="" textlink="">
      <xdr:nvSpPr>
        <xdr:cNvPr id="3" name="TextBox 2">
          <a:extLst>
            <a:ext uri="{FF2B5EF4-FFF2-40B4-BE49-F238E27FC236}">
              <a16:creationId xmlns:a16="http://schemas.microsoft.com/office/drawing/2014/main" id="{F7A1AB8B-5E16-4A7D-9D0D-A9825F31F71E}"/>
            </a:ext>
          </a:extLst>
        </xdr:cNvPr>
        <xdr:cNvSpPr txBox="1"/>
      </xdr:nvSpPr>
      <xdr:spPr>
        <a:xfrm>
          <a:off x="8999220" y="335280"/>
          <a:ext cx="4762500" cy="510214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b="0" i="0">
              <a:solidFill>
                <a:schemeClr val="tx1"/>
              </a:solidFill>
              <a:effectLst/>
              <a:latin typeface="+mn-lt"/>
              <a:ea typeface="+mn-ea"/>
              <a:cs typeface="+mn-cs"/>
            </a:rPr>
            <a:t>Garden Wing ran the MIDYEAR-CIRCLE campaign, generating 76 DESK sales at 225 credits each. The promotion subsequently experienced 57 refunds, resulting in a 75.0% refund rate. In total, Garden Wing accounted for 61.74% of all refunds across the museum group (71 of 115). </a:t>
          </a:r>
        </a:p>
        <a:p>
          <a:endParaRPr lang="en-PH" sz="1100" b="0" i="0">
            <a:solidFill>
              <a:schemeClr val="tx1"/>
            </a:solidFill>
            <a:effectLst/>
            <a:latin typeface="+mn-lt"/>
            <a:ea typeface="+mn-ea"/>
            <a:cs typeface="+mn-cs"/>
          </a:endParaRPr>
        </a:p>
        <a:p>
          <a:r>
            <a:rPr lang="en-PH" sz="1100" b="0" i="0">
              <a:solidFill>
                <a:schemeClr val="tx1"/>
              </a:solidFill>
              <a:effectLst/>
              <a:latin typeface="+mn-lt"/>
              <a:ea typeface="+mn-ea"/>
              <a:cs typeface="+mn-cs"/>
            </a:rPr>
            <a:t>The data establishes that the anomaly is strictly confined to Garden Wing and the MIDYEAR-CIRCLE offer. Daily attendance averaged 454 visitors/day across June 18–28 versus a monthly baseline of 461, confirming the spike was not caused by visitor volume. </a:t>
          </a:r>
        </a:p>
        <a:p>
          <a:endParaRPr lang="en-PH" sz="1100" b="0" i="0">
            <a:solidFill>
              <a:schemeClr val="tx1"/>
            </a:solidFill>
            <a:effectLst/>
            <a:latin typeface="+mn-lt"/>
            <a:ea typeface="+mn-ea"/>
            <a:cs typeface="+mn-cs"/>
          </a:endParaRPr>
        </a:p>
        <a:p>
          <a:r>
            <a:rPr lang="en-PH" sz="1100" b="1" i="0">
              <a:solidFill>
                <a:schemeClr val="tx1"/>
              </a:solidFill>
              <a:effectLst/>
              <a:latin typeface="+mn-lt"/>
              <a:ea typeface="+mn-ea"/>
              <a:cs typeface="+mn-cs"/>
            </a:rPr>
            <a:t>Incentive Impact: </a:t>
          </a:r>
          <a:r>
            <a:rPr lang="en-PH" sz="1100" b="0" i="0">
              <a:solidFill>
                <a:schemeClr val="tx1"/>
              </a:solidFill>
              <a:effectLst/>
              <a:latin typeface="+mn-lt"/>
              <a:ea typeface="+mn-ea"/>
              <a:cs typeface="+mn-cs"/>
            </a:rPr>
            <a:t>At a 12% commission of CIRCLE, the initial 76 sales generated 2,052.00 credits in commissions across 12 associates (27.00 credits/sale). The 57 cancellations clawed back 1,539.00 credits from original sellers.</a:t>
          </a:r>
        </a:p>
        <a:p>
          <a:endParaRPr lang="en-PH" sz="1100" b="0" i="0">
            <a:solidFill>
              <a:schemeClr val="tx1"/>
            </a:solidFill>
            <a:effectLst/>
            <a:latin typeface="+mn-lt"/>
            <a:ea typeface="+mn-ea"/>
            <a:cs typeface="+mn-cs"/>
          </a:endParaRPr>
        </a:p>
        <a:p>
          <a:r>
            <a:rPr lang="en-PH" sz="1100" b="1" i="0">
              <a:solidFill>
                <a:schemeClr val="tx1"/>
              </a:solidFill>
              <a:effectLst/>
              <a:latin typeface="+mn-lt"/>
              <a:ea typeface="+mn-ea"/>
              <a:cs typeface="+mn-cs"/>
            </a:rPr>
            <a:t>Plausible Causes:</a:t>
          </a:r>
        </a:p>
        <a:p>
          <a:r>
            <a:rPr lang="en-PH" sz="1100" b="0" i="0">
              <a:solidFill>
                <a:schemeClr val="tx1"/>
              </a:solidFill>
              <a:effectLst/>
              <a:latin typeface="+mn-lt"/>
              <a:ea typeface="+mn-ea"/>
              <a:cs typeface="+mn-cs"/>
            </a:rPr>
            <a:t>Multiple Sign-ups / Exploitation: A single entity or related individuals made repeat purchases to exploit entrance permissions and subsequently canceled for full refunds. </a:t>
          </a:r>
        </a:p>
        <a:p>
          <a:r>
            <a:rPr lang="en-PH" sz="1100" b="0" i="0">
              <a:solidFill>
                <a:schemeClr val="tx1"/>
              </a:solidFill>
              <a:effectLst/>
              <a:latin typeface="+mn-lt"/>
              <a:ea typeface="+mn-ea"/>
              <a:cs typeface="+mn-cs"/>
            </a:rPr>
            <a:t>Misrepresented / Unclear Promotion: Staff promoted the membership without clear benefit distinctions or value over standard Circle tiers, triggering immediate buyer remorse once terms were reviewed. </a:t>
          </a:r>
        </a:p>
        <a:p>
          <a:r>
            <a:rPr lang="en-PH" sz="1100" b="1" i="0">
              <a:solidFill>
                <a:schemeClr val="tx1"/>
              </a:solidFill>
              <a:effectLst/>
              <a:latin typeface="+mn-lt"/>
              <a:ea typeface="+mn-ea"/>
              <a:cs typeface="+mn-cs"/>
            </a:rPr>
            <a:t>Distinguishing Checks:</a:t>
          </a:r>
        </a:p>
        <a:p>
          <a:r>
            <a:rPr lang="en-PH" sz="1100" b="0" i="0">
              <a:solidFill>
                <a:schemeClr val="tx1"/>
              </a:solidFill>
              <a:effectLst/>
              <a:latin typeface="+mn-lt"/>
              <a:ea typeface="+mn-ea"/>
              <a:cs typeface="+mn-cs"/>
            </a:rPr>
            <a:t>Payment &amp; Identity Audit: Review payment tokens, card numbers, and contact details across the 57 refunds. Shared payment credentials or repetitive walk-in cancellations confirm deliberate exploitation/repeat refunding by isolated parties. </a:t>
          </a:r>
        </a:p>
        <a:p>
          <a:r>
            <a:rPr lang="en-PH" sz="1100" b="0" i="0">
              <a:solidFill>
                <a:schemeClr val="tx1"/>
              </a:solidFill>
              <a:effectLst/>
              <a:latin typeface="+mn-lt"/>
              <a:ea typeface="+mn-ea"/>
              <a:cs typeface="+mn-cs"/>
            </a:rPr>
            <a:t>Member Logs &amp; Reason Codes: Audit member profile activations and support feedback logs. Unactivated profiles or billing disputes distinguish promotional misrepresentation from legitimate usage.</a:t>
          </a:r>
          <a:endParaRPr lang="en-PH"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l Esta" refreshedDate="46305.046905324074" createdVersion="8" refreshedVersion="8" minRefreshableVersion="3" recordCount="2121" xr:uid="{C7540714-5A73-4696-9225-14C203705F0C}">
  <cacheSource type="worksheet">
    <worksheetSource name="Table1"/>
  </cacheSource>
  <cacheFields count="12">
    <cacheField name="transaction_id" numFmtId="0">
      <sharedItems/>
    </cacheField>
    <cacheField name="date" numFmtId="0">
      <sharedItems count="30">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haredItems>
    </cacheField>
    <cacheField name="venue" numFmtId="0">
      <sharedItems count="4">
        <s v="North Gallery"/>
        <s v="River Annex"/>
        <s v="Garden Wing"/>
        <s v="Clock Hall"/>
      </sharedItems>
    </cacheField>
    <cacheField name="associate_id" numFmtId="0">
      <sharedItems/>
    </cacheField>
    <cacheField name="event_type" numFmtId="0">
      <sharedItems count="2">
        <s v="SALE"/>
        <s v="REFUND"/>
      </sharedItems>
    </cacheField>
    <cacheField name="sale_kind" numFmtId="0">
      <sharedItems/>
    </cacheField>
    <cacheField name="product" numFmtId="0">
      <sharedItems/>
    </cacheField>
    <cacheField name="channel" numFmtId="0">
      <sharedItems/>
    </cacheField>
    <cacheField name="status" numFmtId="0">
      <sharedItems/>
    </cacheField>
    <cacheField name="amount_credits" numFmtId="4">
      <sharedItems containsSemiMixedTypes="0" containsString="0" containsNumber="1" containsInteger="1" minValue="90" maxValue="300"/>
    </cacheField>
    <cacheField name="original_transaction_id" numFmtId="0">
      <sharedItems containsBlank="1"/>
    </cacheField>
    <cacheField name="offer_code" numFmtId="0">
      <sharedItems containsBlank="1" count="3">
        <m/>
        <s v="OPEN-DAY"/>
        <s v="MIDYEAR-CIRC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l Esta" refreshedDate="46305.08183333333" createdVersion="8" refreshedVersion="8" minRefreshableVersion="3" recordCount="120" xr:uid="{1DA574B3-8090-4F7F-AD1A-9242F41ECB31}">
  <cacheSource type="worksheet">
    <worksheetSource name="Table2"/>
  </cacheSource>
  <cacheFields count="3">
    <cacheField name="date" numFmtId="0">
      <sharedItems count="30">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haredItems>
    </cacheField>
    <cacheField name="venue" numFmtId="0">
      <sharedItems count="4">
        <s v="North Gallery"/>
        <s v="River Annex"/>
        <s v="Garden Wing"/>
        <s v="Clock Hall"/>
      </sharedItems>
    </cacheField>
    <cacheField name="admissions" numFmtId="0">
      <sharedItems containsSemiMixedTypes="0" containsString="0" containsNumber="1" containsInteger="1" minValue="423" maxValue="6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T00001"/>
    <x v="0"/>
    <x v="0"/>
    <s v="A011"/>
    <x v="0"/>
    <s v="NEW"/>
    <s v="Duo"/>
    <s v="DESK"/>
    <s v="COMPLETED"/>
    <n v="200"/>
    <m/>
    <x v="0"/>
  </r>
  <r>
    <s v="T00002"/>
    <x v="0"/>
    <x v="0"/>
    <s v="A008"/>
    <x v="0"/>
    <s v="NEW"/>
    <s v="Single"/>
    <s v="ONLINE"/>
    <s v="COMPLETED"/>
    <n v="120"/>
    <m/>
    <x v="0"/>
  </r>
  <r>
    <s v="T00003"/>
    <x v="0"/>
    <x v="0"/>
    <s v="A004"/>
    <x v="0"/>
    <s v="NEW"/>
    <s v="Duo"/>
    <s v="DESK"/>
    <s v="COMPLETED"/>
    <n v="200"/>
    <m/>
    <x v="0"/>
  </r>
  <r>
    <s v="T00004"/>
    <x v="0"/>
    <x v="0"/>
    <s v="A002"/>
    <x v="0"/>
    <s v="NEW"/>
    <s v="Single"/>
    <s v="DESK"/>
    <s v="COMPLETED"/>
    <n v="102"/>
    <m/>
    <x v="1"/>
  </r>
  <r>
    <s v="T00005"/>
    <x v="0"/>
    <x v="0"/>
    <s v="A001"/>
    <x v="0"/>
    <s v="NEW"/>
    <s v="Circle"/>
    <s v="DESK"/>
    <s v="COMPLETED"/>
    <n v="300"/>
    <m/>
    <x v="0"/>
  </r>
  <r>
    <s v="T00006"/>
    <x v="0"/>
    <x v="0"/>
    <s v="A003"/>
    <x v="0"/>
    <s v="RENEWAL"/>
    <s v="Circle"/>
    <s v="DESK"/>
    <s v="COMPLETED"/>
    <n v="300"/>
    <m/>
    <x v="0"/>
  </r>
  <r>
    <s v="T00007"/>
    <x v="0"/>
    <x v="0"/>
    <s v="A005"/>
    <x v="0"/>
    <s v="NEW"/>
    <s v="Duo"/>
    <s v="DESK"/>
    <s v="COMPLETED"/>
    <n v="200"/>
    <m/>
    <x v="0"/>
  </r>
  <r>
    <s v="T00008"/>
    <x v="0"/>
    <x v="0"/>
    <s v="A002"/>
    <x v="0"/>
    <s v="NEW"/>
    <s v="Duo"/>
    <s v="DESK"/>
    <s v="COMPLETED"/>
    <n v="200"/>
    <m/>
    <x v="0"/>
  </r>
  <r>
    <s v="T00009"/>
    <x v="0"/>
    <x v="0"/>
    <s v="A007"/>
    <x v="0"/>
    <s v="NEW"/>
    <s v="Duo"/>
    <s v="DESK"/>
    <s v="COMPLETED"/>
    <n v="200"/>
    <m/>
    <x v="0"/>
  </r>
  <r>
    <s v="T00010"/>
    <x v="0"/>
    <x v="0"/>
    <s v="A012"/>
    <x v="0"/>
    <s v="NEW"/>
    <s v="Single"/>
    <s v="DESK"/>
    <s v="COMPLETED"/>
    <n v="120"/>
    <m/>
    <x v="0"/>
  </r>
  <r>
    <s v="T00011"/>
    <x v="0"/>
    <x v="0"/>
    <s v="A003"/>
    <x v="0"/>
    <s v="NEW"/>
    <s v="Single"/>
    <s v="DESK"/>
    <s v="COMPLETED"/>
    <n v="120"/>
    <m/>
    <x v="0"/>
  </r>
  <r>
    <s v="T00012"/>
    <x v="0"/>
    <x v="0"/>
    <s v="A012"/>
    <x v="0"/>
    <s v="NEW"/>
    <s v="Circle"/>
    <s v="DESK"/>
    <s v="COMPLETED"/>
    <n v="300"/>
    <m/>
    <x v="0"/>
  </r>
  <r>
    <s v="T00013"/>
    <x v="0"/>
    <x v="0"/>
    <s v="A007"/>
    <x v="0"/>
    <s v="NEW"/>
    <s v="Single"/>
    <s v="DESK"/>
    <s v="COMPLETED"/>
    <n v="120"/>
    <m/>
    <x v="0"/>
  </r>
  <r>
    <s v="T00014"/>
    <x v="0"/>
    <x v="1"/>
    <s v="A017"/>
    <x v="0"/>
    <s v="NEW"/>
    <s v="Circle"/>
    <s v="DESK"/>
    <s v="COMPLETED"/>
    <n v="255"/>
    <m/>
    <x v="1"/>
  </r>
  <r>
    <s v="T00015"/>
    <x v="0"/>
    <x v="1"/>
    <s v="A022"/>
    <x v="0"/>
    <s v="NEW"/>
    <s v="Single"/>
    <s v="DESK"/>
    <s v="COMPLETED"/>
    <n v="120"/>
    <m/>
    <x v="0"/>
  </r>
  <r>
    <s v="T00016"/>
    <x v="0"/>
    <x v="1"/>
    <s v="A020"/>
    <x v="0"/>
    <s v="NEW"/>
    <s v="Duo"/>
    <s v="DESK"/>
    <s v="PENDING"/>
    <n v="200"/>
    <m/>
    <x v="0"/>
  </r>
  <r>
    <s v="T00017"/>
    <x v="0"/>
    <x v="1"/>
    <s v="A013"/>
    <x v="0"/>
    <s v="RENEWAL"/>
    <s v="Single"/>
    <s v="DESK"/>
    <s v="PENDING"/>
    <n v="102"/>
    <m/>
    <x v="1"/>
  </r>
  <r>
    <s v="T00018"/>
    <x v="0"/>
    <x v="1"/>
    <s v="A020"/>
    <x v="0"/>
    <s v="NEW"/>
    <s v="Single"/>
    <s v="DESK"/>
    <s v="COMPLETED"/>
    <n v="120"/>
    <m/>
    <x v="0"/>
  </r>
  <r>
    <s v="T00019"/>
    <x v="0"/>
    <x v="1"/>
    <s v="A013"/>
    <x v="0"/>
    <s v="NEW"/>
    <s v="Duo"/>
    <s v="DESK"/>
    <s v="COMPLETED"/>
    <n v="200"/>
    <m/>
    <x v="0"/>
  </r>
  <r>
    <s v="T00020"/>
    <x v="0"/>
    <x v="1"/>
    <s v="A016"/>
    <x v="0"/>
    <s v="NEW"/>
    <s v="Circle"/>
    <s v="DESK"/>
    <s v="COMPLETED"/>
    <n v="300"/>
    <m/>
    <x v="0"/>
  </r>
  <r>
    <s v="T00021"/>
    <x v="0"/>
    <x v="1"/>
    <s v="A020"/>
    <x v="0"/>
    <s v="RENEWAL"/>
    <s v="Duo"/>
    <s v="DESK"/>
    <s v="COMPLETED"/>
    <n v="150"/>
    <m/>
    <x v="1"/>
  </r>
  <r>
    <s v="T00022"/>
    <x v="0"/>
    <x v="1"/>
    <s v="A021"/>
    <x v="0"/>
    <s v="RENEWAL"/>
    <s v="Single"/>
    <s v="DESK"/>
    <s v="COMPLETED"/>
    <n v="120"/>
    <m/>
    <x v="0"/>
  </r>
  <r>
    <s v="T00023"/>
    <x v="0"/>
    <x v="1"/>
    <s v="A019"/>
    <x v="0"/>
    <s v="NEW"/>
    <s v="Circle"/>
    <s v="DESK"/>
    <s v="COMPLETED"/>
    <n v="300"/>
    <m/>
    <x v="0"/>
  </r>
  <r>
    <s v="T00024"/>
    <x v="0"/>
    <x v="1"/>
    <s v="A014"/>
    <x v="0"/>
    <s v="NEW"/>
    <s v="Circle"/>
    <s v="DESK"/>
    <s v="COMPLETED"/>
    <n v="300"/>
    <m/>
    <x v="0"/>
  </r>
  <r>
    <s v="T00025"/>
    <x v="0"/>
    <x v="1"/>
    <s v="A022"/>
    <x v="0"/>
    <s v="RENEWAL"/>
    <s v="Single"/>
    <s v="ONLINE"/>
    <s v="COMPLETED"/>
    <n v="120"/>
    <m/>
    <x v="0"/>
  </r>
  <r>
    <s v="T00026"/>
    <x v="0"/>
    <x v="1"/>
    <s v="A016"/>
    <x v="0"/>
    <s v="NEW"/>
    <s v="Circle"/>
    <s v="ONLINE"/>
    <s v="COMPLETED"/>
    <n v="300"/>
    <m/>
    <x v="0"/>
  </r>
  <r>
    <s v="T00027"/>
    <x v="0"/>
    <x v="1"/>
    <s v="A021"/>
    <x v="0"/>
    <s v="RENEWAL"/>
    <s v="Duo"/>
    <s v="ONLINE"/>
    <s v="COMPLETED"/>
    <n v="200"/>
    <m/>
    <x v="0"/>
  </r>
  <r>
    <s v="T00028"/>
    <x v="0"/>
    <x v="1"/>
    <s v="A023"/>
    <x v="0"/>
    <s v="NEW"/>
    <s v="Single"/>
    <s v="DESK"/>
    <s v="COMPLETED"/>
    <n v="120"/>
    <m/>
    <x v="0"/>
  </r>
  <r>
    <s v="T00029"/>
    <x v="0"/>
    <x v="1"/>
    <s v="A024"/>
    <x v="0"/>
    <s v="NEW"/>
    <s v="Duo"/>
    <s v="DESK"/>
    <s v="VOID"/>
    <n v="200"/>
    <m/>
    <x v="0"/>
  </r>
  <r>
    <s v="T00030"/>
    <x v="0"/>
    <x v="1"/>
    <s v="A024"/>
    <x v="0"/>
    <s v="NEW"/>
    <s v="Circle"/>
    <s v="DESK"/>
    <s v="COMPLETED"/>
    <n v="300"/>
    <m/>
    <x v="0"/>
  </r>
  <r>
    <s v="T00031"/>
    <x v="0"/>
    <x v="1"/>
    <s v="A023"/>
    <x v="0"/>
    <s v="NEW"/>
    <s v="Duo"/>
    <s v="DESK"/>
    <s v="COMPLETED"/>
    <n v="200"/>
    <m/>
    <x v="0"/>
  </r>
  <r>
    <s v="T00032"/>
    <x v="0"/>
    <x v="2"/>
    <s v="A030"/>
    <x v="0"/>
    <s v="NEW"/>
    <s v="Single"/>
    <s v="DESK"/>
    <s v="COMPLETED"/>
    <n v="120"/>
    <m/>
    <x v="0"/>
  </r>
  <r>
    <s v="T00033"/>
    <x v="0"/>
    <x v="2"/>
    <s v="A035"/>
    <x v="0"/>
    <s v="NEW"/>
    <s v="Duo"/>
    <s v="DESK"/>
    <s v="COMPLETED"/>
    <n v="200"/>
    <m/>
    <x v="0"/>
  </r>
  <r>
    <s v="T00034"/>
    <x v="0"/>
    <x v="2"/>
    <s v="A036"/>
    <x v="0"/>
    <s v="NEW"/>
    <s v="Single"/>
    <s v="DESK"/>
    <s v="COMPLETED"/>
    <n v="102"/>
    <m/>
    <x v="1"/>
  </r>
  <r>
    <s v="T00035"/>
    <x v="0"/>
    <x v="2"/>
    <s v="A026"/>
    <x v="0"/>
    <s v="NEW"/>
    <s v="Single"/>
    <s v="DESK"/>
    <s v="VOID"/>
    <n v="120"/>
    <m/>
    <x v="0"/>
  </r>
  <r>
    <s v="T00036"/>
    <x v="0"/>
    <x v="2"/>
    <s v="A028"/>
    <x v="0"/>
    <s v="NEW"/>
    <s v="Single"/>
    <s v="DESK"/>
    <s v="COMPLETED"/>
    <n v="120"/>
    <m/>
    <x v="0"/>
  </r>
  <r>
    <s v="T00037"/>
    <x v="0"/>
    <x v="2"/>
    <s v="A027"/>
    <x v="0"/>
    <s v="NEW"/>
    <s v="Duo"/>
    <s v="ONLINE"/>
    <s v="COMPLETED"/>
    <n v="200"/>
    <m/>
    <x v="0"/>
  </r>
  <r>
    <s v="T00038"/>
    <x v="0"/>
    <x v="2"/>
    <s v="A027"/>
    <x v="0"/>
    <s v="NEW"/>
    <s v="Duo"/>
    <s v="DESK"/>
    <s v="COMPLETED"/>
    <n v="200"/>
    <m/>
    <x v="0"/>
  </r>
  <r>
    <s v="T00039"/>
    <x v="0"/>
    <x v="2"/>
    <s v="A026"/>
    <x v="0"/>
    <s v="NEW"/>
    <s v="Duo"/>
    <s v="DESK"/>
    <s v="COMPLETED"/>
    <n v="200"/>
    <m/>
    <x v="0"/>
  </r>
  <r>
    <s v="T00039"/>
    <x v="0"/>
    <x v="2"/>
    <s v="A026"/>
    <x v="0"/>
    <s v="NEW"/>
    <s v="Duo"/>
    <s v="DESK"/>
    <s v="COMPLETED"/>
    <n v="200"/>
    <m/>
    <x v="0"/>
  </r>
  <r>
    <s v="T00040"/>
    <x v="0"/>
    <x v="2"/>
    <s v="A029"/>
    <x v="0"/>
    <s v="NEW"/>
    <s v="Duo"/>
    <s v="DESK"/>
    <s v="COMPLETED"/>
    <n v="200"/>
    <m/>
    <x v="0"/>
  </r>
  <r>
    <s v="T00041"/>
    <x v="0"/>
    <x v="2"/>
    <s v="A035"/>
    <x v="0"/>
    <s v="NEW"/>
    <s v="Duo"/>
    <s v="DESK"/>
    <s v="COMPLETED"/>
    <n v="150"/>
    <m/>
    <x v="1"/>
  </r>
  <r>
    <s v="T00042"/>
    <x v="0"/>
    <x v="2"/>
    <s v="A027"/>
    <x v="0"/>
    <s v="NEW"/>
    <s v="Duo"/>
    <s v="DESK"/>
    <s v="COMPLETED"/>
    <n v="200"/>
    <m/>
    <x v="0"/>
  </r>
  <r>
    <s v="T00043"/>
    <x v="0"/>
    <x v="2"/>
    <s v="A033"/>
    <x v="0"/>
    <s v="RENEWAL"/>
    <s v="Duo"/>
    <s v="DESK"/>
    <s v="PENDING"/>
    <n v="170"/>
    <m/>
    <x v="1"/>
  </r>
  <r>
    <s v="T00044"/>
    <x v="0"/>
    <x v="2"/>
    <s v="A033"/>
    <x v="0"/>
    <s v="NEW"/>
    <s v="Duo"/>
    <s v="DESK"/>
    <s v="COMPLETED"/>
    <n v="200"/>
    <m/>
    <x v="0"/>
  </r>
  <r>
    <s v="T00045"/>
    <x v="0"/>
    <x v="2"/>
    <s v="A028"/>
    <x v="0"/>
    <s v="NEW"/>
    <s v="Single"/>
    <s v="DESK"/>
    <s v="COMPLETED"/>
    <n v="120"/>
    <m/>
    <x v="0"/>
  </r>
  <r>
    <s v="T00046"/>
    <x v="0"/>
    <x v="2"/>
    <s v="A033"/>
    <x v="0"/>
    <s v="NEW"/>
    <s v="Duo"/>
    <s v="DESK"/>
    <s v="COMPLETED"/>
    <n v="200"/>
    <m/>
    <x v="0"/>
  </r>
  <r>
    <s v="T00047"/>
    <x v="0"/>
    <x v="2"/>
    <s v="A025"/>
    <x v="0"/>
    <s v="NEW"/>
    <s v="Single"/>
    <s v="ONLINE"/>
    <s v="COMPLETED"/>
    <n v="120"/>
    <m/>
    <x v="0"/>
  </r>
  <r>
    <s v="T00048"/>
    <x v="0"/>
    <x v="2"/>
    <s v="A027"/>
    <x v="0"/>
    <s v="NEW"/>
    <s v="Circle"/>
    <s v="DESK"/>
    <s v="COMPLETED"/>
    <n v="300"/>
    <m/>
    <x v="0"/>
  </r>
  <r>
    <s v="T00049"/>
    <x v="0"/>
    <x v="3"/>
    <s v="A038"/>
    <x v="0"/>
    <s v="NEW"/>
    <s v="Duo"/>
    <s v="DESK"/>
    <s v="COMPLETED"/>
    <n v="200"/>
    <m/>
    <x v="0"/>
  </r>
  <r>
    <s v="T00050"/>
    <x v="0"/>
    <x v="3"/>
    <s v="A041"/>
    <x v="0"/>
    <s v="NEW"/>
    <s v="Single"/>
    <s v="DESK"/>
    <s v="COMPLETED"/>
    <n v="120"/>
    <m/>
    <x v="0"/>
  </r>
  <r>
    <s v="T00051"/>
    <x v="0"/>
    <x v="3"/>
    <s v="A048"/>
    <x v="0"/>
    <s v="NEW"/>
    <s v="Circle"/>
    <s v="DESK"/>
    <s v="COMPLETED"/>
    <n v="300"/>
    <m/>
    <x v="0"/>
  </r>
  <r>
    <s v="T00052"/>
    <x v="0"/>
    <x v="3"/>
    <s v="A046"/>
    <x v="0"/>
    <s v="NEW"/>
    <s v="Circle"/>
    <s v="DESK"/>
    <s v="COMPLETED"/>
    <n v="300"/>
    <m/>
    <x v="0"/>
  </r>
  <r>
    <s v="T00053"/>
    <x v="0"/>
    <x v="3"/>
    <s v="A041"/>
    <x v="0"/>
    <s v="RENEWAL"/>
    <s v="Circle"/>
    <s v="DESK"/>
    <s v="COMPLETED"/>
    <n v="300"/>
    <m/>
    <x v="0"/>
  </r>
  <r>
    <s v="T00054"/>
    <x v="0"/>
    <x v="3"/>
    <s v="A041"/>
    <x v="0"/>
    <s v="NEW"/>
    <s v="Single"/>
    <s v="DESK"/>
    <s v="COMPLETED"/>
    <n v="120"/>
    <m/>
    <x v="0"/>
  </r>
  <r>
    <s v="T00055"/>
    <x v="0"/>
    <x v="3"/>
    <s v="A042"/>
    <x v="0"/>
    <s v="NEW"/>
    <s v="Circle"/>
    <s v="DESK"/>
    <s v="COMPLETED"/>
    <n v="300"/>
    <m/>
    <x v="0"/>
  </r>
  <r>
    <s v="T00056"/>
    <x v="0"/>
    <x v="3"/>
    <s v="A037"/>
    <x v="0"/>
    <s v="NEW"/>
    <s v="Single"/>
    <s v="ONLINE"/>
    <s v="COMPLETED"/>
    <n v="120"/>
    <m/>
    <x v="0"/>
  </r>
  <r>
    <s v="T00057"/>
    <x v="0"/>
    <x v="3"/>
    <s v="A040"/>
    <x v="0"/>
    <s v="NEW"/>
    <s v="Single"/>
    <s v="DESK"/>
    <s v="COMPLETED"/>
    <n v="120"/>
    <m/>
    <x v="0"/>
  </r>
  <r>
    <s v="T00058"/>
    <x v="0"/>
    <x v="3"/>
    <s v="A040"/>
    <x v="0"/>
    <s v="NEW"/>
    <s v="Single"/>
    <s v="DESK"/>
    <s v="COMPLETED"/>
    <n v="120"/>
    <m/>
    <x v="0"/>
  </r>
  <r>
    <s v="T00059"/>
    <x v="0"/>
    <x v="3"/>
    <s v="A048"/>
    <x v="0"/>
    <s v="NEW"/>
    <s v="Circle"/>
    <s v="ONLINE"/>
    <s v="COMPLETED"/>
    <n v="300"/>
    <m/>
    <x v="0"/>
  </r>
  <r>
    <s v="T00060"/>
    <x v="0"/>
    <x v="3"/>
    <s v="A041"/>
    <x v="0"/>
    <s v="NEW"/>
    <s v="Single"/>
    <s v="DESK"/>
    <s v="COMPLETED"/>
    <n v="120"/>
    <m/>
    <x v="0"/>
  </r>
  <r>
    <s v="T00061"/>
    <x v="0"/>
    <x v="3"/>
    <s v="A041"/>
    <x v="0"/>
    <s v="RENEWAL"/>
    <s v="Circle"/>
    <s v="DESK"/>
    <s v="COMPLETED"/>
    <n v="300"/>
    <m/>
    <x v="0"/>
  </r>
  <r>
    <s v="T00062"/>
    <x v="0"/>
    <x v="3"/>
    <s v="A041"/>
    <x v="0"/>
    <s v="NEW"/>
    <s v="Circle"/>
    <s v="DESK"/>
    <s v="COMPLETED"/>
    <n v="300"/>
    <m/>
    <x v="0"/>
  </r>
  <r>
    <s v="T00063"/>
    <x v="1"/>
    <x v="0"/>
    <s v="A007"/>
    <x v="0"/>
    <s v="NEW"/>
    <s v="Duo"/>
    <s v="DESK"/>
    <s v="COMPLETED"/>
    <n v="200"/>
    <m/>
    <x v="0"/>
  </r>
  <r>
    <s v="T00064"/>
    <x v="1"/>
    <x v="0"/>
    <s v="A007"/>
    <x v="0"/>
    <s v="NEW"/>
    <s v="Duo"/>
    <s v="DESK"/>
    <s v="COMPLETED"/>
    <n v="170"/>
    <m/>
    <x v="1"/>
  </r>
  <r>
    <s v="T00065"/>
    <x v="1"/>
    <x v="0"/>
    <s v="A004"/>
    <x v="0"/>
    <s v="NEW"/>
    <s v="Circle"/>
    <s v="DESK"/>
    <s v="COMPLETED"/>
    <n v="300"/>
    <m/>
    <x v="0"/>
  </r>
  <r>
    <s v="T00066"/>
    <x v="1"/>
    <x v="0"/>
    <s v="A010"/>
    <x v="0"/>
    <s v="RENEWAL"/>
    <s v="Single"/>
    <s v="DESK"/>
    <s v="COMPLETED"/>
    <n v="120"/>
    <m/>
    <x v="0"/>
  </r>
  <r>
    <s v="T00067"/>
    <x v="1"/>
    <x v="0"/>
    <s v="A010"/>
    <x v="0"/>
    <s v="RENEWAL"/>
    <s v="Duo"/>
    <s v="DESK"/>
    <s v="COMPLETED"/>
    <n v="200"/>
    <m/>
    <x v="0"/>
  </r>
  <r>
    <s v="T00068"/>
    <x v="1"/>
    <x v="0"/>
    <s v="A001"/>
    <x v="0"/>
    <s v="NEW"/>
    <s v="Circle"/>
    <s v="DESK"/>
    <s v="COMPLETED"/>
    <n v="300"/>
    <m/>
    <x v="0"/>
  </r>
  <r>
    <s v="T00069"/>
    <x v="1"/>
    <x v="0"/>
    <s v="A007"/>
    <x v="0"/>
    <s v="NEW"/>
    <s v="Single"/>
    <s v="DESK"/>
    <s v="COMPLETED"/>
    <n v="120"/>
    <m/>
    <x v="0"/>
  </r>
  <r>
    <s v="T00070"/>
    <x v="1"/>
    <x v="0"/>
    <s v="A002"/>
    <x v="0"/>
    <s v="NEW"/>
    <s v="Single"/>
    <s v="DESK"/>
    <s v="COMPLETED"/>
    <n v="120"/>
    <m/>
    <x v="0"/>
  </r>
  <r>
    <s v="T00071"/>
    <x v="1"/>
    <x v="0"/>
    <s v="A006"/>
    <x v="0"/>
    <s v="RENEWAL"/>
    <s v="Circle"/>
    <s v="DESK"/>
    <s v="COMPLETED"/>
    <n v="225"/>
    <m/>
    <x v="1"/>
  </r>
  <r>
    <s v="T00072"/>
    <x v="1"/>
    <x v="0"/>
    <s v="A012"/>
    <x v="0"/>
    <s v="NEW"/>
    <s v="Duo"/>
    <s v="DESK"/>
    <s v="VOID"/>
    <n v="200"/>
    <m/>
    <x v="0"/>
  </r>
  <r>
    <s v="T00073"/>
    <x v="1"/>
    <x v="0"/>
    <s v="A002"/>
    <x v="0"/>
    <s v="NEW"/>
    <s v="Circle"/>
    <s v="DESK"/>
    <s v="COMPLETED"/>
    <n v="300"/>
    <m/>
    <x v="0"/>
  </r>
  <r>
    <s v="T00074"/>
    <x v="1"/>
    <x v="0"/>
    <s v="A003"/>
    <x v="0"/>
    <s v="NEW"/>
    <s v="Circle"/>
    <s v="DESK"/>
    <s v="COMPLETED"/>
    <n v="300"/>
    <m/>
    <x v="0"/>
  </r>
  <r>
    <s v="T00075"/>
    <x v="1"/>
    <x v="0"/>
    <s v="A004"/>
    <x v="0"/>
    <s v="NEW"/>
    <s v="Single"/>
    <s v="DESK"/>
    <s v="COMPLETED"/>
    <n v="120"/>
    <m/>
    <x v="0"/>
  </r>
  <r>
    <s v="T00076"/>
    <x v="1"/>
    <x v="1"/>
    <s v="A016"/>
    <x v="0"/>
    <s v="NEW"/>
    <s v="Duo"/>
    <s v="DESK"/>
    <s v="COMPLETED"/>
    <n v="200"/>
    <m/>
    <x v="0"/>
  </r>
  <r>
    <s v="T00077"/>
    <x v="1"/>
    <x v="1"/>
    <s v="A016"/>
    <x v="0"/>
    <s v="NEW"/>
    <s v="Single"/>
    <s v="DESK"/>
    <s v="VOID"/>
    <n v="120"/>
    <m/>
    <x v="0"/>
  </r>
  <r>
    <s v="T00078"/>
    <x v="1"/>
    <x v="1"/>
    <s v="A017"/>
    <x v="0"/>
    <s v="NEW"/>
    <s v="Circle"/>
    <s v="DESK"/>
    <s v="COMPLETED"/>
    <n v="300"/>
    <m/>
    <x v="0"/>
  </r>
  <r>
    <s v="T00079"/>
    <x v="1"/>
    <x v="1"/>
    <s v="A024"/>
    <x v="0"/>
    <s v="NEW"/>
    <s v="Single"/>
    <s v="DESK"/>
    <s v="COMPLETED"/>
    <n v="120"/>
    <m/>
    <x v="0"/>
  </r>
  <r>
    <s v="T00080"/>
    <x v="1"/>
    <x v="1"/>
    <s v="A020"/>
    <x v="0"/>
    <s v="NEW"/>
    <s v="Circle"/>
    <s v="DESK"/>
    <s v="COMPLETED"/>
    <n v="300"/>
    <m/>
    <x v="0"/>
  </r>
  <r>
    <s v="T00081"/>
    <x v="1"/>
    <x v="1"/>
    <s v="A015"/>
    <x v="0"/>
    <s v="NEW"/>
    <s v="Single"/>
    <s v="DESK"/>
    <s v="COMPLETED"/>
    <n v="90"/>
    <m/>
    <x v="1"/>
  </r>
  <r>
    <s v="T00082"/>
    <x v="1"/>
    <x v="1"/>
    <s v="A015"/>
    <x v="0"/>
    <s v="NEW"/>
    <s v="Single"/>
    <s v="ONLINE"/>
    <s v="COMPLETED"/>
    <n v="120"/>
    <m/>
    <x v="0"/>
  </r>
  <r>
    <s v="T00083"/>
    <x v="1"/>
    <x v="1"/>
    <s v="A020"/>
    <x v="0"/>
    <s v="NEW"/>
    <s v="Single"/>
    <s v="DESK"/>
    <s v="COMPLETED"/>
    <n v="120"/>
    <m/>
    <x v="0"/>
  </r>
  <r>
    <s v="T00084"/>
    <x v="1"/>
    <x v="1"/>
    <s v="A018"/>
    <x v="0"/>
    <s v="NEW"/>
    <s v="Circle"/>
    <s v="DESK"/>
    <s v="COMPLETED"/>
    <n v="300"/>
    <m/>
    <x v="0"/>
  </r>
  <r>
    <s v="T00085"/>
    <x v="1"/>
    <x v="1"/>
    <s v="A019"/>
    <x v="0"/>
    <s v="NEW"/>
    <s v="Duo"/>
    <s v="DESK"/>
    <s v="COMPLETED"/>
    <n v="200"/>
    <m/>
    <x v="0"/>
  </r>
  <r>
    <s v="T00086"/>
    <x v="1"/>
    <x v="1"/>
    <s v="A013"/>
    <x v="0"/>
    <s v="RENEWAL"/>
    <s v="Single"/>
    <s v="DESK"/>
    <s v="COMPLETED"/>
    <n v="120"/>
    <m/>
    <x v="0"/>
  </r>
  <r>
    <s v="T00087"/>
    <x v="1"/>
    <x v="1"/>
    <s v="A020"/>
    <x v="0"/>
    <s v="NEW"/>
    <s v="Duo"/>
    <s v="DESK"/>
    <s v="COMPLETED"/>
    <n v="200"/>
    <m/>
    <x v="0"/>
  </r>
  <r>
    <s v="T00088"/>
    <x v="1"/>
    <x v="1"/>
    <s v="A022"/>
    <x v="0"/>
    <s v="RENEWAL"/>
    <s v="Duo"/>
    <s v="DESK"/>
    <s v="COMPLETED"/>
    <n v="200"/>
    <m/>
    <x v="0"/>
  </r>
  <r>
    <s v="T00089"/>
    <x v="1"/>
    <x v="1"/>
    <s v="A014"/>
    <x v="0"/>
    <s v="NEW"/>
    <s v="Circle"/>
    <s v="DESK"/>
    <s v="COMPLETED"/>
    <n v="300"/>
    <m/>
    <x v="0"/>
  </r>
  <r>
    <s v="T00090"/>
    <x v="1"/>
    <x v="1"/>
    <s v="A014"/>
    <x v="0"/>
    <s v="RENEWAL"/>
    <s v="Duo"/>
    <s v="DESK"/>
    <s v="COMPLETED"/>
    <n v="200"/>
    <m/>
    <x v="0"/>
  </r>
  <r>
    <s v="T00091"/>
    <x v="1"/>
    <x v="1"/>
    <s v="A015"/>
    <x v="0"/>
    <s v="NEW"/>
    <s v="Single"/>
    <s v="DESK"/>
    <s v="COMPLETED"/>
    <n v="120"/>
    <m/>
    <x v="0"/>
  </r>
  <r>
    <s v="T00092"/>
    <x v="1"/>
    <x v="2"/>
    <s v="A032"/>
    <x v="0"/>
    <s v="NEW"/>
    <s v="Single"/>
    <s v="DESK"/>
    <s v="COMPLETED"/>
    <n v="120"/>
    <m/>
    <x v="0"/>
  </r>
  <r>
    <s v="T00093"/>
    <x v="1"/>
    <x v="2"/>
    <s v="A034"/>
    <x v="0"/>
    <s v="NEW"/>
    <s v="Circle"/>
    <s v="DESK"/>
    <s v="COMPLETED"/>
    <n v="300"/>
    <m/>
    <x v="0"/>
  </r>
  <r>
    <s v="T00094"/>
    <x v="1"/>
    <x v="2"/>
    <s v="A035"/>
    <x v="0"/>
    <s v="RENEWAL"/>
    <s v="Single"/>
    <s v="DESK"/>
    <s v="COMPLETED"/>
    <n v="120"/>
    <m/>
    <x v="0"/>
  </r>
  <r>
    <s v="T00095"/>
    <x v="1"/>
    <x v="2"/>
    <s v="A035"/>
    <x v="0"/>
    <s v="NEW"/>
    <s v="Single"/>
    <s v="DESK"/>
    <s v="COMPLETED"/>
    <n v="120"/>
    <m/>
    <x v="0"/>
  </r>
  <r>
    <s v="T00096"/>
    <x v="1"/>
    <x v="2"/>
    <s v="A036"/>
    <x v="0"/>
    <s v="NEW"/>
    <s v="Single"/>
    <s v="DESK"/>
    <s v="COMPLETED"/>
    <n v="90"/>
    <m/>
    <x v="1"/>
  </r>
  <r>
    <s v="T00097"/>
    <x v="1"/>
    <x v="2"/>
    <s v="A029"/>
    <x v="0"/>
    <s v="NEW"/>
    <s v="Single"/>
    <s v="DESK"/>
    <s v="COMPLETED"/>
    <n v="120"/>
    <m/>
    <x v="0"/>
  </r>
  <r>
    <s v="T00098"/>
    <x v="1"/>
    <x v="2"/>
    <s v="A028"/>
    <x v="0"/>
    <s v="NEW"/>
    <s v="Duo"/>
    <s v="DESK"/>
    <s v="COMPLETED"/>
    <n v="200"/>
    <m/>
    <x v="0"/>
  </r>
  <r>
    <s v="T00099"/>
    <x v="1"/>
    <x v="2"/>
    <s v="A034"/>
    <x v="0"/>
    <s v="NEW"/>
    <s v="Duo"/>
    <s v="DESK"/>
    <s v="COMPLETED"/>
    <n v="200"/>
    <m/>
    <x v="0"/>
  </r>
  <r>
    <s v="T00100"/>
    <x v="1"/>
    <x v="2"/>
    <s v="A034"/>
    <x v="0"/>
    <s v="NEW"/>
    <s v="Single"/>
    <s v="DESK"/>
    <s v="COMPLETED"/>
    <n v="102"/>
    <m/>
    <x v="1"/>
  </r>
  <r>
    <s v="T00101"/>
    <x v="1"/>
    <x v="2"/>
    <s v="A032"/>
    <x v="0"/>
    <s v="NEW"/>
    <s v="Circle"/>
    <s v="DESK"/>
    <s v="COMPLETED"/>
    <n v="300"/>
    <m/>
    <x v="0"/>
  </r>
  <r>
    <s v="T00102"/>
    <x v="1"/>
    <x v="2"/>
    <s v="A032"/>
    <x v="0"/>
    <s v="NEW"/>
    <s v="Single"/>
    <s v="DESK"/>
    <s v="COMPLETED"/>
    <n v="120"/>
    <m/>
    <x v="0"/>
  </r>
  <r>
    <s v="T00103"/>
    <x v="1"/>
    <x v="2"/>
    <s v="A027"/>
    <x v="0"/>
    <s v="NEW"/>
    <s v="Single"/>
    <s v="DESK"/>
    <s v="COMPLETED"/>
    <n v="120"/>
    <m/>
    <x v="0"/>
  </r>
  <r>
    <s v="T00104"/>
    <x v="1"/>
    <x v="2"/>
    <s v="A029"/>
    <x v="0"/>
    <s v="NEW"/>
    <s v="Circle"/>
    <s v="DESK"/>
    <s v="COMPLETED"/>
    <n v="255"/>
    <m/>
    <x v="1"/>
  </r>
  <r>
    <s v="T00105"/>
    <x v="1"/>
    <x v="2"/>
    <s v="A033"/>
    <x v="0"/>
    <s v="NEW"/>
    <s v="Circle"/>
    <s v="DESK"/>
    <s v="COMPLETED"/>
    <n v="300"/>
    <m/>
    <x v="0"/>
  </r>
  <r>
    <s v="T00106"/>
    <x v="1"/>
    <x v="2"/>
    <s v="A033"/>
    <x v="0"/>
    <s v="RENEWAL"/>
    <s v="Single"/>
    <s v="DESK"/>
    <s v="COMPLETED"/>
    <n v="120"/>
    <m/>
    <x v="0"/>
  </r>
  <r>
    <s v="T00107"/>
    <x v="1"/>
    <x v="2"/>
    <s v="A034"/>
    <x v="0"/>
    <s v="RENEWAL"/>
    <s v="Single"/>
    <s v="DESK"/>
    <s v="COMPLETED"/>
    <n v="120"/>
    <m/>
    <x v="0"/>
  </r>
  <r>
    <s v="T00108"/>
    <x v="1"/>
    <x v="2"/>
    <s v="A030"/>
    <x v="0"/>
    <s v="NEW"/>
    <s v="Single"/>
    <s v="DESK"/>
    <s v="COMPLETED"/>
    <n v="102"/>
    <m/>
    <x v="1"/>
  </r>
  <r>
    <s v="T00109"/>
    <x v="1"/>
    <x v="2"/>
    <s v="A026"/>
    <x v="0"/>
    <s v="NEW"/>
    <s v="Duo"/>
    <s v="ONLINE"/>
    <s v="COMPLETED"/>
    <n v="150"/>
    <m/>
    <x v="1"/>
  </r>
  <r>
    <s v="T00110"/>
    <x v="1"/>
    <x v="3"/>
    <s v="A046"/>
    <x v="0"/>
    <s v="RENEWAL"/>
    <s v="Single"/>
    <s v="DESK"/>
    <s v="COMPLETED"/>
    <n v="90"/>
    <m/>
    <x v="1"/>
  </r>
  <r>
    <s v="T00111"/>
    <x v="1"/>
    <x v="3"/>
    <s v="A044"/>
    <x v="0"/>
    <s v="RENEWAL"/>
    <s v="Single"/>
    <s v="DESK"/>
    <s v="COMPLETED"/>
    <n v="120"/>
    <m/>
    <x v="0"/>
  </r>
  <r>
    <s v="T00112"/>
    <x v="1"/>
    <x v="3"/>
    <s v="A041"/>
    <x v="0"/>
    <s v="NEW"/>
    <s v="Duo"/>
    <s v="DESK"/>
    <s v="VOID"/>
    <n v="200"/>
    <m/>
    <x v="0"/>
  </r>
  <r>
    <s v="T00113"/>
    <x v="1"/>
    <x v="3"/>
    <s v="A037"/>
    <x v="0"/>
    <s v="NEW"/>
    <s v="Single"/>
    <s v="DESK"/>
    <s v="COMPLETED"/>
    <n v="102"/>
    <m/>
    <x v="1"/>
  </r>
  <r>
    <s v="T00114"/>
    <x v="1"/>
    <x v="3"/>
    <s v="A048"/>
    <x v="0"/>
    <s v="RENEWAL"/>
    <s v="Duo"/>
    <s v="DESK"/>
    <s v="PENDING"/>
    <n v="170"/>
    <m/>
    <x v="1"/>
  </r>
  <r>
    <s v="T00115"/>
    <x v="1"/>
    <x v="3"/>
    <s v="A045"/>
    <x v="0"/>
    <s v="NEW"/>
    <s v="Duo"/>
    <s v="DESK"/>
    <s v="COMPLETED"/>
    <n v="200"/>
    <m/>
    <x v="0"/>
  </r>
  <r>
    <s v="T00116"/>
    <x v="1"/>
    <x v="3"/>
    <s v="A037"/>
    <x v="0"/>
    <s v="NEW"/>
    <s v="Single"/>
    <s v="ONLINE"/>
    <s v="COMPLETED"/>
    <n v="120"/>
    <m/>
    <x v="0"/>
  </r>
  <r>
    <s v="T00117"/>
    <x v="1"/>
    <x v="3"/>
    <s v="A037"/>
    <x v="0"/>
    <s v="NEW"/>
    <s v="Duo"/>
    <s v="DESK"/>
    <s v="COMPLETED"/>
    <n v="200"/>
    <m/>
    <x v="0"/>
  </r>
  <r>
    <s v="T00118"/>
    <x v="1"/>
    <x v="3"/>
    <s v="A039"/>
    <x v="0"/>
    <s v="RENEWAL"/>
    <s v="Duo"/>
    <s v="DESK"/>
    <s v="COMPLETED"/>
    <n v="200"/>
    <m/>
    <x v="0"/>
  </r>
  <r>
    <s v="T00119"/>
    <x v="1"/>
    <x v="3"/>
    <s v="A041"/>
    <x v="0"/>
    <s v="NEW"/>
    <s v="Circle"/>
    <s v="DESK"/>
    <s v="COMPLETED"/>
    <n v="300"/>
    <m/>
    <x v="0"/>
  </r>
  <r>
    <s v="T00120"/>
    <x v="1"/>
    <x v="3"/>
    <s v="A047"/>
    <x v="0"/>
    <s v="NEW"/>
    <s v="Duo"/>
    <s v="DESK"/>
    <s v="COMPLETED"/>
    <n v="200"/>
    <m/>
    <x v="0"/>
  </r>
  <r>
    <s v="T00121"/>
    <x v="1"/>
    <x v="3"/>
    <s v="A042"/>
    <x v="0"/>
    <s v="NEW"/>
    <s v="Single"/>
    <s v="DESK"/>
    <s v="COMPLETED"/>
    <n v="120"/>
    <m/>
    <x v="0"/>
  </r>
  <r>
    <s v="T00122"/>
    <x v="1"/>
    <x v="3"/>
    <s v="A040"/>
    <x v="0"/>
    <s v="RENEWAL"/>
    <s v="Single"/>
    <s v="ONLINE"/>
    <s v="COMPLETED"/>
    <n v="120"/>
    <m/>
    <x v="0"/>
  </r>
  <r>
    <s v="T00123"/>
    <x v="1"/>
    <x v="3"/>
    <s v="A046"/>
    <x v="0"/>
    <s v="NEW"/>
    <s v="Single"/>
    <s v="DESK"/>
    <s v="COMPLETED"/>
    <n v="120"/>
    <m/>
    <x v="0"/>
  </r>
  <r>
    <s v="T00124"/>
    <x v="1"/>
    <x v="3"/>
    <s v="A048"/>
    <x v="0"/>
    <s v="NEW"/>
    <s v="Duo"/>
    <s v="DESK"/>
    <s v="COMPLETED"/>
    <n v="200"/>
    <m/>
    <x v="0"/>
  </r>
  <r>
    <s v="T00125"/>
    <x v="1"/>
    <x v="3"/>
    <s v="A042"/>
    <x v="0"/>
    <s v="NEW"/>
    <s v="Single"/>
    <s v="ONLINE"/>
    <s v="COMPLETED"/>
    <n v="120"/>
    <m/>
    <x v="0"/>
  </r>
  <r>
    <s v="T00126"/>
    <x v="1"/>
    <x v="3"/>
    <s v="A044"/>
    <x v="0"/>
    <s v="NEW"/>
    <s v="Circle"/>
    <s v="DESK"/>
    <s v="COMPLETED"/>
    <n v="300"/>
    <m/>
    <x v="0"/>
  </r>
  <r>
    <s v="T00127"/>
    <x v="1"/>
    <x v="3"/>
    <s v="A039"/>
    <x v="0"/>
    <s v="NEW"/>
    <s v="Duo"/>
    <s v="DESK"/>
    <s v="COMPLETED"/>
    <n v="200"/>
    <m/>
    <x v="0"/>
  </r>
  <r>
    <s v="T00128"/>
    <x v="2"/>
    <x v="0"/>
    <s v="A007"/>
    <x v="0"/>
    <s v="NEW"/>
    <s v="Single"/>
    <s v="DESK"/>
    <s v="COMPLETED"/>
    <n v="90"/>
    <m/>
    <x v="1"/>
  </r>
  <r>
    <s v="T00129"/>
    <x v="2"/>
    <x v="0"/>
    <s v="A012"/>
    <x v="0"/>
    <s v="NEW"/>
    <s v="Single"/>
    <s v="DESK"/>
    <s v="COMPLETED"/>
    <n v="120"/>
    <m/>
    <x v="0"/>
  </r>
  <r>
    <s v="T00130"/>
    <x v="2"/>
    <x v="0"/>
    <s v="A007"/>
    <x v="0"/>
    <s v="NEW"/>
    <s v="Circle"/>
    <s v="DESK"/>
    <s v="COMPLETED"/>
    <n v="300"/>
    <m/>
    <x v="0"/>
  </r>
  <r>
    <s v="T00131"/>
    <x v="2"/>
    <x v="0"/>
    <s v="A004"/>
    <x v="0"/>
    <s v="NEW"/>
    <s v="Circle"/>
    <s v="DESK"/>
    <s v="COMPLETED"/>
    <n v="300"/>
    <m/>
    <x v="0"/>
  </r>
  <r>
    <s v="T00132"/>
    <x v="2"/>
    <x v="0"/>
    <s v="A011"/>
    <x v="0"/>
    <s v="NEW"/>
    <s v="Circle"/>
    <s v="DESK"/>
    <s v="VOID"/>
    <n v="300"/>
    <m/>
    <x v="0"/>
  </r>
  <r>
    <s v="T00133"/>
    <x v="2"/>
    <x v="0"/>
    <s v="A006"/>
    <x v="0"/>
    <s v="NEW"/>
    <s v="Single"/>
    <s v="DESK"/>
    <s v="COMPLETED"/>
    <n v="120"/>
    <m/>
    <x v="0"/>
  </r>
  <r>
    <s v="T00134"/>
    <x v="2"/>
    <x v="0"/>
    <s v="A009"/>
    <x v="0"/>
    <s v="NEW"/>
    <s v="Circle"/>
    <s v="ONLINE"/>
    <s v="COMPLETED"/>
    <n v="300"/>
    <m/>
    <x v="0"/>
  </r>
  <r>
    <s v="T00135"/>
    <x v="2"/>
    <x v="0"/>
    <s v="A001"/>
    <x v="0"/>
    <s v="NEW"/>
    <s v="Duo"/>
    <s v="DESK"/>
    <s v="COMPLETED"/>
    <n v="200"/>
    <m/>
    <x v="0"/>
  </r>
  <r>
    <s v="T00136"/>
    <x v="2"/>
    <x v="0"/>
    <s v="A012"/>
    <x v="0"/>
    <s v="NEW"/>
    <s v="Circle"/>
    <s v="DESK"/>
    <s v="COMPLETED"/>
    <n v="300"/>
    <m/>
    <x v="0"/>
  </r>
  <r>
    <s v="T00137"/>
    <x v="2"/>
    <x v="0"/>
    <s v="A006"/>
    <x v="0"/>
    <s v="NEW"/>
    <s v="Duo"/>
    <s v="ONLINE"/>
    <s v="COMPLETED"/>
    <n v="200"/>
    <m/>
    <x v="0"/>
  </r>
  <r>
    <s v="T00138"/>
    <x v="2"/>
    <x v="0"/>
    <s v="A011"/>
    <x v="0"/>
    <s v="NEW"/>
    <s v="Duo"/>
    <s v="ONLINE"/>
    <s v="COMPLETED"/>
    <n v="200"/>
    <m/>
    <x v="0"/>
  </r>
  <r>
    <s v="T00139"/>
    <x v="2"/>
    <x v="0"/>
    <s v="A012"/>
    <x v="0"/>
    <s v="RENEWAL"/>
    <s v="Duo"/>
    <s v="DESK"/>
    <s v="COMPLETED"/>
    <n v="150"/>
    <m/>
    <x v="1"/>
  </r>
  <r>
    <s v="T00140"/>
    <x v="2"/>
    <x v="0"/>
    <s v="A009"/>
    <x v="0"/>
    <s v="NEW"/>
    <s v="Duo"/>
    <s v="DESK"/>
    <s v="COMPLETED"/>
    <n v="200"/>
    <m/>
    <x v="0"/>
  </r>
  <r>
    <s v="T00141"/>
    <x v="2"/>
    <x v="0"/>
    <s v="A007"/>
    <x v="0"/>
    <s v="NEW"/>
    <s v="Circle"/>
    <s v="DESK"/>
    <s v="COMPLETED"/>
    <n v="300"/>
    <m/>
    <x v="0"/>
  </r>
  <r>
    <s v="T00142"/>
    <x v="2"/>
    <x v="0"/>
    <s v="A012"/>
    <x v="0"/>
    <s v="NEW"/>
    <s v="Single"/>
    <s v="ONLINE"/>
    <s v="COMPLETED"/>
    <n v="120"/>
    <m/>
    <x v="0"/>
  </r>
  <r>
    <s v="T00143"/>
    <x v="2"/>
    <x v="0"/>
    <s v="A004"/>
    <x v="0"/>
    <s v="NEW"/>
    <s v="Duo"/>
    <s v="DESK"/>
    <s v="COMPLETED"/>
    <n v="200"/>
    <m/>
    <x v="0"/>
  </r>
  <r>
    <s v="T00144"/>
    <x v="2"/>
    <x v="0"/>
    <s v="A007"/>
    <x v="0"/>
    <s v="NEW"/>
    <s v="Circle"/>
    <s v="DESK"/>
    <s v="COMPLETED"/>
    <n v="300"/>
    <m/>
    <x v="0"/>
  </r>
  <r>
    <s v="T00145"/>
    <x v="2"/>
    <x v="0"/>
    <s v="A001"/>
    <x v="0"/>
    <s v="NEW"/>
    <s v="Circle"/>
    <s v="ONLINE"/>
    <s v="COMPLETED"/>
    <n v="225"/>
    <m/>
    <x v="1"/>
  </r>
  <r>
    <s v="T00146"/>
    <x v="2"/>
    <x v="1"/>
    <s v="A014"/>
    <x v="0"/>
    <s v="RENEWAL"/>
    <s v="Single"/>
    <s v="DESK"/>
    <s v="COMPLETED"/>
    <n v="120"/>
    <m/>
    <x v="0"/>
  </r>
  <r>
    <s v="T00147"/>
    <x v="2"/>
    <x v="1"/>
    <s v="A020"/>
    <x v="0"/>
    <s v="RENEWAL"/>
    <s v="Circle"/>
    <s v="DESK"/>
    <s v="COMPLETED"/>
    <n v="300"/>
    <m/>
    <x v="0"/>
  </r>
  <r>
    <s v="T00148"/>
    <x v="2"/>
    <x v="1"/>
    <s v="A024"/>
    <x v="0"/>
    <s v="NEW"/>
    <s v="Single"/>
    <s v="ONLINE"/>
    <s v="COMPLETED"/>
    <n v="120"/>
    <m/>
    <x v="0"/>
  </r>
  <r>
    <s v="T00149"/>
    <x v="2"/>
    <x v="1"/>
    <s v="A022"/>
    <x v="0"/>
    <s v="NEW"/>
    <s v="Single"/>
    <s v="DESK"/>
    <s v="COMPLETED"/>
    <n v="120"/>
    <m/>
    <x v="0"/>
  </r>
  <r>
    <s v="T00150"/>
    <x v="2"/>
    <x v="1"/>
    <s v="A015"/>
    <x v="0"/>
    <s v="NEW"/>
    <s v="Single"/>
    <s v="DESK"/>
    <s v="COMPLETED"/>
    <n v="120"/>
    <m/>
    <x v="0"/>
  </r>
  <r>
    <s v="T00151"/>
    <x v="2"/>
    <x v="1"/>
    <s v="A019"/>
    <x v="0"/>
    <s v="NEW"/>
    <s v="Circle"/>
    <s v="DESK"/>
    <s v="COMPLETED"/>
    <n v="300"/>
    <m/>
    <x v="0"/>
  </r>
  <r>
    <s v="T00152"/>
    <x v="2"/>
    <x v="1"/>
    <s v="A016"/>
    <x v="0"/>
    <s v="NEW"/>
    <s v="Duo"/>
    <s v="DESK"/>
    <s v="COMPLETED"/>
    <n v="150"/>
    <m/>
    <x v="1"/>
  </r>
  <r>
    <s v="T00153"/>
    <x v="2"/>
    <x v="1"/>
    <s v="A019"/>
    <x v="0"/>
    <s v="RENEWAL"/>
    <s v="Circle"/>
    <s v="DESK"/>
    <s v="COMPLETED"/>
    <n v="300"/>
    <m/>
    <x v="0"/>
  </r>
  <r>
    <s v="T00154"/>
    <x v="2"/>
    <x v="1"/>
    <s v="A024"/>
    <x v="0"/>
    <s v="NEW"/>
    <s v="Circle"/>
    <s v="DESK"/>
    <s v="COMPLETED"/>
    <n v="300"/>
    <m/>
    <x v="0"/>
  </r>
  <r>
    <s v="T00155"/>
    <x v="2"/>
    <x v="1"/>
    <s v="A020"/>
    <x v="0"/>
    <s v="NEW"/>
    <s v="Circle"/>
    <s v="ONLINE"/>
    <s v="COMPLETED"/>
    <n v="300"/>
    <m/>
    <x v="0"/>
  </r>
  <r>
    <s v="T00156"/>
    <x v="2"/>
    <x v="1"/>
    <s v="A020"/>
    <x v="0"/>
    <s v="NEW"/>
    <s v="Single"/>
    <s v="DESK"/>
    <s v="COMPLETED"/>
    <n v="120"/>
    <m/>
    <x v="0"/>
  </r>
  <r>
    <s v="T00157"/>
    <x v="2"/>
    <x v="1"/>
    <s v="A013"/>
    <x v="0"/>
    <s v="NEW"/>
    <s v="Duo"/>
    <s v="ONLINE"/>
    <s v="COMPLETED"/>
    <n v="170"/>
    <m/>
    <x v="1"/>
  </r>
  <r>
    <s v="T00158"/>
    <x v="2"/>
    <x v="1"/>
    <s v="A013"/>
    <x v="0"/>
    <s v="NEW"/>
    <s v="Duo"/>
    <s v="DESK"/>
    <s v="COMPLETED"/>
    <n v="200"/>
    <m/>
    <x v="0"/>
  </r>
  <r>
    <s v="T00159"/>
    <x v="2"/>
    <x v="1"/>
    <s v="A023"/>
    <x v="0"/>
    <s v="NEW"/>
    <s v="Circle"/>
    <s v="DESK"/>
    <s v="COMPLETED"/>
    <n v="300"/>
    <m/>
    <x v="0"/>
  </r>
  <r>
    <s v="T00160"/>
    <x v="2"/>
    <x v="1"/>
    <s v="A015"/>
    <x v="0"/>
    <s v="NEW"/>
    <s v="Duo"/>
    <s v="DESK"/>
    <s v="COMPLETED"/>
    <n v="200"/>
    <m/>
    <x v="0"/>
  </r>
  <r>
    <s v="T00161"/>
    <x v="2"/>
    <x v="1"/>
    <s v="A017"/>
    <x v="0"/>
    <s v="NEW"/>
    <s v="Duo"/>
    <s v="DESK"/>
    <s v="COMPLETED"/>
    <n v="200"/>
    <m/>
    <x v="0"/>
  </r>
  <r>
    <s v="T00162"/>
    <x v="2"/>
    <x v="1"/>
    <s v="A015"/>
    <x v="0"/>
    <s v="NEW"/>
    <s v="Single"/>
    <s v="DESK"/>
    <s v="COMPLETED"/>
    <n v="120"/>
    <m/>
    <x v="0"/>
  </r>
  <r>
    <s v="T00163"/>
    <x v="2"/>
    <x v="2"/>
    <s v="A033"/>
    <x v="0"/>
    <s v="NEW"/>
    <s v="Duo"/>
    <s v="DESK"/>
    <s v="COMPLETED"/>
    <n v="200"/>
    <m/>
    <x v="0"/>
  </r>
  <r>
    <s v="T00164"/>
    <x v="2"/>
    <x v="2"/>
    <s v="A034"/>
    <x v="0"/>
    <s v="NEW"/>
    <s v="Duo"/>
    <s v="DESK"/>
    <s v="COMPLETED"/>
    <n v="200"/>
    <m/>
    <x v="0"/>
  </r>
  <r>
    <s v="T00165"/>
    <x v="2"/>
    <x v="2"/>
    <s v="A031"/>
    <x v="0"/>
    <s v="NEW"/>
    <s v="Duo"/>
    <s v="DESK"/>
    <s v="COMPLETED"/>
    <n v="200"/>
    <m/>
    <x v="0"/>
  </r>
  <r>
    <s v="T00166"/>
    <x v="2"/>
    <x v="2"/>
    <s v="A025"/>
    <x v="0"/>
    <s v="NEW"/>
    <s v="Duo"/>
    <s v="DESK"/>
    <s v="COMPLETED"/>
    <n v="200"/>
    <m/>
    <x v="0"/>
  </r>
  <r>
    <s v="T00167"/>
    <x v="2"/>
    <x v="2"/>
    <s v="A025"/>
    <x v="0"/>
    <s v="RENEWAL"/>
    <s v="Duo"/>
    <s v="DESK"/>
    <s v="PENDING"/>
    <n v="200"/>
    <m/>
    <x v="0"/>
  </r>
  <r>
    <s v="T00168"/>
    <x v="2"/>
    <x v="2"/>
    <s v="A035"/>
    <x v="0"/>
    <s v="RENEWAL"/>
    <s v="Duo"/>
    <s v="DESK"/>
    <s v="COMPLETED"/>
    <n v="200"/>
    <m/>
    <x v="0"/>
  </r>
  <r>
    <s v="T00169"/>
    <x v="2"/>
    <x v="2"/>
    <s v="A025"/>
    <x v="0"/>
    <s v="NEW"/>
    <s v="Circle"/>
    <s v="DESK"/>
    <s v="COMPLETED"/>
    <n v="300"/>
    <m/>
    <x v="0"/>
  </r>
  <r>
    <s v="T00170"/>
    <x v="2"/>
    <x v="2"/>
    <s v="A033"/>
    <x v="0"/>
    <s v="NEW"/>
    <s v="Single"/>
    <s v="ONLINE"/>
    <s v="COMPLETED"/>
    <n v="120"/>
    <m/>
    <x v="0"/>
  </r>
  <r>
    <s v="T00171"/>
    <x v="2"/>
    <x v="2"/>
    <s v="A032"/>
    <x v="0"/>
    <s v="NEW"/>
    <s v="Circle"/>
    <s v="DESK"/>
    <s v="COMPLETED"/>
    <n v="300"/>
    <m/>
    <x v="0"/>
  </r>
  <r>
    <s v="T00172"/>
    <x v="2"/>
    <x v="2"/>
    <s v="A034"/>
    <x v="0"/>
    <s v="NEW"/>
    <s v="Duo"/>
    <s v="DESK"/>
    <s v="COMPLETED"/>
    <n v="200"/>
    <m/>
    <x v="0"/>
  </r>
  <r>
    <s v="T00173"/>
    <x v="2"/>
    <x v="2"/>
    <s v="A032"/>
    <x v="0"/>
    <s v="NEW"/>
    <s v="Duo"/>
    <s v="DESK"/>
    <s v="VOID"/>
    <n v="200"/>
    <m/>
    <x v="0"/>
  </r>
  <r>
    <s v="T00174"/>
    <x v="2"/>
    <x v="2"/>
    <s v="A031"/>
    <x v="0"/>
    <s v="NEW"/>
    <s v="Single"/>
    <s v="ONLINE"/>
    <s v="COMPLETED"/>
    <n v="102"/>
    <m/>
    <x v="1"/>
  </r>
  <r>
    <s v="T00175"/>
    <x v="2"/>
    <x v="2"/>
    <s v="A029"/>
    <x v="0"/>
    <s v="NEW"/>
    <s v="Duo"/>
    <s v="ONLINE"/>
    <s v="COMPLETED"/>
    <n v="200"/>
    <m/>
    <x v="0"/>
  </r>
  <r>
    <s v="T00176"/>
    <x v="2"/>
    <x v="2"/>
    <s v="A026"/>
    <x v="0"/>
    <s v="NEW"/>
    <s v="Single"/>
    <s v="DESK"/>
    <s v="COMPLETED"/>
    <n v="120"/>
    <m/>
    <x v="0"/>
  </r>
  <r>
    <s v="T00177"/>
    <x v="2"/>
    <x v="3"/>
    <s v="A041"/>
    <x v="0"/>
    <s v="NEW"/>
    <s v="Circle"/>
    <s v="DESK"/>
    <s v="COMPLETED"/>
    <n v="300"/>
    <m/>
    <x v="0"/>
  </r>
  <r>
    <s v="T00178"/>
    <x v="2"/>
    <x v="3"/>
    <s v="A039"/>
    <x v="0"/>
    <s v="NEW"/>
    <s v="Duo"/>
    <s v="DESK"/>
    <s v="COMPLETED"/>
    <n v="200"/>
    <m/>
    <x v="0"/>
  </r>
  <r>
    <s v="T00179"/>
    <x v="2"/>
    <x v="3"/>
    <s v="A042"/>
    <x v="0"/>
    <s v="NEW"/>
    <s v="Circle"/>
    <s v="DESK"/>
    <s v="VOID"/>
    <n v="300"/>
    <m/>
    <x v="0"/>
  </r>
  <r>
    <s v="T00180"/>
    <x v="2"/>
    <x v="3"/>
    <s v="A041"/>
    <x v="0"/>
    <s v="NEW"/>
    <s v="Single"/>
    <s v="DESK"/>
    <s v="COMPLETED"/>
    <n v="120"/>
    <m/>
    <x v="0"/>
  </r>
  <r>
    <s v="T00181"/>
    <x v="2"/>
    <x v="3"/>
    <s v="A041"/>
    <x v="0"/>
    <s v="NEW"/>
    <s v="Circle"/>
    <s v="DESK"/>
    <s v="COMPLETED"/>
    <n v="300"/>
    <m/>
    <x v="0"/>
  </r>
  <r>
    <s v="T00182"/>
    <x v="2"/>
    <x v="3"/>
    <s v="A039"/>
    <x v="0"/>
    <s v="NEW"/>
    <s v="Single"/>
    <s v="DESK"/>
    <s v="COMPLETED"/>
    <n v="102"/>
    <m/>
    <x v="1"/>
  </r>
  <r>
    <s v="T00183"/>
    <x v="2"/>
    <x v="3"/>
    <s v="A037"/>
    <x v="0"/>
    <s v="NEW"/>
    <s v="Circle"/>
    <s v="DESK"/>
    <s v="COMPLETED"/>
    <n v="300"/>
    <m/>
    <x v="0"/>
  </r>
  <r>
    <s v="T00184"/>
    <x v="2"/>
    <x v="3"/>
    <s v="A047"/>
    <x v="0"/>
    <s v="NEW"/>
    <s v="Circle"/>
    <s v="DESK"/>
    <s v="COMPLETED"/>
    <n v="300"/>
    <m/>
    <x v="0"/>
  </r>
  <r>
    <s v="T00185"/>
    <x v="2"/>
    <x v="3"/>
    <s v="A037"/>
    <x v="0"/>
    <s v="NEW"/>
    <s v="Duo"/>
    <s v="DESK"/>
    <s v="COMPLETED"/>
    <n v="200"/>
    <m/>
    <x v="0"/>
  </r>
  <r>
    <s v="T00186"/>
    <x v="2"/>
    <x v="3"/>
    <s v="A048"/>
    <x v="0"/>
    <s v="RENEWAL"/>
    <s v="Duo"/>
    <s v="DESK"/>
    <s v="COMPLETED"/>
    <n v="200"/>
    <m/>
    <x v="0"/>
  </r>
  <r>
    <s v="T00187"/>
    <x v="2"/>
    <x v="3"/>
    <s v="A043"/>
    <x v="0"/>
    <s v="RENEWAL"/>
    <s v="Single"/>
    <s v="ONLINE"/>
    <s v="COMPLETED"/>
    <n v="120"/>
    <m/>
    <x v="0"/>
  </r>
  <r>
    <s v="T00188"/>
    <x v="2"/>
    <x v="3"/>
    <s v="A039"/>
    <x v="0"/>
    <s v="NEW"/>
    <s v="Single"/>
    <s v="DESK"/>
    <s v="COMPLETED"/>
    <n v="120"/>
    <m/>
    <x v="0"/>
  </r>
  <r>
    <s v="T00189"/>
    <x v="2"/>
    <x v="3"/>
    <s v="A038"/>
    <x v="0"/>
    <s v="RENEWAL"/>
    <s v="Circle"/>
    <s v="DESK"/>
    <s v="PENDING"/>
    <n v="300"/>
    <m/>
    <x v="0"/>
  </r>
  <r>
    <s v="T00190"/>
    <x v="2"/>
    <x v="3"/>
    <s v="A048"/>
    <x v="0"/>
    <s v="NEW"/>
    <s v="Circle"/>
    <s v="DESK"/>
    <s v="COMPLETED"/>
    <n v="300"/>
    <m/>
    <x v="0"/>
  </r>
  <r>
    <s v="T00191"/>
    <x v="2"/>
    <x v="3"/>
    <s v="A042"/>
    <x v="0"/>
    <s v="NEW"/>
    <s v="Duo"/>
    <s v="DESK"/>
    <s v="COMPLETED"/>
    <n v="200"/>
    <m/>
    <x v="0"/>
  </r>
  <r>
    <s v="T00191"/>
    <x v="2"/>
    <x v="3"/>
    <s v="A042"/>
    <x v="0"/>
    <s v="NEW"/>
    <s v="Duo"/>
    <s v="DESK"/>
    <s v="COMPLETED"/>
    <n v="200"/>
    <m/>
    <x v="0"/>
  </r>
  <r>
    <s v="T00192"/>
    <x v="2"/>
    <x v="3"/>
    <s v="A046"/>
    <x v="0"/>
    <s v="NEW"/>
    <s v="Duo"/>
    <s v="DESK"/>
    <s v="COMPLETED"/>
    <n v="200"/>
    <m/>
    <x v="0"/>
  </r>
  <r>
    <s v="T00193"/>
    <x v="3"/>
    <x v="0"/>
    <s v="A006"/>
    <x v="0"/>
    <s v="NEW"/>
    <s v="Single"/>
    <s v="DESK"/>
    <s v="COMPLETED"/>
    <n v="120"/>
    <m/>
    <x v="0"/>
  </r>
  <r>
    <s v="T00194"/>
    <x v="3"/>
    <x v="0"/>
    <s v="A002"/>
    <x v="0"/>
    <s v="NEW"/>
    <s v="Circle"/>
    <s v="ONLINE"/>
    <s v="COMPLETED"/>
    <n v="300"/>
    <m/>
    <x v="0"/>
  </r>
  <r>
    <s v="T00195"/>
    <x v="3"/>
    <x v="0"/>
    <s v="A003"/>
    <x v="0"/>
    <s v="NEW"/>
    <s v="Circle"/>
    <s v="DESK"/>
    <s v="COMPLETED"/>
    <n v="300"/>
    <m/>
    <x v="0"/>
  </r>
  <r>
    <s v="T00196"/>
    <x v="3"/>
    <x v="0"/>
    <s v="A012"/>
    <x v="0"/>
    <s v="RENEWAL"/>
    <s v="Duo"/>
    <s v="DESK"/>
    <s v="COMPLETED"/>
    <n v="200"/>
    <m/>
    <x v="0"/>
  </r>
  <r>
    <s v="T00197"/>
    <x v="3"/>
    <x v="0"/>
    <s v="A008"/>
    <x v="0"/>
    <s v="NEW"/>
    <s v="Duo"/>
    <s v="DESK"/>
    <s v="COMPLETED"/>
    <n v="200"/>
    <m/>
    <x v="0"/>
  </r>
  <r>
    <s v="T00198"/>
    <x v="3"/>
    <x v="0"/>
    <s v="A011"/>
    <x v="0"/>
    <s v="RENEWAL"/>
    <s v="Duo"/>
    <s v="DESK"/>
    <s v="COMPLETED"/>
    <n v="150"/>
    <m/>
    <x v="1"/>
  </r>
  <r>
    <s v="T00199"/>
    <x v="3"/>
    <x v="0"/>
    <s v="A012"/>
    <x v="0"/>
    <s v="NEW"/>
    <s v="Duo"/>
    <s v="DESK"/>
    <s v="COMPLETED"/>
    <n v="170"/>
    <m/>
    <x v="1"/>
  </r>
  <r>
    <s v="T00200"/>
    <x v="3"/>
    <x v="0"/>
    <s v="A012"/>
    <x v="0"/>
    <s v="NEW"/>
    <s v="Circle"/>
    <s v="DESK"/>
    <s v="COMPLETED"/>
    <n v="300"/>
    <m/>
    <x v="0"/>
  </r>
  <r>
    <s v="T00201"/>
    <x v="3"/>
    <x v="0"/>
    <s v="A008"/>
    <x v="0"/>
    <s v="NEW"/>
    <s v="Single"/>
    <s v="ONLINE"/>
    <s v="COMPLETED"/>
    <n v="102"/>
    <m/>
    <x v="1"/>
  </r>
  <r>
    <s v="T00202"/>
    <x v="3"/>
    <x v="0"/>
    <s v="A001"/>
    <x v="0"/>
    <s v="NEW"/>
    <s v="Single"/>
    <s v="DESK"/>
    <s v="COMPLETED"/>
    <n v="120"/>
    <m/>
    <x v="0"/>
  </r>
  <r>
    <s v="T00203"/>
    <x v="3"/>
    <x v="0"/>
    <s v="A003"/>
    <x v="0"/>
    <s v="NEW"/>
    <s v="Single"/>
    <s v="DESK"/>
    <s v="COMPLETED"/>
    <n v="120"/>
    <m/>
    <x v="0"/>
  </r>
  <r>
    <s v="T00204"/>
    <x v="3"/>
    <x v="0"/>
    <s v="A012"/>
    <x v="0"/>
    <s v="NEW"/>
    <s v="Duo"/>
    <s v="DESK"/>
    <s v="COMPLETED"/>
    <n v="200"/>
    <m/>
    <x v="0"/>
  </r>
  <r>
    <s v="T00205"/>
    <x v="3"/>
    <x v="0"/>
    <s v="A007"/>
    <x v="0"/>
    <s v="NEW"/>
    <s v="Single"/>
    <s v="DESK"/>
    <s v="COMPLETED"/>
    <n v="120"/>
    <m/>
    <x v="0"/>
  </r>
  <r>
    <s v="T00206"/>
    <x v="3"/>
    <x v="0"/>
    <s v="A001"/>
    <x v="0"/>
    <s v="NEW"/>
    <s v="Duo"/>
    <s v="DESK"/>
    <s v="COMPLETED"/>
    <n v="200"/>
    <m/>
    <x v="0"/>
  </r>
  <r>
    <s v="T00207"/>
    <x v="3"/>
    <x v="0"/>
    <s v="A001"/>
    <x v="0"/>
    <s v="NEW"/>
    <s v="Circle"/>
    <s v="DESK"/>
    <s v="COMPLETED"/>
    <n v="300"/>
    <m/>
    <x v="0"/>
  </r>
  <r>
    <s v="T00208"/>
    <x v="3"/>
    <x v="0"/>
    <s v="A009"/>
    <x v="0"/>
    <s v="NEW"/>
    <s v="Duo"/>
    <s v="DESK"/>
    <s v="COMPLETED"/>
    <n v="200"/>
    <m/>
    <x v="0"/>
  </r>
  <r>
    <s v="T00209"/>
    <x v="3"/>
    <x v="0"/>
    <s v="A007"/>
    <x v="0"/>
    <s v="NEW"/>
    <s v="Circle"/>
    <s v="DESK"/>
    <s v="COMPLETED"/>
    <n v="300"/>
    <m/>
    <x v="0"/>
  </r>
  <r>
    <s v="T00210"/>
    <x v="3"/>
    <x v="0"/>
    <s v="A006"/>
    <x v="0"/>
    <s v="NEW"/>
    <s v="Circle"/>
    <s v="DESK"/>
    <s v="COMPLETED"/>
    <n v="300"/>
    <m/>
    <x v="0"/>
  </r>
  <r>
    <s v="T00211"/>
    <x v="3"/>
    <x v="0"/>
    <s v="A007"/>
    <x v="0"/>
    <s v="NEW"/>
    <s v="Duo"/>
    <s v="DESK"/>
    <s v="COMPLETED"/>
    <n v="150"/>
    <m/>
    <x v="1"/>
  </r>
  <r>
    <s v="T00212"/>
    <x v="3"/>
    <x v="1"/>
    <s v="A015"/>
    <x v="0"/>
    <s v="NEW"/>
    <s v="Single"/>
    <s v="ONLINE"/>
    <s v="COMPLETED"/>
    <n v="120"/>
    <m/>
    <x v="0"/>
  </r>
  <r>
    <s v="T00213"/>
    <x v="3"/>
    <x v="1"/>
    <s v="A013"/>
    <x v="0"/>
    <s v="NEW"/>
    <s v="Duo"/>
    <s v="DESK"/>
    <s v="COMPLETED"/>
    <n v="200"/>
    <m/>
    <x v="0"/>
  </r>
  <r>
    <s v="T00214"/>
    <x v="3"/>
    <x v="1"/>
    <s v="A018"/>
    <x v="0"/>
    <s v="NEW"/>
    <s v="Circle"/>
    <s v="DESK"/>
    <s v="COMPLETED"/>
    <n v="300"/>
    <m/>
    <x v="0"/>
  </r>
  <r>
    <s v="T00215"/>
    <x v="3"/>
    <x v="1"/>
    <s v="A014"/>
    <x v="0"/>
    <s v="NEW"/>
    <s v="Duo"/>
    <s v="DESK"/>
    <s v="COMPLETED"/>
    <n v="200"/>
    <m/>
    <x v="0"/>
  </r>
  <r>
    <s v="T00216"/>
    <x v="3"/>
    <x v="1"/>
    <s v="A020"/>
    <x v="0"/>
    <s v="NEW"/>
    <s v="Circle"/>
    <s v="DESK"/>
    <s v="COMPLETED"/>
    <n v="300"/>
    <m/>
    <x v="0"/>
  </r>
  <r>
    <s v="T00217"/>
    <x v="3"/>
    <x v="1"/>
    <s v="A020"/>
    <x v="0"/>
    <s v="NEW"/>
    <s v="Single"/>
    <s v="DESK"/>
    <s v="COMPLETED"/>
    <n v="90"/>
    <m/>
    <x v="1"/>
  </r>
  <r>
    <s v="T00218"/>
    <x v="3"/>
    <x v="1"/>
    <s v="A022"/>
    <x v="0"/>
    <s v="NEW"/>
    <s v="Single"/>
    <s v="DESK"/>
    <s v="COMPLETED"/>
    <n v="120"/>
    <m/>
    <x v="0"/>
  </r>
  <r>
    <s v="T00219"/>
    <x v="3"/>
    <x v="1"/>
    <s v="A021"/>
    <x v="0"/>
    <s v="NEW"/>
    <s v="Duo"/>
    <s v="ONLINE"/>
    <s v="COMPLETED"/>
    <n v="200"/>
    <m/>
    <x v="0"/>
  </r>
  <r>
    <s v="T00220"/>
    <x v="3"/>
    <x v="1"/>
    <s v="A019"/>
    <x v="0"/>
    <s v="NEW"/>
    <s v="Circle"/>
    <s v="DESK"/>
    <s v="COMPLETED"/>
    <n v="300"/>
    <m/>
    <x v="0"/>
  </r>
  <r>
    <s v="T00221"/>
    <x v="3"/>
    <x v="1"/>
    <s v="A023"/>
    <x v="0"/>
    <s v="NEW"/>
    <s v="Circle"/>
    <s v="DESK"/>
    <s v="COMPLETED"/>
    <n v="300"/>
    <m/>
    <x v="0"/>
  </r>
  <r>
    <s v="T00222"/>
    <x v="3"/>
    <x v="1"/>
    <s v="A014"/>
    <x v="0"/>
    <s v="RENEWAL"/>
    <s v="Single"/>
    <s v="DESK"/>
    <s v="COMPLETED"/>
    <n v="120"/>
    <m/>
    <x v="0"/>
  </r>
  <r>
    <s v="T00223"/>
    <x v="3"/>
    <x v="1"/>
    <s v="A020"/>
    <x v="0"/>
    <s v="NEW"/>
    <s v="Single"/>
    <s v="ONLINE"/>
    <s v="PENDING"/>
    <n v="120"/>
    <m/>
    <x v="0"/>
  </r>
  <r>
    <s v="T00224"/>
    <x v="3"/>
    <x v="1"/>
    <s v="A022"/>
    <x v="0"/>
    <s v="NEW"/>
    <s v="Duo"/>
    <s v="DESK"/>
    <s v="COMPLETED"/>
    <n v="200"/>
    <m/>
    <x v="0"/>
  </r>
  <r>
    <s v="T00225"/>
    <x v="3"/>
    <x v="1"/>
    <s v="A021"/>
    <x v="0"/>
    <s v="NEW"/>
    <s v="Single"/>
    <s v="DESK"/>
    <s v="COMPLETED"/>
    <n v="120"/>
    <m/>
    <x v="0"/>
  </r>
  <r>
    <s v="T00226"/>
    <x v="3"/>
    <x v="1"/>
    <s v="A016"/>
    <x v="0"/>
    <s v="NEW"/>
    <s v="Circle"/>
    <s v="DESK"/>
    <s v="VOID"/>
    <n v="225"/>
    <m/>
    <x v="1"/>
  </r>
  <r>
    <s v="T00227"/>
    <x v="3"/>
    <x v="1"/>
    <s v="A022"/>
    <x v="0"/>
    <s v="RENEWAL"/>
    <s v="Duo"/>
    <s v="DESK"/>
    <s v="COMPLETED"/>
    <n v="200"/>
    <m/>
    <x v="0"/>
  </r>
  <r>
    <s v="T00228"/>
    <x v="3"/>
    <x v="1"/>
    <s v="A017"/>
    <x v="0"/>
    <s v="NEW"/>
    <s v="Circle"/>
    <s v="DESK"/>
    <s v="COMPLETED"/>
    <n v="300"/>
    <m/>
    <x v="0"/>
  </r>
  <r>
    <s v="T00229"/>
    <x v="3"/>
    <x v="1"/>
    <s v="A023"/>
    <x v="0"/>
    <s v="RENEWAL"/>
    <s v="Circle"/>
    <s v="DESK"/>
    <s v="COMPLETED"/>
    <n v="300"/>
    <m/>
    <x v="0"/>
  </r>
  <r>
    <s v="T00230"/>
    <x v="3"/>
    <x v="2"/>
    <s v="A026"/>
    <x v="0"/>
    <s v="NEW"/>
    <s v="Single"/>
    <s v="DESK"/>
    <s v="VOID"/>
    <n v="90"/>
    <m/>
    <x v="1"/>
  </r>
  <r>
    <s v="T00231"/>
    <x v="3"/>
    <x v="2"/>
    <s v="A036"/>
    <x v="0"/>
    <s v="NEW"/>
    <s v="Single"/>
    <s v="DESK"/>
    <s v="COMPLETED"/>
    <n v="120"/>
    <m/>
    <x v="0"/>
  </r>
  <r>
    <s v="T00232"/>
    <x v="3"/>
    <x v="2"/>
    <s v="A033"/>
    <x v="0"/>
    <s v="NEW"/>
    <s v="Duo"/>
    <s v="DESK"/>
    <s v="COMPLETED"/>
    <n v="170"/>
    <m/>
    <x v="1"/>
  </r>
  <r>
    <s v="T00233"/>
    <x v="3"/>
    <x v="2"/>
    <s v="A025"/>
    <x v="0"/>
    <s v="NEW"/>
    <s v="Single"/>
    <s v="ONLINE"/>
    <s v="COMPLETED"/>
    <n v="120"/>
    <m/>
    <x v="0"/>
  </r>
  <r>
    <s v="T00234"/>
    <x v="3"/>
    <x v="2"/>
    <s v="A034"/>
    <x v="0"/>
    <s v="NEW"/>
    <s v="Duo"/>
    <s v="ONLINE"/>
    <s v="COMPLETED"/>
    <n v="200"/>
    <m/>
    <x v="0"/>
  </r>
  <r>
    <s v="T00235"/>
    <x v="3"/>
    <x v="2"/>
    <s v="A032"/>
    <x v="0"/>
    <s v="NEW"/>
    <s v="Circle"/>
    <s v="DESK"/>
    <s v="COMPLETED"/>
    <n v="300"/>
    <m/>
    <x v="0"/>
  </r>
  <r>
    <s v="T00236"/>
    <x v="3"/>
    <x v="2"/>
    <s v="A036"/>
    <x v="0"/>
    <s v="RENEWAL"/>
    <s v="Duo"/>
    <s v="DESK"/>
    <s v="COMPLETED"/>
    <n v="200"/>
    <m/>
    <x v="0"/>
  </r>
  <r>
    <s v="T00237"/>
    <x v="3"/>
    <x v="2"/>
    <s v="A032"/>
    <x v="0"/>
    <s v="NEW"/>
    <s v="Circle"/>
    <s v="DESK"/>
    <s v="COMPLETED"/>
    <n v="300"/>
    <m/>
    <x v="0"/>
  </r>
  <r>
    <s v="T00238"/>
    <x v="3"/>
    <x v="2"/>
    <s v="A030"/>
    <x v="0"/>
    <s v="RENEWAL"/>
    <s v="Single"/>
    <s v="DESK"/>
    <s v="COMPLETED"/>
    <n v="120"/>
    <m/>
    <x v="0"/>
  </r>
  <r>
    <s v="T00239"/>
    <x v="3"/>
    <x v="2"/>
    <s v="A036"/>
    <x v="0"/>
    <s v="NEW"/>
    <s v="Circle"/>
    <s v="DESK"/>
    <s v="COMPLETED"/>
    <n v="300"/>
    <m/>
    <x v="0"/>
  </r>
  <r>
    <s v="T00240"/>
    <x v="3"/>
    <x v="2"/>
    <s v="A031"/>
    <x v="0"/>
    <s v="NEW"/>
    <s v="Duo"/>
    <s v="DESK"/>
    <s v="COMPLETED"/>
    <n v="200"/>
    <m/>
    <x v="0"/>
  </r>
  <r>
    <s v="T00241"/>
    <x v="3"/>
    <x v="2"/>
    <s v="A029"/>
    <x v="0"/>
    <s v="NEW"/>
    <s v="Circle"/>
    <s v="DESK"/>
    <s v="COMPLETED"/>
    <n v="300"/>
    <m/>
    <x v="0"/>
  </r>
  <r>
    <s v="T00242"/>
    <x v="3"/>
    <x v="2"/>
    <s v="A027"/>
    <x v="0"/>
    <s v="NEW"/>
    <s v="Single"/>
    <s v="DESK"/>
    <s v="COMPLETED"/>
    <n v="120"/>
    <m/>
    <x v="0"/>
  </r>
  <r>
    <s v="T00243"/>
    <x v="3"/>
    <x v="2"/>
    <s v="A029"/>
    <x v="0"/>
    <s v="NEW"/>
    <s v="Duo"/>
    <s v="DESK"/>
    <s v="COMPLETED"/>
    <n v="200"/>
    <m/>
    <x v="0"/>
  </r>
  <r>
    <s v="T00244"/>
    <x v="3"/>
    <x v="2"/>
    <s v="A034"/>
    <x v="0"/>
    <s v="RENEWAL"/>
    <s v="Duo"/>
    <s v="DESK"/>
    <s v="COMPLETED"/>
    <n v="200"/>
    <m/>
    <x v="0"/>
  </r>
  <r>
    <s v="T00245"/>
    <x v="3"/>
    <x v="3"/>
    <s v="A044"/>
    <x v="0"/>
    <s v="NEW"/>
    <s v="Circle"/>
    <s v="DESK"/>
    <s v="COMPLETED"/>
    <n v="300"/>
    <m/>
    <x v="0"/>
  </r>
  <r>
    <s v="T00246"/>
    <x v="3"/>
    <x v="3"/>
    <s v="A040"/>
    <x v="0"/>
    <s v="NEW"/>
    <s v="Circle"/>
    <s v="DESK"/>
    <s v="COMPLETED"/>
    <n v="300"/>
    <m/>
    <x v="0"/>
  </r>
  <r>
    <s v="T00247"/>
    <x v="3"/>
    <x v="3"/>
    <s v="A044"/>
    <x v="0"/>
    <s v="NEW"/>
    <s v="Single"/>
    <s v="DESK"/>
    <s v="COMPLETED"/>
    <n v="120"/>
    <m/>
    <x v="0"/>
  </r>
  <r>
    <s v="T00248"/>
    <x v="3"/>
    <x v="3"/>
    <s v="A047"/>
    <x v="0"/>
    <s v="NEW"/>
    <s v="Single"/>
    <s v="DESK"/>
    <s v="COMPLETED"/>
    <n v="102"/>
    <m/>
    <x v="1"/>
  </r>
  <r>
    <s v="T00249"/>
    <x v="3"/>
    <x v="3"/>
    <s v="A038"/>
    <x v="0"/>
    <s v="NEW"/>
    <s v="Circle"/>
    <s v="DESK"/>
    <s v="COMPLETED"/>
    <n v="255"/>
    <m/>
    <x v="1"/>
  </r>
  <r>
    <s v="T00250"/>
    <x v="3"/>
    <x v="3"/>
    <s v="A044"/>
    <x v="0"/>
    <s v="NEW"/>
    <s v="Single"/>
    <s v="DESK"/>
    <s v="COMPLETED"/>
    <n v="120"/>
    <m/>
    <x v="0"/>
  </r>
  <r>
    <s v="T00251"/>
    <x v="3"/>
    <x v="3"/>
    <s v="A040"/>
    <x v="0"/>
    <s v="NEW"/>
    <s v="Circle"/>
    <s v="ONLINE"/>
    <s v="COMPLETED"/>
    <n v="300"/>
    <m/>
    <x v="0"/>
  </r>
  <r>
    <s v="T00252"/>
    <x v="3"/>
    <x v="3"/>
    <s v="A043"/>
    <x v="0"/>
    <s v="NEW"/>
    <s v="Circle"/>
    <s v="DESK"/>
    <s v="COMPLETED"/>
    <n v="300"/>
    <m/>
    <x v="0"/>
  </r>
  <r>
    <s v="T00253"/>
    <x v="3"/>
    <x v="3"/>
    <s v="A038"/>
    <x v="0"/>
    <s v="NEW"/>
    <s v="Duo"/>
    <s v="DESK"/>
    <s v="COMPLETED"/>
    <n v="150"/>
    <m/>
    <x v="1"/>
  </r>
  <r>
    <s v="T00254"/>
    <x v="3"/>
    <x v="3"/>
    <s v="A038"/>
    <x v="0"/>
    <s v="NEW"/>
    <s v="Circle"/>
    <s v="DESK"/>
    <s v="COMPLETED"/>
    <n v="300"/>
    <m/>
    <x v="0"/>
  </r>
  <r>
    <s v="T00255"/>
    <x v="3"/>
    <x v="3"/>
    <s v="A046"/>
    <x v="0"/>
    <s v="NEW"/>
    <s v="Duo"/>
    <s v="DESK"/>
    <s v="COMPLETED"/>
    <n v="200"/>
    <m/>
    <x v="0"/>
  </r>
  <r>
    <s v="T00256"/>
    <x v="3"/>
    <x v="3"/>
    <s v="A046"/>
    <x v="0"/>
    <s v="NEW"/>
    <s v="Single"/>
    <s v="DESK"/>
    <s v="COMPLETED"/>
    <n v="120"/>
    <m/>
    <x v="0"/>
  </r>
  <r>
    <s v="T00257"/>
    <x v="3"/>
    <x v="3"/>
    <s v="A039"/>
    <x v="0"/>
    <s v="NEW"/>
    <s v="Circle"/>
    <s v="DESK"/>
    <s v="COMPLETED"/>
    <n v="225"/>
    <m/>
    <x v="1"/>
  </r>
  <r>
    <s v="T00258"/>
    <x v="3"/>
    <x v="3"/>
    <s v="A037"/>
    <x v="0"/>
    <s v="NEW"/>
    <s v="Circle"/>
    <s v="DESK"/>
    <s v="COMPLETED"/>
    <n v="300"/>
    <m/>
    <x v="0"/>
  </r>
  <r>
    <s v="T00259"/>
    <x v="3"/>
    <x v="3"/>
    <s v="A040"/>
    <x v="0"/>
    <s v="NEW"/>
    <s v="Duo"/>
    <s v="DESK"/>
    <s v="COMPLETED"/>
    <n v="200"/>
    <m/>
    <x v="0"/>
  </r>
  <r>
    <s v="T00260"/>
    <x v="3"/>
    <x v="3"/>
    <s v="A042"/>
    <x v="0"/>
    <s v="NEW"/>
    <s v="Circle"/>
    <s v="ONLINE"/>
    <s v="COMPLETED"/>
    <n v="300"/>
    <m/>
    <x v="0"/>
  </r>
  <r>
    <s v="T00261"/>
    <x v="4"/>
    <x v="0"/>
    <s v="A008"/>
    <x v="0"/>
    <s v="NEW"/>
    <s v="Single"/>
    <s v="DESK"/>
    <s v="COMPLETED"/>
    <n v="102"/>
    <m/>
    <x v="1"/>
  </r>
  <r>
    <s v="T00262"/>
    <x v="4"/>
    <x v="0"/>
    <s v="A012"/>
    <x v="0"/>
    <s v="NEW"/>
    <s v="Single"/>
    <s v="DESK"/>
    <s v="COMPLETED"/>
    <n v="120"/>
    <m/>
    <x v="0"/>
  </r>
  <r>
    <s v="T00263"/>
    <x v="4"/>
    <x v="0"/>
    <s v="A001"/>
    <x v="0"/>
    <s v="NEW"/>
    <s v="Duo"/>
    <s v="DESK"/>
    <s v="COMPLETED"/>
    <n v="200"/>
    <m/>
    <x v="0"/>
  </r>
  <r>
    <s v="T00264"/>
    <x v="4"/>
    <x v="0"/>
    <s v="A005"/>
    <x v="0"/>
    <s v="NEW"/>
    <s v="Duo"/>
    <s v="DESK"/>
    <s v="COMPLETED"/>
    <n v="200"/>
    <m/>
    <x v="0"/>
  </r>
  <r>
    <s v="T00265"/>
    <x v="4"/>
    <x v="0"/>
    <s v="A009"/>
    <x v="0"/>
    <s v="RENEWAL"/>
    <s v="Single"/>
    <s v="DESK"/>
    <s v="COMPLETED"/>
    <n v="120"/>
    <m/>
    <x v="0"/>
  </r>
  <r>
    <s v="T00266"/>
    <x v="4"/>
    <x v="0"/>
    <s v="A003"/>
    <x v="0"/>
    <s v="NEW"/>
    <s v="Duo"/>
    <s v="DESK"/>
    <s v="COMPLETED"/>
    <n v="150"/>
    <m/>
    <x v="1"/>
  </r>
  <r>
    <s v="T00267"/>
    <x v="4"/>
    <x v="0"/>
    <s v="A004"/>
    <x v="0"/>
    <s v="RENEWAL"/>
    <s v="Duo"/>
    <s v="DESK"/>
    <s v="COMPLETED"/>
    <n v="200"/>
    <m/>
    <x v="0"/>
  </r>
  <r>
    <s v="T00268"/>
    <x v="4"/>
    <x v="0"/>
    <s v="A012"/>
    <x v="0"/>
    <s v="NEW"/>
    <s v="Duo"/>
    <s v="DESK"/>
    <s v="COMPLETED"/>
    <n v="170"/>
    <m/>
    <x v="1"/>
  </r>
  <r>
    <s v="T00269"/>
    <x v="4"/>
    <x v="0"/>
    <s v="A009"/>
    <x v="0"/>
    <s v="NEW"/>
    <s v="Circle"/>
    <s v="DESK"/>
    <s v="COMPLETED"/>
    <n v="300"/>
    <m/>
    <x v="0"/>
  </r>
  <r>
    <s v="T00270"/>
    <x v="4"/>
    <x v="0"/>
    <s v="A009"/>
    <x v="0"/>
    <s v="RENEWAL"/>
    <s v="Circle"/>
    <s v="DESK"/>
    <s v="COMPLETED"/>
    <n v="300"/>
    <m/>
    <x v="0"/>
  </r>
  <r>
    <s v="T00271"/>
    <x v="4"/>
    <x v="0"/>
    <s v="A010"/>
    <x v="0"/>
    <s v="NEW"/>
    <s v="Circle"/>
    <s v="DESK"/>
    <s v="COMPLETED"/>
    <n v="300"/>
    <m/>
    <x v="0"/>
  </r>
  <r>
    <s v="T00272"/>
    <x v="4"/>
    <x v="0"/>
    <s v="A008"/>
    <x v="0"/>
    <s v="NEW"/>
    <s v="Single"/>
    <s v="DESK"/>
    <s v="COMPLETED"/>
    <n v="120"/>
    <m/>
    <x v="0"/>
  </r>
  <r>
    <s v="T00273"/>
    <x v="4"/>
    <x v="0"/>
    <s v="A001"/>
    <x v="0"/>
    <s v="RENEWAL"/>
    <s v="Circle"/>
    <s v="DESK"/>
    <s v="COMPLETED"/>
    <n v="255"/>
    <m/>
    <x v="1"/>
  </r>
  <r>
    <s v="T00274"/>
    <x v="4"/>
    <x v="0"/>
    <s v="A009"/>
    <x v="0"/>
    <s v="NEW"/>
    <s v="Single"/>
    <s v="DESK"/>
    <s v="COMPLETED"/>
    <n v="120"/>
    <m/>
    <x v="0"/>
  </r>
  <r>
    <s v="T00275"/>
    <x v="4"/>
    <x v="0"/>
    <s v="A009"/>
    <x v="0"/>
    <s v="NEW"/>
    <s v="Duo"/>
    <s v="DESK"/>
    <s v="COMPLETED"/>
    <n v="200"/>
    <m/>
    <x v="0"/>
  </r>
  <r>
    <s v="T00276"/>
    <x v="4"/>
    <x v="0"/>
    <s v="A010"/>
    <x v="0"/>
    <s v="NEW"/>
    <s v="Duo"/>
    <s v="DESK"/>
    <s v="COMPLETED"/>
    <n v="200"/>
    <m/>
    <x v="0"/>
  </r>
  <r>
    <s v="T00277"/>
    <x v="4"/>
    <x v="0"/>
    <s v="A005"/>
    <x v="0"/>
    <s v="NEW"/>
    <s v="Circle"/>
    <s v="DESK"/>
    <s v="COMPLETED"/>
    <n v="300"/>
    <m/>
    <x v="0"/>
  </r>
  <r>
    <s v="T00278"/>
    <x v="4"/>
    <x v="0"/>
    <s v="A007"/>
    <x v="0"/>
    <s v="NEW"/>
    <s v="Single"/>
    <s v="DESK"/>
    <s v="COMPLETED"/>
    <n v="120"/>
    <m/>
    <x v="0"/>
  </r>
  <r>
    <s v="T00279"/>
    <x v="4"/>
    <x v="0"/>
    <s v="A012"/>
    <x v="0"/>
    <s v="NEW"/>
    <s v="Single"/>
    <s v="DESK"/>
    <s v="COMPLETED"/>
    <n v="120"/>
    <m/>
    <x v="0"/>
  </r>
  <r>
    <s v="T00280"/>
    <x v="4"/>
    <x v="1"/>
    <s v="A015"/>
    <x v="0"/>
    <s v="NEW"/>
    <s v="Single"/>
    <s v="DESK"/>
    <s v="COMPLETED"/>
    <n v="120"/>
    <m/>
    <x v="0"/>
  </r>
  <r>
    <s v="T00281"/>
    <x v="4"/>
    <x v="1"/>
    <s v="A015"/>
    <x v="0"/>
    <s v="NEW"/>
    <s v="Single"/>
    <s v="ONLINE"/>
    <s v="COMPLETED"/>
    <n v="120"/>
    <m/>
    <x v="0"/>
  </r>
  <r>
    <s v="T00282"/>
    <x v="4"/>
    <x v="1"/>
    <s v="A014"/>
    <x v="0"/>
    <s v="RENEWAL"/>
    <s v="Single"/>
    <s v="DESK"/>
    <s v="COMPLETED"/>
    <n v="120"/>
    <m/>
    <x v="0"/>
  </r>
  <r>
    <s v="T00283"/>
    <x v="4"/>
    <x v="1"/>
    <s v="A021"/>
    <x v="0"/>
    <s v="NEW"/>
    <s v="Circle"/>
    <s v="ONLINE"/>
    <s v="COMPLETED"/>
    <n v="300"/>
    <m/>
    <x v="0"/>
  </r>
  <r>
    <s v="T00284"/>
    <x v="4"/>
    <x v="1"/>
    <s v="A023"/>
    <x v="0"/>
    <s v="NEW"/>
    <s v="Duo"/>
    <s v="DESK"/>
    <s v="COMPLETED"/>
    <n v="200"/>
    <m/>
    <x v="0"/>
  </r>
  <r>
    <s v="T00285"/>
    <x v="4"/>
    <x v="1"/>
    <s v="A019"/>
    <x v="0"/>
    <s v="NEW"/>
    <s v="Duo"/>
    <s v="DESK"/>
    <s v="COMPLETED"/>
    <n v="200"/>
    <m/>
    <x v="0"/>
  </r>
  <r>
    <s v="T00286"/>
    <x v="4"/>
    <x v="1"/>
    <s v="A016"/>
    <x v="0"/>
    <s v="NEW"/>
    <s v="Duo"/>
    <s v="DESK"/>
    <s v="COMPLETED"/>
    <n v="200"/>
    <m/>
    <x v="0"/>
  </r>
  <r>
    <s v="T00287"/>
    <x v="4"/>
    <x v="1"/>
    <s v="A019"/>
    <x v="0"/>
    <s v="NEW"/>
    <s v="Circle"/>
    <s v="DESK"/>
    <s v="COMPLETED"/>
    <n v="300"/>
    <m/>
    <x v="0"/>
  </r>
  <r>
    <s v="T00288"/>
    <x v="4"/>
    <x v="1"/>
    <s v="A023"/>
    <x v="0"/>
    <s v="NEW"/>
    <s v="Single"/>
    <s v="DESK"/>
    <s v="COMPLETED"/>
    <n v="120"/>
    <m/>
    <x v="0"/>
  </r>
  <r>
    <s v="T00289"/>
    <x v="4"/>
    <x v="1"/>
    <s v="A017"/>
    <x v="0"/>
    <s v="NEW"/>
    <s v="Circle"/>
    <s v="DESK"/>
    <s v="COMPLETED"/>
    <n v="300"/>
    <m/>
    <x v="0"/>
  </r>
  <r>
    <s v="T00290"/>
    <x v="4"/>
    <x v="1"/>
    <s v="A015"/>
    <x v="0"/>
    <s v="NEW"/>
    <s v="Single"/>
    <s v="DESK"/>
    <s v="COMPLETED"/>
    <n v="120"/>
    <m/>
    <x v="0"/>
  </r>
  <r>
    <s v="T00291"/>
    <x v="4"/>
    <x v="1"/>
    <s v="A017"/>
    <x v="0"/>
    <s v="NEW"/>
    <s v="Duo"/>
    <s v="DESK"/>
    <s v="COMPLETED"/>
    <n v="170"/>
    <m/>
    <x v="1"/>
  </r>
  <r>
    <s v="T00292"/>
    <x v="4"/>
    <x v="1"/>
    <s v="A021"/>
    <x v="0"/>
    <s v="NEW"/>
    <s v="Single"/>
    <s v="DESK"/>
    <s v="COMPLETED"/>
    <n v="120"/>
    <m/>
    <x v="0"/>
  </r>
  <r>
    <s v="T00293"/>
    <x v="4"/>
    <x v="1"/>
    <s v="A017"/>
    <x v="0"/>
    <s v="NEW"/>
    <s v="Circle"/>
    <s v="DESK"/>
    <s v="COMPLETED"/>
    <n v="300"/>
    <m/>
    <x v="0"/>
  </r>
  <r>
    <s v="T00294"/>
    <x v="4"/>
    <x v="2"/>
    <s v="A029"/>
    <x v="0"/>
    <s v="RENEWAL"/>
    <s v="Duo"/>
    <s v="DESK"/>
    <s v="COMPLETED"/>
    <n v="170"/>
    <m/>
    <x v="1"/>
  </r>
  <r>
    <s v="T00295"/>
    <x v="4"/>
    <x v="2"/>
    <s v="A028"/>
    <x v="0"/>
    <s v="NEW"/>
    <s v="Single"/>
    <s v="ONLINE"/>
    <s v="PENDING"/>
    <n v="120"/>
    <m/>
    <x v="0"/>
  </r>
  <r>
    <s v="T00296"/>
    <x v="4"/>
    <x v="2"/>
    <s v="A026"/>
    <x v="0"/>
    <s v="NEW"/>
    <s v="Circle"/>
    <s v="DESK"/>
    <s v="COMPLETED"/>
    <n v="300"/>
    <m/>
    <x v="0"/>
  </r>
  <r>
    <s v="T00297"/>
    <x v="4"/>
    <x v="2"/>
    <s v="A028"/>
    <x v="0"/>
    <s v="NEW"/>
    <s v="Single"/>
    <s v="DESK"/>
    <s v="COMPLETED"/>
    <n v="120"/>
    <m/>
    <x v="0"/>
  </r>
  <r>
    <s v="T00298"/>
    <x v="4"/>
    <x v="2"/>
    <s v="A030"/>
    <x v="0"/>
    <s v="NEW"/>
    <s v="Circle"/>
    <s v="DESK"/>
    <s v="COMPLETED"/>
    <n v="300"/>
    <m/>
    <x v="0"/>
  </r>
  <r>
    <s v="T00299"/>
    <x v="4"/>
    <x v="2"/>
    <s v="A028"/>
    <x v="0"/>
    <s v="NEW"/>
    <s v="Circle"/>
    <s v="DESK"/>
    <s v="VOID"/>
    <n v="300"/>
    <m/>
    <x v="0"/>
  </r>
  <r>
    <s v="T00300"/>
    <x v="4"/>
    <x v="2"/>
    <s v="A031"/>
    <x v="0"/>
    <s v="NEW"/>
    <s v="Circle"/>
    <s v="DESK"/>
    <s v="COMPLETED"/>
    <n v="300"/>
    <m/>
    <x v="0"/>
  </r>
  <r>
    <s v="T00301"/>
    <x v="4"/>
    <x v="2"/>
    <s v="A031"/>
    <x v="0"/>
    <s v="RENEWAL"/>
    <s v="Single"/>
    <s v="DESK"/>
    <s v="COMPLETED"/>
    <n v="120"/>
    <m/>
    <x v="0"/>
  </r>
  <r>
    <s v="T00302"/>
    <x v="4"/>
    <x v="2"/>
    <s v="A031"/>
    <x v="0"/>
    <s v="NEW"/>
    <s v="Single"/>
    <s v="DESK"/>
    <s v="COMPLETED"/>
    <n v="120"/>
    <m/>
    <x v="0"/>
  </r>
  <r>
    <s v="T00303"/>
    <x v="4"/>
    <x v="2"/>
    <s v="A034"/>
    <x v="0"/>
    <s v="RENEWAL"/>
    <s v="Single"/>
    <s v="DESK"/>
    <s v="COMPLETED"/>
    <n v="120"/>
    <m/>
    <x v="0"/>
  </r>
  <r>
    <s v="T00304"/>
    <x v="4"/>
    <x v="2"/>
    <s v="A030"/>
    <x v="0"/>
    <s v="RENEWAL"/>
    <s v="Circle"/>
    <s v="DESK"/>
    <s v="COMPLETED"/>
    <n v="300"/>
    <m/>
    <x v="0"/>
  </r>
  <r>
    <s v="T00305"/>
    <x v="4"/>
    <x v="2"/>
    <s v="A031"/>
    <x v="0"/>
    <s v="NEW"/>
    <s v="Circle"/>
    <s v="DESK"/>
    <s v="COMPLETED"/>
    <n v="300"/>
    <m/>
    <x v="0"/>
  </r>
  <r>
    <s v="T00306"/>
    <x v="4"/>
    <x v="2"/>
    <s v="A027"/>
    <x v="0"/>
    <s v="NEW"/>
    <s v="Single"/>
    <s v="DESK"/>
    <s v="COMPLETED"/>
    <n v="120"/>
    <m/>
    <x v="0"/>
  </r>
  <r>
    <s v="T00307"/>
    <x v="4"/>
    <x v="2"/>
    <s v="A029"/>
    <x v="0"/>
    <s v="NEW"/>
    <s v="Single"/>
    <s v="DESK"/>
    <s v="COMPLETED"/>
    <n v="120"/>
    <m/>
    <x v="0"/>
  </r>
  <r>
    <s v="T00308"/>
    <x v="4"/>
    <x v="3"/>
    <s v="A037"/>
    <x v="0"/>
    <s v="NEW"/>
    <s v="Duo"/>
    <s v="DESK"/>
    <s v="COMPLETED"/>
    <n v="200"/>
    <m/>
    <x v="0"/>
  </r>
  <r>
    <s v="T00309"/>
    <x v="4"/>
    <x v="3"/>
    <s v="A047"/>
    <x v="0"/>
    <s v="NEW"/>
    <s v="Single"/>
    <s v="DESK"/>
    <s v="COMPLETED"/>
    <n v="120"/>
    <m/>
    <x v="0"/>
  </r>
  <r>
    <s v="T00310"/>
    <x v="4"/>
    <x v="3"/>
    <s v="A039"/>
    <x v="0"/>
    <s v="NEW"/>
    <s v="Circle"/>
    <s v="DESK"/>
    <s v="COMPLETED"/>
    <n v="300"/>
    <m/>
    <x v="0"/>
  </r>
  <r>
    <s v="T00311"/>
    <x v="4"/>
    <x v="3"/>
    <s v="A046"/>
    <x v="0"/>
    <s v="NEW"/>
    <s v="Duo"/>
    <s v="DESK"/>
    <s v="COMPLETED"/>
    <n v="200"/>
    <m/>
    <x v="0"/>
  </r>
  <r>
    <s v="T00312"/>
    <x v="4"/>
    <x v="3"/>
    <s v="A042"/>
    <x v="0"/>
    <s v="NEW"/>
    <s v="Duo"/>
    <s v="DESK"/>
    <s v="COMPLETED"/>
    <n v="200"/>
    <m/>
    <x v="0"/>
  </r>
  <r>
    <s v="T00313"/>
    <x v="4"/>
    <x v="3"/>
    <s v="A047"/>
    <x v="0"/>
    <s v="NEW"/>
    <s v="Single"/>
    <s v="DESK"/>
    <s v="COMPLETED"/>
    <n v="120"/>
    <m/>
    <x v="0"/>
  </r>
  <r>
    <s v="T00314"/>
    <x v="4"/>
    <x v="3"/>
    <s v="A046"/>
    <x v="0"/>
    <s v="NEW"/>
    <s v="Duo"/>
    <s v="ONLINE"/>
    <s v="COMPLETED"/>
    <n v="200"/>
    <m/>
    <x v="0"/>
  </r>
  <r>
    <s v="T00315"/>
    <x v="4"/>
    <x v="3"/>
    <s v="A042"/>
    <x v="0"/>
    <s v="RENEWAL"/>
    <s v="Circle"/>
    <s v="DESK"/>
    <s v="COMPLETED"/>
    <n v="300"/>
    <m/>
    <x v="0"/>
  </r>
  <r>
    <s v="T00316"/>
    <x v="4"/>
    <x v="3"/>
    <s v="A040"/>
    <x v="0"/>
    <s v="NEW"/>
    <s v="Circle"/>
    <s v="DESK"/>
    <s v="COMPLETED"/>
    <n v="300"/>
    <m/>
    <x v="0"/>
  </r>
  <r>
    <s v="T00317"/>
    <x v="4"/>
    <x v="3"/>
    <s v="A043"/>
    <x v="0"/>
    <s v="NEW"/>
    <s v="Circle"/>
    <s v="DESK"/>
    <s v="COMPLETED"/>
    <n v="300"/>
    <m/>
    <x v="0"/>
  </r>
  <r>
    <s v="T00318"/>
    <x v="4"/>
    <x v="3"/>
    <s v="A039"/>
    <x v="0"/>
    <s v="NEW"/>
    <s v="Duo"/>
    <s v="DESK"/>
    <s v="COMPLETED"/>
    <n v="200"/>
    <m/>
    <x v="0"/>
  </r>
  <r>
    <s v="T00319"/>
    <x v="4"/>
    <x v="3"/>
    <s v="A046"/>
    <x v="0"/>
    <s v="RENEWAL"/>
    <s v="Duo"/>
    <s v="DESK"/>
    <s v="COMPLETED"/>
    <n v="200"/>
    <m/>
    <x v="0"/>
  </r>
  <r>
    <s v="T00320"/>
    <x v="4"/>
    <x v="3"/>
    <s v="A047"/>
    <x v="0"/>
    <s v="NEW"/>
    <s v="Circle"/>
    <s v="DESK"/>
    <s v="COMPLETED"/>
    <n v="300"/>
    <m/>
    <x v="0"/>
  </r>
  <r>
    <s v="T02110"/>
    <x v="4"/>
    <x v="2"/>
    <s v="A031"/>
    <x v="1"/>
    <s v="NEW"/>
    <s v="Duo"/>
    <s v="DESK"/>
    <s v="COMPLETED"/>
    <n v="200"/>
    <s v="T00240"/>
    <x v="0"/>
  </r>
  <r>
    <s v="T00321"/>
    <x v="5"/>
    <x v="0"/>
    <s v="A008"/>
    <x v="0"/>
    <s v="NEW"/>
    <s v="Circle"/>
    <s v="ONLINE"/>
    <s v="COMPLETED"/>
    <n v="300"/>
    <m/>
    <x v="0"/>
  </r>
  <r>
    <s v="T00322"/>
    <x v="5"/>
    <x v="0"/>
    <s v="A008"/>
    <x v="0"/>
    <s v="NEW"/>
    <s v="Duo"/>
    <s v="DESK"/>
    <s v="COMPLETED"/>
    <n v="200"/>
    <m/>
    <x v="0"/>
  </r>
  <r>
    <s v="T00323"/>
    <x v="5"/>
    <x v="0"/>
    <s v="A009"/>
    <x v="0"/>
    <s v="NEW"/>
    <s v="Single"/>
    <s v="DESK"/>
    <s v="COMPLETED"/>
    <n v="120"/>
    <m/>
    <x v="0"/>
  </r>
  <r>
    <s v="T00324"/>
    <x v="5"/>
    <x v="0"/>
    <s v="A009"/>
    <x v="0"/>
    <s v="NEW"/>
    <s v="Circle"/>
    <s v="DESK"/>
    <s v="COMPLETED"/>
    <n v="300"/>
    <m/>
    <x v="0"/>
  </r>
  <r>
    <s v="T00325"/>
    <x v="5"/>
    <x v="0"/>
    <s v="A009"/>
    <x v="0"/>
    <s v="NEW"/>
    <s v="Duo"/>
    <s v="DESK"/>
    <s v="COMPLETED"/>
    <n v="200"/>
    <m/>
    <x v="0"/>
  </r>
  <r>
    <s v="T00326"/>
    <x v="5"/>
    <x v="0"/>
    <s v="A011"/>
    <x v="0"/>
    <s v="NEW"/>
    <s v="Duo"/>
    <s v="DESK"/>
    <s v="COMPLETED"/>
    <n v="200"/>
    <m/>
    <x v="0"/>
  </r>
  <r>
    <s v="T00327"/>
    <x v="5"/>
    <x v="0"/>
    <s v="A004"/>
    <x v="0"/>
    <s v="NEW"/>
    <s v="Single"/>
    <s v="ONLINE"/>
    <s v="COMPLETED"/>
    <n v="120"/>
    <m/>
    <x v="0"/>
  </r>
  <r>
    <s v="T00328"/>
    <x v="5"/>
    <x v="0"/>
    <s v="A007"/>
    <x v="0"/>
    <s v="NEW"/>
    <s v="Duo"/>
    <s v="DESK"/>
    <s v="COMPLETED"/>
    <n v="200"/>
    <m/>
    <x v="0"/>
  </r>
  <r>
    <s v="T00329"/>
    <x v="5"/>
    <x v="0"/>
    <s v="A011"/>
    <x v="0"/>
    <s v="NEW"/>
    <s v="Single"/>
    <s v="DESK"/>
    <s v="COMPLETED"/>
    <n v="120"/>
    <m/>
    <x v="0"/>
  </r>
  <r>
    <s v="T00330"/>
    <x v="5"/>
    <x v="0"/>
    <s v="A005"/>
    <x v="0"/>
    <s v="NEW"/>
    <s v="Circle"/>
    <s v="DESK"/>
    <s v="COMPLETED"/>
    <n v="255"/>
    <m/>
    <x v="1"/>
  </r>
  <r>
    <s v="T00331"/>
    <x v="5"/>
    <x v="0"/>
    <s v="A003"/>
    <x v="0"/>
    <s v="NEW"/>
    <s v="Duo"/>
    <s v="DESK"/>
    <s v="COMPLETED"/>
    <n v="200"/>
    <m/>
    <x v="0"/>
  </r>
  <r>
    <s v="T00332"/>
    <x v="5"/>
    <x v="0"/>
    <s v="A001"/>
    <x v="0"/>
    <s v="NEW"/>
    <s v="Circle"/>
    <s v="DESK"/>
    <s v="COMPLETED"/>
    <n v="300"/>
    <m/>
    <x v="0"/>
  </r>
  <r>
    <s v="T00333"/>
    <x v="5"/>
    <x v="0"/>
    <s v="A002"/>
    <x v="0"/>
    <s v="NEW"/>
    <s v="Single"/>
    <s v="ONLINE"/>
    <s v="COMPLETED"/>
    <n v="120"/>
    <m/>
    <x v="0"/>
  </r>
  <r>
    <s v="T00334"/>
    <x v="5"/>
    <x v="0"/>
    <s v="A010"/>
    <x v="0"/>
    <s v="NEW"/>
    <s v="Circle"/>
    <s v="ONLINE"/>
    <s v="COMPLETED"/>
    <n v="300"/>
    <m/>
    <x v="0"/>
  </r>
  <r>
    <s v="T00335"/>
    <x v="5"/>
    <x v="1"/>
    <s v="A020"/>
    <x v="0"/>
    <s v="NEW"/>
    <s v="Duo"/>
    <s v="ONLINE"/>
    <s v="COMPLETED"/>
    <n v="150"/>
    <m/>
    <x v="1"/>
  </r>
  <r>
    <s v="T00336"/>
    <x v="5"/>
    <x v="1"/>
    <s v="A023"/>
    <x v="0"/>
    <s v="NEW"/>
    <s v="Single"/>
    <s v="DESK"/>
    <s v="COMPLETED"/>
    <n v="120"/>
    <m/>
    <x v="0"/>
  </r>
  <r>
    <s v="T00337"/>
    <x v="5"/>
    <x v="1"/>
    <s v="A022"/>
    <x v="0"/>
    <s v="NEW"/>
    <s v="Duo"/>
    <s v="DESK"/>
    <s v="COMPLETED"/>
    <n v="200"/>
    <m/>
    <x v="0"/>
  </r>
  <r>
    <s v="T00338"/>
    <x v="5"/>
    <x v="1"/>
    <s v="A024"/>
    <x v="0"/>
    <s v="RENEWAL"/>
    <s v="Circle"/>
    <s v="DESK"/>
    <s v="COMPLETED"/>
    <n v="300"/>
    <m/>
    <x v="0"/>
  </r>
  <r>
    <s v="T00339"/>
    <x v="5"/>
    <x v="1"/>
    <s v="A018"/>
    <x v="0"/>
    <s v="RENEWAL"/>
    <s v="Circle"/>
    <s v="DESK"/>
    <s v="COMPLETED"/>
    <n v="300"/>
    <m/>
    <x v="0"/>
  </r>
  <r>
    <s v="T00340"/>
    <x v="5"/>
    <x v="1"/>
    <s v="A024"/>
    <x v="0"/>
    <s v="NEW"/>
    <s v="Single"/>
    <s v="DESK"/>
    <s v="COMPLETED"/>
    <n v="120"/>
    <m/>
    <x v="0"/>
  </r>
  <r>
    <s v="T00341"/>
    <x v="5"/>
    <x v="1"/>
    <s v="A024"/>
    <x v="0"/>
    <s v="NEW"/>
    <s v="Circle"/>
    <s v="DESK"/>
    <s v="COMPLETED"/>
    <n v="300"/>
    <m/>
    <x v="0"/>
  </r>
  <r>
    <s v="T00342"/>
    <x v="5"/>
    <x v="1"/>
    <s v="A023"/>
    <x v="0"/>
    <s v="NEW"/>
    <s v="Single"/>
    <s v="DESK"/>
    <s v="COMPLETED"/>
    <n v="120"/>
    <m/>
    <x v="0"/>
  </r>
  <r>
    <s v="T00343"/>
    <x v="5"/>
    <x v="1"/>
    <s v="A016"/>
    <x v="0"/>
    <s v="NEW"/>
    <s v="Circle"/>
    <s v="DESK"/>
    <s v="COMPLETED"/>
    <n v="300"/>
    <m/>
    <x v="0"/>
  </r>
  <r>
    <s v="T00344"/>
    <x v="5"/>
    <x v="1"/>
    <s v="A024"/>
    <x v="0"/>
    <s v="NEW"/>
    <s v="Single"/>
    <s v="DESK"/>
    <s v="COMPLETED"/>
    <n v="102"/>
    <m/>
    <x v="1"/>
  </r>
  <r>
    <s v="T00345"/>
    <x v="5"/>
    <x v="1"/>
    <s v="A016"/>
    <x v="0"/>
    <s v="NEW"/>
    <s v="Single"/>
    <s v="ONLINE"/>
    <s v="COMPLETED"/>
    <n v="120"/>
    <m/>
    <x v="0"/>
  </r>
  <r>
    <s v="T00346"/>
    <x v="5"/>
    <x v="1"/>
    <s v="A022"/>
    <x v="0"/>
    <s v="NEW"/>
    <s v="Single"/>
    <s v="DESK"/>
    <s v="COMPLETED"/>
    <n v="102"/>
    <m/>
    <x v="1"/>
  </r>
  <r>
    <s v="T00347"/>
    <x v="5"/>
    <x v="1"/>
    <s v="A020"/>
    <x v="0"/>
    <s v="NEW"/>
    <s v="Duo"/>
    <s v="DESK"/>
    <s v="COMPLETED"/>
    <n v="200"/>
    <m/>
    <x v="0"/>
  </r>
  <r>
    <s v="T00348"/>
    <x v="5"/>
    <x v="2"/>
    <s v="A032"/>
    <x v="0"/>
    <s v="NEW"/>
    <s v="Duo"/>
    <s v="DESK"/>
    <s v="COMPLETED"/>
    <n v="200"/>
    <m/>
    <x v="0"/>
  </r>
  <r>
    <s v="T00349"/>
    <x v="5"/>
    <x v="2"/>
    <s v="A028"/>
    <x v="0"/>
    <s v="RENEWAL"/>
    <s v="Duo"/>
    <s v="DESK"/>
    <s v="COMPLETED"/>
    <n v="200"/>
    <m/>
    <x v="0"/>
  </r>
  <r>
    <s v="T00350"/>
    <x v="5"/>
    <x v="2"/>
    <s v="A036"/>
    <x v="0"/>
    <s v="NEW"/>
    <s v="Single"/>
    <s v="DESK"/>
    <s v="COMPLETED"/>
    <n v="120"/>
    <m/>
    <x v="0"/>
  </r>
  <r>
    <s v="T00351"/>
    <x v="5"/>
    <x v="2"/>
    <s v="A025"/>
    <x v="0"/>
    <s v="NEW"/>
    <s v="Circle"/>
    <s v="DESK"/>
    <s v="COMPLETED"/>
    <n v="300"/>
    <m/>
    <x v="0"/>
  </r>
  <r>
    <s v="T00352"/>
    <x v="5"/>
    <x v="2"/>
    <s v="A029"/>
    <x v="0"/>
    <s v="NEW"/>
    <s v="Single"/>
    <s v="DESK"/>
    <s v="COMPLETED"/>
    <n v="120"/>
    <m/>
    <x v="0"/>
  </r>
  <r>
    <s v="T00353"/>
    <x v="5"/>
    <x v="2"/>
    <s v="A027"/>
    <x v="0"/>
    <s v="NEW"/>
    <s v="Single"/>
    <s v="DESK"/>
    <s v="COMPLETED"/>
    <n v="120"/>
    <m/>
    <x v="0"/>
  </r>
  <r>
    <s v="T00354"/>
    <x v="5"/>
    <x v="2"/>
    <s v="A025"/>
    <x v="0"/>
    <s v="NEW"/>
    <s v="Circle"/>
    <s v="ONLINE"/>
    <s v="COMPLETED"/>
    <n v="300"/>
    <m/>
    <x v="0"/>
  </r>
  <r>
    <s v="T00355"/>
    <x v="5"/>
    <x v="2"/>
    <s v="A026"/>
    <x v="0"/>
    <s v="NEW"/>
    <s v="Circle"/>
    <s v="DESK"/>
    <s v="COMPLETED"/>
    <n v="300"/>
    <m/>
    <x v="0"/>
  </r>
  <r>
    <s v="T00356"/>
    <x v="5"/>
    <x v="2"/>
    <s v="A030"/>
    <x v="0"/>
    <s v="NEW"/>
    <s v="Circle"/>
    <s v="DESK"/>
    <s v="COMPLETED"/>
    <n v="300"/>
    <m/>
    <x v="0"/>
  </r>
  <r>
    <s v="T00357"/>
    <x v="5"/>
    <x v="2"/>
    <s v="A027"/>
    <x v="0"/>
    <s v="NEW"/>
    <s v="Duo"/>
    <s v="DESK"/>
    <s v="COMPLETED"/>
    <n v="200"/>
    <m/>
    <x v="0"/>
  </r>
  <r>
    <s v="T00358"/>
    <x v="5"/>
    <x v="2"/>
    <s v="A034"/>
    <x v="0"/>
    <s v="NEW"/>
    <s v="Circle"/>
    <s v="DESK"/>
    <s v="COMPLETED"/>
    <n v="255"/>
    <m/>
    <x v="1"/>
  </r>
  <r>
    <s v="T00359"/>
    <x v="5"/>
    <x v="2"/>
    <s v="A033"/>
    <x v="0"/>
    <s v="NEW"/>
    <s v="Duo"/>
    <s v="DESK"/>
    <s v="COMPLETED"/>
    <n v="170"/>
    <m/>
    <x v="1"/>
  </r>
  <r>
    <s v="T00360"/>
    <x v="5"/>
    <x v="2"/>
    <s v="A034"/>
    <x v="0"/>
    <s v="NEW"/>
    <s v="Duo"/>
    <s v="DESK"/>
    <s v="COMPLETED"/>
    <n v="200"/>
    <m/>
    <x v="0"/>
  </r>
  <r>
    <s v="T00361"/>
    <x v="5"/>
    <x v="2"/>
    <s v="A034"/>
    <x v="0"/>
    <s v="NEW"/>
    <s v="Single"/>
    <s v="DESK"/>
    <s v="COMPLETED"/>
    <n v="120"/>
    <m/>
    <x v="0"/>
  </r>
  <r>
    <s v="T00362"/>
    <x v="5"/>
    <x v="2"/>
    <s v="A026"/>
    <x v="0"/>
    <s v="NEW"/>
    <s v="Circle"/>
    <s v="DESK"/>
    <s v="COMPLETED"/>
    <n v="300"/>
    <m/>
    <x v="0"/>
  </r>
  <r>
    <s v="T00363"/>
    <x v="5"/>
    <x v="2"/>
    <s v="A036"/>
    <x v="0"/>
    <s v="NEW"/>
    <s v="Circle"/>
    <s v="DESK"/>
    <s v="COMPLETED"/>
    <n v="300"/>
    <m/>
    <x v="0"/>
  </r>
  <r>
    <s v="T00364"/>
    <x v="5"/>
    <x v="2"/>
    <s v="A034"/>
    <x v="0"/>
    <s v="NEW"/>
    <s v="Circle"/>
    <s v="DESK"/>
    <s v="COMPLETED"/>
    <n v="300"/>
    <m/>
    <x v="0"/>
  </r>
  <r>
    <s v="T00365"/>
    <x v="5"/>
    <x v="2"/>
    <s v="A029"/>
    <x v="0"/>
    <s v="NEW"/>
    <s v="Single"/>
    <s v="DESK"/>
    <s v="COMPLETED"/>
    <n v="120"/>
    <m/>
    <x v="0"/>
  </r>
  <r>
    <s v="T00366"/>
    <x v="5"/>
    <x v="2"/>
    <s v="A036"/>
    <x v="0"/>
    <s v="NEW"/>
    <s v="Single"/>
    <s v="DESK"/>
    <s v="COMPLETED"/>
    <n v="120"/>
    <m/>
    <x v="0"/>
  </r>
  <r>
    <s v="T00367"/>
    <x v="5"/>
    <x v="3"/>
    <s v="A039"/>
    <x v="0"/>
    <s v="NEW"/>
    <s v="Circle"/>
    <s v="ONLINE"/>
    <s v="COMPLETED"/>
    <n v="300"/>
    <m/>
    <x v="0"/>
  </r>
  <r>
    <s v="T00368"/>
    <x v="5"/>
    <x v="3"/>
    <s v="A045"/>
    <x v="0"/>
    <s v="NEW"/>
    <s v="Single"/>
    <s v="DESK"/>
    <s v="COMPLETED"/>
    <n v="120"/>
    <m/>
    <x v="0"/>
  </r>
  <r>
    <s v="T00369"/>
    <x v="5"/>
    <x v="3"/>
    <s v="A040"/>
    <x v="0"/>
    <s v="NEW"/>
    <s v="Duo"/>
    <s v="DESK"/>
    <s v="COMPLETED"/>
    <n v="200"/>
    <m/>
    <x v="0"/>
  </r>
  <r>
    <s v="T00370"/>
    <x v="5"/>
    <x v="3"/>
    <s v="A046"/>
    <x v="0"/>
    <s v="NEW"/>
    <s v="Circle"/>
    <s v="DESK"/>
    <s v="COMPLETED"/>
    <n v="300"/>
    <m/>
    <x v="0"/>
  </r>
  <r>
    <s v="T00371"/>
    <x v="5"/>
    <x v="3"/>
    <s v="A048"/>
    <x v="0"/>
    <s v="NEW"/>
    <s v="Circle"/>
    <s v="ONLINE"/>
    <s v="COMPLETED"/>
    <n v="300"/>
    <m/>
    <x v="0"/>
  </r>
  <r>
    <s v="T00372"/>
    <x v="5"/>
    <x v="3"/>
    <s v="A042"/>
    <x v="0"/>
    <s v="NEW"/>
    <s v="Duo"/>
    <s v="DESK"/>
    <s v="COMPLETED"/>
    <n v="200"/>
    <m/>
    <x v="0"/>
  </r>
  <r>
    <s v="T00373"/>
    <x v="5"/>
    <x v="3"/>
    <s v="A048"/>
    <x v="0"/>
    <s v="NEW"/>
    <s v="Circle"/>
    <s v="DESK"/>
    <s v="COMPLETED"/>
    <n v="300"/>
    <m/>
    <x v="0"/>
  </r>
  <r>
    <s v="T00374"/>
    <x v="5"/>
    <x v="3"/>
    <s v="A042"/>
    <x v="0"/>
    <s v="NEW"/>
    <s v="Circle"/>
    <s v="DESK"/>
    <s v="COMPLETED"/>
    <n v="225"/>
    <m/>
    <x v="1"/>
  </r>
  <r>
    <s v="T00375"/>
    <x v="5"/>
    <x v="3"/>
    <s v="A041"/>
    <x v="0"/>
    <s v="NEW"/>
    <s v="Single"/>
    <s v="DESK"/>
    <s v="VOID"/>
    <n v="120"/>
    <m/>
    <x v="0"/>
  </r>
  <r>
    <s v="T00376"/>
    <x v="5"/>
    <x v="3"/>
    <s v="A042"/>
    <x v="0"/>
    <s v="NEW"/>
    <s v="Duo"/>
    <s v="DESK"/>
    <s v="COMPLETED"/>
    <n v="200"/>
    <m/>
    <x v="0"/>
  </r>
  <r>
    <s v="T00377"/>
    <x v="5"/>
    <x v="3"/>
    <s v="A038"/>
    <x v="0"/>
    <s v="NEW"/>
    <s v="Circle"/>
    <s v="DESK"/>
    <s v="COMPLETED"/>
    <n v="300"/>
    <m/>
    <x v="0"/>
  </r>
  <r>
    <s v="T00378"/>
    <x v="5"/>
    <x v="3"/>
    <s v="A047"/>
    <x v="0"/>
    <s v="NEW"/>
    <s v="Circle"/>
    <s v="DESK"/>
    <s v="COMPLETED"/>
    <n v="300"/>
    <m/>
    <x v="0"/>
  </r>
  <r>
    <s v="T00379"/>
    <x v="5"/>
    <x v="3"/>
    <s v="A039"/>
    <x v="0"/>
    <s v="RENEWAL"/>
    <s v="Single"/>
    <s v="DESK"/>
    <s v="COMPLETED"/>
    <n v="120"/>
    <m/>
    <x v="0"/>
  </r>
  <r>
    <s v="T02075"/>
    <x v="5"/>
    <x v="1"/>
    <s v="A019"/>
    <x v="1"/>
    <s v="NEW"/>
    <s v="Single"/>
    <s v="DESK"/>
    <s v="COMPLETED"/>
    <n v="120"/>
    <s v="T00218"/>
    <x v="0"/>
  </r>
  <r>
    <s v="T02083"/>
    <x v="5"/>
    <x v="2"/>
    <s v="A026"/>
    <x v="1"/>
    <s v="NEW"/>
    <s v="Single"/>
    <s v="ONLINE"/>
    <s v="COMPLETED"/>
    <n v="120"/>
    <s v="T00233"/>
    <x v="0"/>
  </r>
  <r>
    <s v="T02094"/>
    <x v="5"/>
    <x v="0"/>
    <s v="A003"/>
    <x v="1"/>
    <s v="NEW"/>
    <s v="Single"/>
    <s v="DESK"/>
    <s v="COMPLETED"/>
    <n v="120"/>
    <s v="T00272"/>
    <x v="0"/>
  </r>
  <r>
    <s v="T02098"/>
    <x v="5"/>
    <x v="1"/>
    <s v="A016"/>
    <x v="1"/>
    <s v="NEW"/>
    <s v="Single"/>
    <s v="DESK"/>
    <s v="COMPLETED"/>
    <n v="120"/>
    <s v="T00280"/>
    <x v="0"/>
  </r>
  <r>
    <s v="T02117"/>
    <x v="5"/>
    <x v="2"/>
    <s v="A032"/>
    <x v="1"/>
    <s v="NEW"/>
    <s v="Duo"/>
    <s v="ONLINE"/>
    <s v="COMPLETED"/>
    <n v="200"/>
    <s v="T00175"/>
    <x v="0"/>
  </r>
  <r>
    <s v="T00380"/>
    <x v="6"/>
    <x v="0"/>
    <s v="A012"/>
    <x v="0"/>
    <s v="NEW"/>
    <s v="Circle"/>
    <s v="DESK"/>
    <s v="COMPLETED"/>
    <n v="300"/>
    <m/>
    <x v="0"/>
  </r>
  <r>
    <s v="T00381"/>
    <x v="6"/>
    <x v="0"/>
    <s v="A006"/>
    <x v="0"/>
    <s v="NEW"/>
    <s v="Circle"/>
    <s v="DESK"/>
    <s v="COMPLETED"/>
    <n v="300"/>
    <m/>
    <x v="0"/>
  </r>
  <r>
    <s v="T00382"/>
    <x v="6"/>
    <x v="0"/>
    <s v="A005"/>
    <x v="0"/>
    <s v="RENEWAL"/>
    <s v="Circle"/>
    <s v="DESK"/>
    <s v="COMPLETED"/>
    <n v="300"/>
    <m/>
    <x v="0"/>
  </r>
  <r>
    <s v="T00383"/>
    <x v="6"/>
    <x v="0"/>
    <s v="A011"/>
    <x v="0"/>
    <s v="NEW"/>
    <s v="Duo"/>
    <s v="DESK"/>
    <s v="COMPLETED"/>
    <n v="200"/>
    <m/>
    <x v="0"/>
  </r>
  <r>
    <s v="T00384"/>
    <x v="6"/>
    <x v="0"/>
    <s v="A010"/>
    <x v="0"/>
    <s v="NEW"/>
    <s v="Circle"/>
    <s v="DESK"/>
    <s v="COMPLETED"/>
    <n v="300"/>
    <m/>
    <x v="0"/>
  </r>
  <r>
    <s v="T00385"/>
    <x v="6"/>
    <x v="0"/>
    <s v="A006"/>
    <x v="0"/>
    <s v="NEW"/>
    <s v="Circle"/>
    <s v="DESK"/>
    <s v="COMPLETED"/>
    <n v="300"/>
    <m/>
    <x v="0"/>
  </r>
  <r>
    <s v="T00386"/>
    <x v="6"/>
    <x v="0"/>
    <s v="A006"/>
    <x v="0"/>
    <s v="NEW"/>
    <s v="Single"/>
    <s v="DESK"/>
    <s v="COMPLETED"/>
    <n v="120"/>
    <m/>
    <x v="0"/>
  </r>
  <r>
    <s v="T00387"/>
    <x v="6"/>
    <x v="0"/>
    <s v="A012"/>
    <x v="0"/>
    <s v="NEW"/>
    <s v="Circle"/>
    <s v="DESK"/>
    <s v="COMPLETED"/>
    <n v="300"/>
    <m/>
    <x v="0"/>
  </r>
  <r>
    <s v="T00388"/>
    <x v="6"/>
    <x v="0"/>
    <s v="A002"/>
    <x v="0"/>
    <s v="NEW"/>
    <s v="Duo"/>
    <s v="DESK"/>
    <s v="COMPLETED"/>
    <n v="200"/>
    <m/>
    <x v="0"/>
  </r>
  <r>
    <s v="T00389"/>
    <x v="6"/>
    <x v="0"/>
    <s v="A008"/>
    <x v="0"/>
    <s v="NEW"/>
    <s v="Duo"/>
    <s v="DESK"/>
    <s v="COMPLETED"/>
    <n v="200"/>
    <m/>
    <x v="0"/>
  </r>
  <r>
    <s v="T00390"/>
    <x v="6"/>
    <x v="0"/>
    <s v="A004"/>
    <x v="0"/>
    <s v="RENEWAL"/>
    <s v="Duo"/>
    <s v="DESK"/>
    <s v="COMPLETED"/>
    <n v="170"/>
    <m/>
    <x v="1"/>
  </r>
  <r>
    <s v="T00391"/>
    <x v="6"/>
    <x v="0"/>
    <s v="A009"/>
    <x v="0"/>
    <s v="NEW"/>
    <s v="Duo"/>
    <s v="DESK"/>
    <s v="COMPLETED"/>
    <n v="170"/>
    <m/>
    <x v="1"/>
  </r>
  <r>
    <s v="T00392"/>
    <x v="6"/>
    <x v="0"/>
    <s v="A010"/>
    <x v="0"/>
    <s v="NEW"/>
    <s v="Circle"/>
    <s v="DESK"/>
    <s v="COMPLETED"/>
    <n v="300"/>
    <m/>
    <x v="0"/>
  </r>
  <r>
    <s v="T00393"/>
    <x v="6"/>
    <x v="0"/>
    <s v="A008"/>
    <x v="0"/>
    <s v="RENEWAL"/>
    <s v="Duo"/>
    <s v="DESK"/>
    <s v="COMPLETED"/>
    <n v="200"/>
    <m/>
    <x v="0"/>
  </r>
  <r>
    <s v="T00394"/>
    <x v="6"/>
    <x v="0"/>
    <s v="A001"/>
    <x v="0"/>
    <s v="NEW"/>
    <s v="Single"/>
    <s v="DESK"/>
    <s v="COMPLETED"/>
    <n v="120"/>
    <m/>
    <x v="0"/>
  </r>
  <r>
    <s v="T00395"/>
    <x v="6"/>
    <x v="0"/>
    <s v="A006"/>
    <x v="0"/>
    <s v="NEW"/>
    <s v="Duo"/>
    <s v="DESK"/>
    <s v="COMPLETED"/>
    <n v="200"/>
    <m/>
    <x v="0"/>
  </r>
  <r>
    <s v="T00396"/>
    <x v="6"/>
    <x v="1"/>
    <s v="A022"/>
    <x v="0"/>
    <s v="NEW"/>
    <s v="Circle"/>
    <s v="DESK"/>
    <s v="COMPLETED"/>
    <n v="300"/>
    <m/>
    <x v="0"/>
  </r>
  <r>
    <s v="T00397"/>
    <x v="6"/>
    <x v="1"/>
    <s v="A024"/>
    <x v="0"/>
    <s v="NEW"/>
    <s v="Duo"/>
    <s v="ONLINE"/>
    <s v="COMPLETED"/>
    <n v="200"/>
    <m/>
    <x v="0"/>
  </r>
  <r>
    <s v="T00398"/>
    <x v="6"/>
    <x v="1"/>
    <s v="A016"/>
    <x v="0"/>
    <s v="NEW"/>
    <s v="Single"/>
    <s v="DESK"/>
    <s v="COMPLETED"/>
    <n v="120"/>
    <m/>
    <x v="0"/>
  </r>
  <r>
    <s v="T00399"/>
    <x v="6"/>
    <x v="1"/>
    <s v="A023"/>
    <x v="0"/>
    <s v="NEW"/>
    <s v="Circle"/>
    <s v="DESK"/>
    <s v="COMPLETED"/>
    <n v="255"/>
    <m/>
    <x v="1"/>
  </r>
  <r>
    <s v="T00400"/>
    <x v="6"/>
    <x v="1"/>
    <s v="A015"/>
    <x v="0"/>
    <s v="NEW"/>
    <s v="Circle"/>
    <s v="ONLINE"/>
    <s v="COMPLETED"/>
    <n v="300"/>
    <m/>
    <x v="0"/>
  </r>
  <r>
    <s v="T00401"/>
    <x v="6"/>
    <x v="1"/>
    <s v="A014"/>
    <x v="0"/>
    <s v="NEW"/>
    <s v="Single"/>
    <s v="ONLINE"/>
    <s v="COMPLETED"/>
    <n v="120"/>
    <m/>
    <x v="0"/>
  </r>
  <r>
    <s v="T00402"/>
    <x v="6"/>
    <x v="1"/>
    <s v="A019"/>
    <x v="0"/>
    <s v="NEW"/>
    <s v="Circle"/>
    <s v="DESK"/>
    <s v="COMPLETED"/>
    <n v="300"/>
    <m/>
    <x v="0"/>
  </r>
  <r>
    <s v="T00403"/>
    <x v="6"/>
    <x v="1"/>
    <s v="A017"/>
    <x v="0"/>
    <s v="NEW"/>
    <s v="Single"/>
    <s v="DESK"/>
    <s v="COMPLETED"/>
    <n v="120"/>
    <m/>
    <x v="0"/>
  </r>
  <r>
    <s v="T00404"/>
    <x v="6"/>
    <x v="1"/>
    <s v="A021"/>
    <x v="0"/>
    <s v="NEW"/>
    <s v="Circle"/>
    <s v="DESK"/>
    <s v="COMPLETED"/>
    <n v="300"/>
    <m/>
    <x v="0"/>
  </r>
  <r>
    <s v="T00405"/>
    <x v="6"/>
    <x v="1"/>
    <s v="A020"/>
    <x v="0"/>
    <s v="NEW"/>
    <s v="Circle"/>
    <s v="DESK"/>
    <s v="COMPLETED"/>
    <n v="300"/>
    <m/>
    <x v="0"/>
  </r>
  <r>
    <s v="T00406"/>
    <x v="6"/>
    <x v="1"/>
    <s v="A014"/>
    <x v="0"/>
    <s v="NEW"/>
    <s v="Circle"/>
    <s v="DESK"/>
    <s v="COMPLETED"/>
    <n v="300"/>
    <m/>
    <x v="0"/>
  </r>
  <r>
    <s v="T00407"/>
    <x v="6"/>
    <x v="1"/>
    <s v="A024"/>
    <x v="0"/>
    <s v="NEW"/>
    <s v="Circle"/>
    <s v="DESK"/>
    <s v="COMPLETED"/>
    <n v="300"/>
    <m/>
    <x v="0"/>
  </r>
  <r>
    <s v="T00408"/>
    <x v="6"/>
    <x v="1"/>
    <s v="A022"/>
    <x v="0"/>
    <s v="NEW"/>
    <s v="Circle"/>
    <s v="DESK"/>
    <s v="COMPLETED"/>
    <n v="300"/>
    <m/>
    <x v="0"/>
  </r>
  <r>
    <s v="T00409"/>
    <x v="6"/>
    <x v="1"/>
    <s v="A015"/>
    <x v="0"/>
    <s v="NEW"/>
    <s v="Duo"/>
    <s v="DESK"/>
    <s v="COMPLETED"/>
    <n v="200"/>
    <m/>
    <x v="0"/>
  </r>
  <r>
    <s v="T00410"/>
    <x v="6"/>
    <x v="2"/>
    <s v="A034"/>
    <x v="0"/>
    <s v="NEW"/>
    <s v="Duo"/>
    <s v="DESK"/>
    <s v="VOID"/>
    <n v="200"/>
    <m/>
    <x v="0"/>
  </r>
  <r>
    <s v="T00411"/>
    <x v="6"/>
    <x v="2"/>
    <s v="A025"/>
    <x v="0"/>
    <s v="NEW"/>
    <s v="Single"/>
    <s v="DESK"/>
    <s v="COMPLETED"/>
    <n v="90"/>
    <m/>
    <x v="1"/>
  </r>
  <r>
    <s v="T00412"/>
    <x v="6"/>
    <x v="2"/>
    <s v="A035"/>
    <x v="0"/>
    <s v="NEW"/>
    <s v="Duo"/>
    <s v="DESK"/>
    <s v="COMPLETED"/>
    <n v="200"/>
    <m/>
    <x v="0"/>
  </r>
  <r>
    <s v="T00413"/>
    <x v="6"/>
    <x v="2"/>
    <s v="A033"/>
    <x v="0"/>
    <s v="RENEWAL"/>
    <s v="Duo"/>
    <s v="DESK"/>
    <s v="COMPLETED"/>
    <n v="200"/>
    <m/>
    <x v="0"/>
  </r>
  <r>
    <s v="T00414"/>
    <x v="6"/>
    <x v="2"/>
    <s v="A030"/>
    <x v="0"/>
    <s v="RENEWAL"/>
    <s v="Duo"/>
    <s v="DESK"/>
    <s v="COMPLETED"/>
    <n v="200"/>
    <m/>
    <x v="0"/>
  </r>
  <r>
    <s v="T00415"/>
    <x v="6"/>
    <x v="2"/>
    <s v="A030"/>
    <x v="0"/>
    <s v="RENEWAL"/>
    <s v="Single"/>
    <s v="DESK"/>
    <s v="COMPLETED"/>
    <n v="120"/>
    <m/>
    <x v="0"/>
  </r>
  <r>
    <s v="T00416"/>
    <x v="6"/>
    <x v="2"/>
    <s v="A032"/>
    <x v="0"/>
    <s v="NEW"/>
    <s v="Circle"/>
    <s v="DESK"/>
    <s v="COMPLETED"/>
    <n v="300"/>
    <m/>
    <x v="0"/>
  </r>
  <r>
    <s v="T00417"/>
    <x v="6"/>
    <x v="2"/>
    <s v="A029"/>
    <x v="0"/>
    <s v="NEW"/>
    <s v="Duo"/>
    <s v="DESK"/>
    <s v="COMPLETED"/>
    <n v="150"/>
    <m/>
    <x v="1"/>
  </r>
  <r>
    <s v="T00418"/>
    <x v="6"/>
    <x v="2"/>
    <s v="A031"/>
    <x v="0"/>
    <s v="NEW"/>
    <s v="Duo"/>
    <s v="DESK"/>
    <s v="COMPLETED"/>
    <n v="200"/>
    <m/>
    <x v="0"/>
  </r>
  <r>
    <s v="T00419"/>
    <x v="6"/>
    <x v="2"/>
    <s v="A035"/>
    <x v="0"/>
    <s v="NEW"/>
    <s v="Duo"/>
    <s v="DESK"/>
    <s v="COMPLETED"/>
    <n v="200"/>
    <m/>
    <x v="0"/>
  </r>
  <r>
    <s v="T00420"/>
    <x v="6"/>
    <x v="2"/>
    <s v="A027"/>
    <x v="0"/>
    <s v="RENEWAL"/>
    <s v="Single"/>
    <s v="DESK"/>
    <s v="COMPLETED"/>
    <n v="120"/>
    <m/>
    <x v="0"/>
  </r>
  <r>
    <s v="T00421"/>
    <x v="6"/>
    <x v="2"/>
    <s v="A033"/>
    <x v="0"/>
    <s v="NEW"/>
    <s v="Duo"/>
    <s v="DESK"/>
    <s v="COMPLETED"/>
    <n v="200"/>
    <m/>
    <x v="0"/>
  </r>
  <r>
    <s v="T00422"/>
    <x v="6"/>
    <x v="2"/>
    <s v="A034"/>
    <x v="0"/>
    <s v="RENEWAL"/>
    <s v="Circle"/>
    <s v="DESK"/>
    <s v="PENDING"/>
    <n v="300"/>
    <m/>
    <x v="0"/>
  </r>
  <r>
    <s v="T00423"/>
    <x v="6"/>
    <x v="2"/>
    <s v="A036"/>
    <x v="0"/>
    <s v="NEW"/>
    <s v="Duo"/>
    <s v="DESK"/>
    <s v="COMPLETED"/>
    <n v="200"/>
    <m/>
    <x v="0"/>
  </r>
  <r>
    <s v="T00424"/>
    <x v="6"/>
    <x v="2"/>
    <s v="A031"/>
    <x v="0"/>
    <s v="NEW"/>
    <s v="Duo"/>
    <s v="DESK"/>
    <s v="COMPLETED"/>
    <n v="200"/>
    <m/>
    <x v="0"/>
  </r>
  <r>
    <s v="T00425"/>
    <x v="6"/>
    <x v="2"/>
    <s v="A029"/>
    <x v="0"/>
    <s v="NEW"/>
    <s v="Single"/>
    <s v="DESK"/>
    <s v="COMPLETED"/>
    <n v="120"/>
    <m/>
    <x v="0"/>
  </r>
  <r>
    <s v="T00426"/>
    <x v="6"/>
    <x v="2"/>
    <s v="A025"/>
    <x v="0"/>
    <s v="NEW"/>
    <s v="Circle"/>
    <s v="DESK"/>
    <s v="COMPLETED"/>
    <n v="300"/>
    <m/>
    <x v="0"/>
  </r>
  <r>
    <s v="T00427"/>
    <x v="6"/>
    <x v="3"/>
    <s v="A039"/>
    <x v="0"/>
    <s v="NEW"/>
    <s v="Circle"/>
    <s v="DESK"/>
    <s v="COMPLETED"/>
    <n v="255"/>
    <m/>
    <x v="1"/>
  </r>
  <r>
    <s v="T00428"/>
    <x v="6"/>
    <x v="3"/>
    <s v="A044"/>
    <x v="0"/>
    <s v="NEW"/>
    <s v="Circle"/>
    <s v="DESK"/>
    <s v="COMPLETED"/>
    <n v="300"/>
    <m/>
    <x v="0"/>
  </r>
  <r>
    <s v="T00429"/>
    <x v="6"/>
    <x v="3"/>
    <s v="A045"/>
    <x v="0"/>
    <s v="NEW"/>
    <s v="Duo"/>
    <s v="ONLINE"/>
    <s v="COMPLETED"/>
    <n v="200"/>
    <m/>
    <x v="0"/>
  </r>
  <r>
    <s v="T00430"/>
    <x v="6"/>
    <x v="3"/>
    <s v="A042"/>
    <x v="0"/>
    <s v="NEW"/>
    <s v="Single"/>
    <s v="DESK"/>
    <s v="PENDING"/>
    <n v="120"/>
    <m/>
    <x v="0"/>
  </r>
  <r>
    <s v="T00431"/>
    <x v="6"/>
    <x v="3"/>
    <s v="A045"/>
    <x v="0"/>
    <s v="NEW"/>
    <s v="Circle"/>
    <s v="DESK"/>
    <s v="COMPLETED"/>
    <n v="300"/>
    <m/>
    <x v="0"/>
  </r>
  <r>
    <s v="T00432"/>
    <x v="6"/>
    <x v="3"/>
    <s v="A044"/>
    <x v="0"/>
    <s v="NEW"/>
    <s v="Circle"/>
    <s v="DESK"/>
    <s v="COMPLETED"/>
    <n v="255"/>
    <m/>
    <x v="1"/>
  </r>
  <r>
    <s v="T00433"/>
    <x v="6"/>
    <x v="3"/>
    <s v="A038"/>
    <x v="0"/>
    <s v="NEW"/>
    <s v="Duo"/>
    <s v="DESK"/>
    <s v="COMPLETED"/>
    <n v="200"/>
    <m/>
    <x v="0"/>
  </r>
  <r>
    <s v="T00434"/>
    <x v="6"/>
    <x v="3"/>
    <s v="A043"/>
    <x v="0"/>
    <s v="NEW"/>
    <s v="Circle"/>
    <s v="DESK"/>
    <s v="COMPLETED"/>
    <n v="300"/>
    <m/>
    <x v="0"/>
  </r>
  <r>
    <s v="T00435"/>
    <x v="6"/>
    <x v="3"/>
    <s v="A040"/>
    <x v="0"/>
    <s v="NEW"/>
    <s v="Single"/>
    <s v="DESK"/>
    <s v="COMPLETED"/>
    <n v="120"/>
    <m/>
    <x v="0"/>
  </r>
  <r>
    <s v="T00436"/>
    <x v="6"/>
    <x v="3"/>
    <s v="A043"/>
    <x v="0"/>
    <s v="NEW"/>
    <s v="Duo"/>
    <s v="DESK"/>
    <s v="COMPLETED"/>
    <n v="200"/>
    <m/>
    <x v="0"/>
  </r>
  <r>
    <s v="T00437"/>
    <x v="6"/>
    <x v="3"/>
    <s v="A045"/>
    <x v="0"/>
    <s v="NEW"/>
    <s v="Circle"/>
    <s v="DESK"/>
    <s v="PENDING"/>
    <n v="300"/>
    <m/>
    <x v="0"/>
  </r>
  <r>
    <s v="T00438"/>
    <x v="6"/>
    <x v="3"/>
    <s v="A044"/>
    <x v="0"/>
    <s v="RENEWAL"/>
    <s v="Single"/>
    <s v="DESK"/>
    <s v="COMPLETED"/>
    <n v="102"/>
    <m/>
    <x v="1"/>
  </r>
  <r>
    <s v="T00439"/>
    <x v="6"/>
    <x v="3"/>
    <s v="A046"/>
    <x v="0"/>
    <s v="NEW"/>
    <s v="Single"/>
    <s v="DESK"/>
    <s v="COMPLETED"/>
    <n v="120"/>
    <m/>
    <x v="0"/>
  </r>
  <r>
    <s v="T00440"/>
    <x v="6"/>
    <x v="3"/>
    <s v="A040"/>
    <x v="0"/>
    <s v="NEW"/>
    <s v="Duo"/>
    <s v="ONLINE"/>
    <s v="COMPLETED"/>
    <n v="150"/>
    <m/>
    <x v="1"/>
  </r>
  <r>
    <s v="T00441"/>
    <x v="6"/>
    <x v="3"/>
    <s v="A040"/>
    <x v="0"/>
    <s v="NEW"/>
    <s v="Circle"/>
    <s v="DESK"/>
    <s v="COMPLETED"/>
    <n v="300"/>
    <m/>
    <x v="0"/>
  </r>
  <r>
    <s v="T00442"/>
    <x v="6"/>
    <x v="3"/>
    <s v="A046"/>
    <x v="0"/>
    <s v="NEW"/>
    <s v="Circle"/>
    <s v="DESK"/>
    <s v="COMPLETED"/>
    <n v="300"/>
    <m/>
    <x v="0"/>
  </r>
  <r>
    <s v="T00443"/>
    <x v="6"/>
    <x v="3"/>
    <s v="A039"/>
    <x v="0"/>
    <s v="RENEWAL"/>
    <s v="Duo"/>
    <s v="DESK"/>
    <s v="COMPLETED"/>
    <n v="200"/>
    <m/>
    <x v="0"/>
  </r>
  <r>
    <s v="T00444"/>
    <x v="6"/>
    <x v="3"/>
    <s v="A045"/>
    <x v="0"/>
    <s v="RENEWAL"/>
    <s v="Circle"/>
    <s v="DESK"/>
    <s v="COMPLETED"/>
    <n v="300"/>
    <m/>
    <x v="0"/>
  </r>
  <r>
    <s v="T02067"/>
    <x v="6"/>
    <x v="0"/>
    <s v="A002"/>
    <x v="1"/>
    <s v="RENEWAL"/>
    <s v="Duo"/>
    <s v="DESK"/>
    <s v="COMPLETED"/>
    <n v="200"/>
    <s v="T00067"/>
    <x v="0"/>
  </r>
  <r>
    <s v="T02103"/>
    <x v="6"/>
    <x v="1"/>
    <s v="A019"/>
    <x v="1"/>
    <s v="NEW"/>
    <s v="Single"/>
    <s v="DESK"/>
    <s v="COMPLETED"/>
    <n v="120"/>
    <s v="T00079"/>
    <x v="0"/>
  </r>
  <r>
    <s v="T02116"/>
    <x v="6"/>
    <x v="3"/>
    <s v="A040"/>
    <x v="1"/>
    <s v="RENEWAL"/>
    <s v="Single"/>
    <s v="ONLINE"/>
    <s v="COMPLETED"/>
    <n v="120"/>
    <s v="T00122"/>
    <x v="0"/>
  </r>
  <r>
    <s v="T00445"/>
    <x v="7"/>
    <x v="0"/>
    <s v="A001"/>
    <x v="0"/>
    <s v="RENEWAL"/>
    <s v="Circle"/>
    <s v="DESK"/>
    <s v="COMPLETED"/>
    <n v="225"/>
    <m/>
    <x v="1"/>
  </r>
  <r>
    <s v="T00446"/>
    <x v="7"/>
    <x v="0"/>
    <s v="A002"/>
    <x v="0"/>
    <s v="NEW"/>
    <s v="Circle"/>
    <s v="DESK"/>
    <s v="COMPLETED"/>
    <n v="300"/>
    <m/>
    <x v="0"/>
  </r>
  <r>
    <s v="T00447"/>
    <x v="7"/>
    <x v="0"/>
    <s v="A007"/>
    <x v="0"/>
    <s v="NEW"/>
    <s v="Single"/>
    <s v="DESK"/>
    <s v="COMPLETED"/>
    <n v="120"/>
    <m/>
    <x v="0"/>
  </r>
  <r>
    <s v="T00448"/>
    <x v="7"/>
    <x v="0"/>
    <s v="A011"/>
    <x v="0"/>
    <s v="NEW"/>
    <s v="Single"/>
    <s v="ONLINE"/>
    <s v="COMPLETED"/>
    <n v="120"/>
    <m/>
    <x v="0"/>
  </r>
  <r>
    <s v="T00449"/>
    <x v="7"/>
    <x v="0"/>
    <s v="A006"/>
    <x v="0"/>
    <s v="RENEWAL"/>
    <s v="Duo"/>
    <s v="DESK"/>
    <s v="COMPLETED"/>
    <n v="200"/>
    <m/>
    <x v="0"/>
  </r>
  <r>
    <s v="T00450"/>
    <x v="7"/>
    <x v="0"/>
    <s v="A012"/>
    <x v="0"/>
    <s v="NEW"/>
    <s v="Duo"/>
    <s v="ONLINE"/>
    <s v="COMPLETED"/>
    <n v="200"/>
    <m/>
    <x v="0"/>
  </r>
  <r>
    <s v="T00451"/>
    <x v="7"/>
    <x v="0"/>
    <s v="A012"/>
    <x v="0"/>
    <s v="NEW"/>
    <s v="Single"/>
    <s v="DESK"/>
    <s v="COMPLETED"/>
    <n v="120"/>
    <m/>
    <x v="0"/>
  </r>
  <r>
    <s v="T00452"/>
    <x v="7"/>
    <x v="0"/>
    <s v="A008"/>
    <x v="0"/>
    <s v="NEW"/>
    <s v="Single"/>
    <s v="DESK"/>
    <s v="COMPLETED"/>
    <n v="120"/>
    <m/>
    <x v="0"/>
  </r>
  <r>
    <s v="T00453"/>
    <x v="7"/>
    <x v="0"/>
    <s v="A004"/>
    <x v="0"/>
    <s v="NEW"/>
    <s v="Single"/>
    <s v="DESK"/>
    <s v="COMPLETED"/>
    <n v="120"/>
    <m/>
    <x v="0"/>
  </r>
  <r>
    <s v="T00454"/>
    <x v="7"/>
    <x v="0"/>
    <s v="A002"/>
    <x v="0"/>
    <s v="NEW"/>
    <s v="Duo"/>
    <s v="DESK"/>
    <s v="PENDING"/>
    <n v="200"/>
    <m/>
    <x v="0"/>
  </r>
  <r>
    <s v="T00455"/>
    <x v="7"/>
    <x v="0"/>
    <s v="A009"/>
    <x v="0"/>
    <s v="NEW"/>
    <s v="Duo"/>
    <s v="DESK"/>
    <s v="COMPLETED"/>
    <n v="200"/>
    <m/>
    <x v="0"/>
  </r>
  <r>
    <s v="T00456"/>
    <x v="7"/>
    <x v="0"/>
    <s v="A012"/>
    <x v="0"/>
    <s v="NEW"/>
    <s v="Circle"/>
    <s v="DESK"/>
    <s v="COMPLETED"/>
    <n v="300"/>
    <m/>
    <x v="0"/>
  </r>
  <r>
    <s v="T00457"/>
    <x v="7"/>
    <x v="0"/>
    <s v="A008"/>
    <x v="0"/>
    <s v="RENEWAL"/>
    <s v="Single"/>
    <s v="DESK"/>
    <s v="COMPLETED"/>
    <n v="120"/>
    <m/>
    <x v="0"/>
  </r>
  <r>
    <s v="T00458"/>
    <x v="7"/>
    <x v="0"/>
    <s v="A004"/>
    <x v="0"/>
    <s v="RENEWAL"/>
    <s v="Duo"/>
    <s v="DESK"/>
    <s v="COMPLETED"/>
    <n v="200"/>
    <m/>
    <x v="0"/>
  </r>
  <r>
    <s v="T00459"/>
    <x v="7"/>
    <x v="0"/>
    <s v="A007"/>
    <x v="0"/>
    <s v="NEW"/>
    <s v="Single"/>
    <s v="DESK"/>
    <s v="COMPLETED"/>
    <n v="120"/>
    <m/>
    <x v="0"/>
  </r>
  <r>
    <s v="T00460"/>
    <x v="7"/>
    <x v="1"/>
    <s v="A017"/>
    <x v="0"/>
    <s v="NEW"/>
    <s v="Duo"/>
    <s v="DESK"/>
    <s v="COMPLETED"/>
    <n v="200"/>
    <m/>
    <x v="0"/>
  </r>
  <r>
    <s v="T00461"/>
    <x v="7"/>
    <x v="1"/>
    <s v="A020"/>
    <x v="0"/>
    <s v="RENEWAL"/>
    <s v="Circle"/>
    <s v="DESK"/>
    <s v="COMPLETED"/>
    <n v="300"/>
    <m/>
    <x v="0"/>
  </r>
  <r>
    <s v="T00462"/>
    <x v="7"/>
    <x v="1"/>
    <s v="A014"/>
    <x v="0"/>
    <s v="NEW"/>
    <s v="Circle"/>
    <s v="DESK"/>
    <s v="COMPLETED"/>
    <n v="300"/>
    <m/>
    <x v="0"/>
  </r>
  <r>
    <s v="T00463"/>
    <x v="7"/>
    <x v="1"/>
    <s v="A024"/>
    <x v="0"/>
    <s v="NEW"/>
    <s v="Single"/>
    <s v="DESK"/>
    <s v="COMPLETED"/>
    <n v="120"/>
    <m/>
    <x v="0"/>
  </r>
  <r>
    <s v="T00464"/>
    <x v="7"/>
    <x v="1"/>
    <s v="A024"/>
    <x v="0"/>
    <s v="RENEWAL"/>
    <s v="Duo"/>
    <s v="ONLINE"/>
    <s v="COMPLETED"/>
    <n v="200"/>
    <m/>
    <x v="0"/>
  </r>
  <r>
    <s v="T00465"/>
    <x v="7"/>
    <x v="1"/>
    <s v="A016"/>
    <x v="0"/>
    <s v="RENEWAL"/>
    <s v="Duo"/>
    <s v="DESK"/>
    <s v="COMPLETED"/>
    <n v="200"/>
    <m/>
    <x v="0"/>
  </r>
  <r>
    <s v="T00466"/>
    <x v="7"/>
    <x v="1"/>
    <s v="A014"/>
    <x v="0"/>
    <s v="NEW"/>
    <s v="Duo"/>
    <s v="DESK"/>
    <s v="COMPLETED"/>
    <n v="200"/>
    <m/>
    <x v="0"/>
  </r>
  <r>
    <s v="T00467"/>
    <x v="7"/>
    <x v="1"/>
    <s v="A019"/>
    <x v="0"/>
    <s v="NEW"/>
    <s v="Duo"/>
    <s v="DESK"/>
    <s v="COMPLETED"/>
    <n v="170"/>
    <m/>
    <x v="1"/>
  </r>
  <r>
    <s v="T00468"/>
    <x v="7"/>
    <x v="1"/>
    <s v="A015"/>
    <x v="0"/>
    <s v="NEW"/>
    <s v="Circle"/>
    <s v="DESK"/>
    <s v="COMPLETED"/>
    <n v="300"/>
    <m/>
    <x v="0"/>
  </r>
  <r>
    <s v="T00469"/>
    <x v="7"/>
    <x v="1"/>
    <s v="A024"/>
    <x v="0"/>
    <s v="NEW"/>
    <s v="Duo"/>
    <s v="DESK"/>
    <s v="COMPLETED"/>
    <n v="200"/>
    <m/>
    <x v="0"/>
  </r>
  <r>
    <s v="T00470"/>
    <x v="7"/>
    <x v="1"/>
    <s v="A015"/>
    <x v="0"/>
    <s v="RENEWAL"/>
    <s v="Circle"/>
    <s v="DESK"/>
    <s v="COMPLETED"/>
    <n v="300"/>
    <m/>
    <x v="0"/>
  </r>
  <r>
    <s v="T00471"/>
    <x v="7"/>
    <x v="1"/>
    <s v="A021"/>
    <x v="0"/>
    <s v="NEW"/>
    <s v="Single"/>
    <s v="DESK"/>
    <s v="COMPLETED"/>
    <n v="120"/>
    <m/>
    <x v="0"/>
  </r>
  <r>
    <s v="T00472"/>
    <x v="7"/>
    <x v="1"/>
    <s v="A019"/>
    <x v="0"/>
    <s v="NEW"/>
    <s v="Duo"/>
    <s v="DESK"/>
    <s v="COMPLETED"/>
    <n v="200"/>
    <m/>
    <x v="0"/>
  </r>
  <r>
    <s v="T00473"/>
    <x v="7"/>
    <x v="1"/>
    <s v="A019"/>
    <x v="0"/>
    <s v="NEW"/>
    <s v="Duo"/>
    <s v="DESK"/>
    <s v="COMPLETED"/>
    <n v="200"/>
    <m/>
    <x v="0"/>
  </r>
  <r>
    <s v="T00474"/>
    <x v="7"/>
    <x v="1"/>
    <s v="A018"/>
    <x v="0"/>
    <s v="NEW"/>
    <s v="Single"/>
    <s v="DESK"/>
    <s v="COMPLETED"/>
    <n v="120"/>
    <m/>
    <x v="0"/>
  </r>
  <r>
    <s v="T00475"/>
    <x v="7"/>
    <x v="1"/>
    <s v="A024"/>
    <x v="0"/>
    <s v="NEW"/>
    <s v="Duo"/>
    <s v="DESK"/>
    <s v="COMPLETED"/>
    <n v="200"/>
    <m/>
    <x v="0"/>
  </r>
  <r>
    <s v="T00476"/>
    <x v="7"/>
    <x v="1"/>
    <s v="A015"/>
    <x v="0"/>
    <s v="NEW"/>
    <s v="Duo"/>
    <s v="ONLINE"/>
    <s v="COMPLETED"/>
    <n v="200"/>
    <m/>
    <x v="0"/>
  </r>
  <r>
    <s v="T00477"/>
    <x v="7"/>
    <x v="1"/>
    <s v="A019"/>
    <x v="0"/>
    <s v="NEW"/>
    <s v="Circle"/>
    <s v="DESK"/>
    <s v="COMPLETED"/>
    <n v="300"/>
    <m/>
    <x v="0"/>
  </r>
  <r>
    <s v="T00478"/>
    <x v="7"/>
    <x v="2"/>
    <s v="A035"/>
    <x v="0"/>
    <s v="NEW"/>
    <s v="Circle"/>
    <s v="DESK"/>
    <s v="COMPLETED"/>
    <n v="225"/>
    <m/>
    <x v="1"/>
  </r>
  <r>
    <s v="T00479"/>
    <x v="7"/>
    <x v="2"/>
    <s v="A026"/>
    <x v="0"/>
    <s v="NEW"/>
    <s v="Single"/>
    <s v="DESK"/>
    <s v="COMPLETED"/>
    <n v="120"/>
    <m/>
    <x v="0"/>
  </r>
  <r>
    <s v="T00480"/>
    <x v="7"/>
    <x v="2"/>
    <s v="A026"/>
    <x v="0"/>
    <s v="NEW"/>
    <s v="Circle"/>
    <s v="DESK"/>
    <s v="COMPLETED"/>
    <n v="255"/>
    <m/>
    <x v="1"/>
  </r>
  <r>
    <s v="T00481"/>
    <x v="7"/>
    <x v="2"/>
    <s v="A036"/>
    <x v="0"/>
    <s v="RENEWAL"/>
    <s v="Single"/>
    <s v="DESK"/>
    <s v="COMPLETED"/>
    <n v="120"/>
    <m/>
    <x v="0"/>
  </r>
  <r>
    <s v="T00482"/>
    <x v="7"/>
    <x v="2"/>
    <s v="A034"/>
    <x v="0"/>
    <s v="NEW"/>
    <s v="Circle"/>
    <s v="DESK"/>
    <s v="COMPLETED"/>
    <n v="300"/>
    <m/>
    <x v="0"/>
  </r>
  <r>
    <s v="T00483"/>
    <x v="7"/>
    <x v="2"/>
    <s v="A036"/>
    <x v="0"/>
    <s v="NEW"/>
    <s v="Single"/>
    <s v="DESK"/>
    <s v="COMPLETED"/>
    <n v="120"/>
    <m/>
    <x v="0"/>
  </r>
  <r>
    <s v="T00484"/>
    <x v="7"/>
    <x v="2"/>
    <s v="A029"/>
    <x v="0"/>
    <s v="NEW"/>
    <s v="Circle"/>
    <s v="DESK"/>
    <s v="PENDING"/>
    <n v="225"/>
    <m/>
    <x v="1"/>
  </r>
  <r>
    <s v="T00485"/>
    <x v="7"/>
    <x v="2"/>
    <s v="A033"/>
    <x v="0"/>
    <s v="NEW"/>
    <s v="Single"/>
    <s v="DESK"/>
    <s v="COMPLETED"/>
    <n v="120"/>
    <m/>
    <x v="0"/>
  </r>
  <r>
    <s v="T00486"/>
    <x v="7"/>
    <x v="2"/>
    <s v="A027"/>
    <x v="0"/>
    <s v="NEW"/>
    <s v="Single"/>
    <s v="DESK"/>
    <s v="COMPLETED"/>
    <n v="120"/>
    <m/>
    <x v="0"/>
  </r>
  <r>
    <s v="T00487"/>
    <x v="7"/>
    <x v="2"/>
    <s v="A027"/>
    <x v="0"/>
    <s v="NEW"/>
    <s v="Duo"/>
    <s v="DESK"/>
    <s v="PENDING"/>
    <n v="200"/>
    <m/>
    <x v="0"/>
  </r>
  <r>
    <s v="T00488"/>
    <x v="7"/>
    <x v="2"/>
    <s v="A030"/>
    <x v="0"/>
    <s v="NEW"/>
    <s v="Circle"/>
    <s v="DESK"/>
    <s v="COMPLETED"/>
    <n v="300"/>
    <m/>
    <x v="0"/>
  </r>
  <r>
    <s v="T00489"/>
    <x v="7"/>
    <x v="2"/>
    <s v="A028"/>
    <x v="0"/>
    <s v="RENEWAL"/>
    <s v="Duo"/>
    <s v="ONLINE"/>
    <s v="COMPLETED"/>
    <n v="200"/>
    <m/>
    <x v="0"/>
  </r>
  <r>
    <s v="T00490"/>
    <x v="7"/>
    <x v="2"/>
    <s v="A035"/>
    <x v="0"/>
    <s v="NEW"/>
    <s v="Circle"/>
    <s v="DESK"/>
    <s v="COMPLETED"/>
    <n v="300"/>
    <m/>
    <x v="0"/>
  </r>
  <r>
    <s v="T00491"/>
    <x v="7"/>
    <x v="2"/>
    <s v="A035"/>
    <x v="0"/>
    <s v="NEW"/>
    <s v="Single"/>
    <s v="DESK"/>
    <s v="COMPLETED"/>
    <n v="120"/>
    <m/>
    <x v="0"/>
  </r>
  <r>
    <s v="T00492"/>
    <x v="7"/>
    <x v="2"/>
    <s v="A030"/>
    <x v="0"/>
    <s v="NEW"/>
    <s v="Single"/>
    <s v="DESK"/>
    <s v="COMPLETED"/>
    <n v="120"/>
    <m/>
    <x v="0"/>
  </r>
  <r>
    <s v="T00493"/>
    <x v="7"/>
    <x v="2"/>
    <s v="A025"/>
    <x v="0"/>
    <s v="NEW"/>
    <s v="Circle"/>
    <s v="DESK"/>
    <s v="COMPLETED"/>
    <n v="300"/>
    <m/>
    <x v="0"/>
  </r>
  <r>
    <s v="T00494"/>
    <x v="7"/>
    <x v="3"/>
    <s v="A047"/>
    <x v="0"/>
    <s v="NEW"/>
    <s v="Duo"/>
    <s v="DESK"/>
    <s v="COMPLETED"/>
    <n v="200"/>
    <m/>
    <x v="0"/>
  </r>
  <r>
    <s v="T00495"/>
    <x v="7"/>
    <x v="3"/>
    <s v="A047"/>
    <x v="0"/>
    <s v="NEW"/>
    <s v="Circle"/>
    <s v="DESK"/>
    <s v="COMPLETED"/>
    <n v="225"/>
    <m/>
    <x v="1"/>
  </r>
  <r>
    <s v="T00496"/>
    <x v="7"/>
    <x v="3"/>
    <s v="A043"/>
    <x v="0"/>
    <s v="NEW"/>
    <s v="Circle"/>
    <s v="DESK"/>
    <s v="COMPLETED"/>
    <n v="300"/>
    <m/>
    <x v="0"/>
  </r>
  <r>
    <s v="T00497"/>
    <x v="7"/>
    <x v="3"/>
    <s v="A042"/>
    <x v="0"/>
    <s v="NEW"/>
    <s v="Circle"/>
    <s v="ONLINE"/>
    <s v="COMPLETED"/>
    <n v="300"/>
    <m/>
    <x v="0"/>
  </r>
  <r>
    <s v="T00498"/>
    <x v="7"/>
    <x v="3"/>
    <s v="A040"/>
    <x v="0"/>
    <s v="NEW"/>
    <s v="Duo"/>
    <s v="DESK"/>
    <s v="COMPLETED"/>
    <n v="200"/>
    <m/>
    <x v="0"/>
  </r>
  <r>
    <s v="T00499"/>
    <x v="7"/>
    <x v="3"/>
    <s v="A043"/>
    <x v="0"/>
    <s v="NEW"/>
    <s v="Single"/>
    <s v="DESK"/>
    <s v="COMPLETED"/>
    <n v="120"/>
    <m/>
    <x v="0"/>
  </r>
  <r>
    <s v="T00500"/>
    <x v="7"/>
    <x v="3"/>
    <s v="A037"/>
    <x v="0"/>
    <s v="NEW"/>
    <s v="Duo"/>
    <s v="DESK"/>
    <s v="COMPLETED"/>
    <n v="200"/>
    <m/>
    <x v="0"/>
  </r>
  <r>
    <s v="T00501"/>
    <x v="7"/>
    <x v="3"/>
    <s v="A038"/>
    <x v="0"/>
    <s v="NEW"/>
    <s v="Single"/>
    <s v="DESK"/>
    <s v="COMPLETED"/>
    <n v="120"/>
    <m/>
    <x v="0"/>
  </r>
  <r>
    <s v="T00502"/>
    <x v="7"/>
    <x v="3"/>
    <s v="A048"/>
    <x v="0"/>
    <s v="NEW"/>
    <s v="Single"/>
    <s v="ONLINE"/>
    <s v="COMPLETED"/>
    <n v="120"/>
    <m/>
    <x v="0"/>
  </r>
  <r>
    <s v="T00503"/>
    <x v="7"/>
    <x v="3"/>
    <s v="A042"/>
    <x v="0"/>
    <s v="NEW"/>
    <s v="Single"/>
    <s v="DESK"/>
    <s v="COMPLETED"/>
    <n v="120"/>
    <m/>
    <x v="0"/>
  </r>
  <r>
    <s v="T00504"/>
    <x v="7"/>
    <x v="3"/>
    <s v="A039"/>
    <x v="0"/>
    <s v="NEW"/>
    <s v="Circle"/>
    <s v="DESK"/>
    <s v="COMPLETED"/>
    <n v="300"/>
    <m/>
    <x v="0"/>
  </r>
  <r>
    <s v="T00505"/>
    <x v="7"/>
    <x v="3"/>
    <s v="A045"/>
    <x v="0"/>
    <s v="NEW"/>
    <s v="Single"/>
    <s v="DESK"/>
    <s v="COMPLETED"/>
    <n v="120"/>
    <m/>
    <x v="0"/>
  </r>
  <r>
    <s v="T00506"/>
    <x v="7"/>
    <x v="3"/>
    <s v="A048"/>
    <x v="0"/>
    <s v="NEW"/>
    <s v="Single"/>
    <s v="DESK"/>
    <s v="VOID"/>
    <n v="102"/>
    <m/>
    <x v="1"/>
  </r>
  <r>
    <s v="T02114"/>
    <x v="7"/>
    <x v="2"/>
    <s v="A027"/>
    <x v="1"/>
    <s v="NEW"/>
    <s v="Single"/>
    <s v="DESK"/>
    <s v="COMPLETED"/>
    <n v="120"/>
    <s v="T00353"/>
    <x v="0"/>
  </r>
  <r>
    <s v="T00507"/>
    <x v="8"/>
    <x v="0"/>
    <s v="A002"/>
    <x v="0"/>
    <s v="NEW"/>
    <s v="Single"/>
    <s v="DESK"/>
    <s v="COMPLETED"/>
    <n v="120"/>
    <m/>
    <x v="0"/>
  </r>
  <r>
    <s v="T00508"/>
    <x v="8"/>
    <x v="0"/>
    <s v="A003"/>
    <x v="0"/>
    <s v="NEW"/>
    <s v="Duo"/>
    <s v="DESK"/>
    <s v="COMPLETED"/>
    <n v="200"/>
    <m/>
    <x v="0"/>
  </r>
  <r>
    <s v="T00509"/>
    <x v="8"/>
    <x v="0"/>
    <s v="A011"/>
    <x v="0"/>
    <s v="NEW"/>
    <s v="Single"/>
    <s v="DESK"/>
    <s v="COMPLETED"/>
    <n v="102"/>
    <m/>
    <x v="1"/>
  </r>
  <r>
    <s v="T00510"/>
    <x v="8"/>
    <x v="0"/>
    <s v="A001"/>
    <x v="0"/>
    <s v="NEW"/>
    <s v="Single"/>
    <s v="DESK"/>
    <s v="COMPLETED"/>
    <n v="120"/>
    <m/>
    <x v="0"/>
  </r>
  <r>
    <s v="T00511"/>
    <x v="8"/>
    <x v="0"/>
    <s v="A002"/>
    <x v="0"/>
    <s v="NEW"/>
    <s v="Circle"/>
    <s v="DESK"/>
    <s v="COMPLETED"/>
    <n v="300"/>
    <m/>
    <x v="0"/>
  </r>
  <r>
    <s v="T00512"/>
    <x v="8"/>
    <x v="0"/>
    <s v="A009"/>
    <x v="0"/>
    <s v="RENEWAL"/>
    <s v="Circle"/>
    <s v="DESK"/>
    <s v="COMPLETED"/>
    <n v="225"/>
    <m/>
    <x v="1"/>
  </r>
  <r>
    <s v="T00513"/>
    <x v="8"/>
    <x v="0"/>
    <s v="A012"/>
    <x v="0"/>
    <s v="RENEWAL"/>
    <s v="Duo"/>
    <s v="ONLINE"/>
    <s v="COMPLETED"/>
    <n v="200"/>
    <m/>
    <x v="0"/>
  </r>
  <r>
    <s v="T00514"/>
    <x v="8"/>
    <x v="0"/>
    <s v="A006"/>
    <x v="0"/>
    <s v="RENEWAL"/>
    <s v="Circle"/>
    <s v="DESK"/>
    <s v="COMPLETED"/>
    <n v="300"/>
    <m/>
    <x v="0"/>
  </r>
  <r>
    <s v="T00515"/>
    <x v="8"/>
    <x v="0"/>
    <s v="A004"/>
    <x v="0"/>
    <s v="NEW"/>
    <s v="Duo"/>
    <s v="ONLINE"/>
    <s v="COMPLETED"/>
    <n v="200"/>
    <m/>
    <x v="0"/>
  </r>
  <r>
    <s v="T00516"/>
    <x v="8"/>
    <x v="0"/>
    <s v="A010"/>
    <x v="0"/>
    <s v="NEW"/>
    <s v="Single"/>
    <s v="DESK"/>
    <s v="COMPLETED"/>
    <n v="120"/>
    <m/>
    <x v="0"/>
  </r>
  <r>
    <s v="T00517"/>
    <x v="8"/>
    <x v="0"/>
    <s v="A009"/>
    <x v="0"/>
    <s v="NEW"/>
    <s v="Circle"/>
    <s v="DESK"/>
    <s v="COMPLETED"/>
    <n v="300"/>
    <m/>
    <x v="0"/>
  </r>
  <r>
    <s v="T00518"/>
    <x v="8"/>
    <x v="0"/>
    <s v="A005"/>
    <x v="0"/>
    <s v="NEW"/>
    <s v="Circle"/>
    <s v="DESK"/>
    <s v="COMPLETED"/>
    <n v="300"/>
    <m/>
    <x v="0"/>
  </r>
  <r>
    <s v="T00519"/>
    <x v="8"/>
    <x v="0"/>
    <s v="A001"/>
    <x v="0"/>
    <s v="RENEWAL"/>
    <s v="Single"/>
    <s v="DESK"/>
    <s v="COMPLETED"/>
    <n v="120"/>
    <m/>
    <x v="0"/>
  </r>
  <r>
    <s v="T00520"/>
    <x v="8"/>
    <x v="0"/>
    <s v="A002"/>
    <x v="0"/>
    <s v="NEW"/>
    <s v="Single"/>
    <s v="DESK"/>
    <s v="COMPLETED"/>
    <n v="120"/>
    <m/>
    <x v="0"/>
  </r>
  <r>
    <s v="T00521"/>
    <x v="8"/>
    <x v="0"/>
    <s v="A009"/>
    <x v="0"/>
    <s v="NEW"/>
    <s v="Single"/>
    <s v="DESK"/>
    <s v="COMPLETED"/>
    <n v="120"/>
    <m/>
    <x v="0"/>
  </r>
  <r>
    <s v="T00522"/>
    <x v="8"/>
    <x v="1"/>
    <s v="A024"/>
    <x v="0"/>
    <s v="NEW"/>
    <s v="Duo"/>
    <s v="DESK"/>
    <s v="COMPLETED"/>
    <n v="150"/>
    <m/>
    <x v="1"/>
  </r>
  <r>
    <s v="T00523"/>
    <x v="8"/>
    <x v="1"/>
    <s v="A015"/>
    <x v="0"/>
    <s v="NEW"/>
    <s v="Single"/>
    <s v="DESK"/>
    <s v="COMPLETED"/>
    <n v="120"/>
    <m/>
    <x v="0"/>
  </r>
  <r>
    <s v="T00524"/>
    <x v="8"/>
    <x v="1"/>
    <s v="A023"/>
    <x v="0"/>
    <s v="RENEWAL"/>
    <s v="Single"/>
    <s v="DESK"/>
    <s v="PENDING"/>
    <n v="90"/>
    <m/>
    <x v="1"/>
  </r>
  <r>
    <s v="T00525"/>
    <x v="8"/>
    <x v="1"/>
    <s v="A023"/>
    <x v="0"/>
    <s v="RENEWAL"/>
    <s v="Circle"/>
    <s v="DESK"/>
    <s v="COMPLETED"/>
    <n v="300"/>
    <m/>
    <x v="0"/>
  </r>
  <r>
    <s v="T00526"/>
    <x v="8"/>
    <x v="1"/>
    <s v="A018"/>
    <x v="0"/>
    <s v="NEW"/>
    <s v="Duo"/>
    <s v="DESK"/>
    <s v="COMPLETED"/>
    <n v="200"/>
    <m/>
    <x v="0"/>
  </r>
  <r>
    <s v="T00527"/>
    <x v="8"/>
    <x v="1"/>
    <s v="A013"/>
    <x v="0"/>
    <s v="NEW"/>
    <s v="Single"/>
    <s v="DESK"/>
    <s v="COMPLETED"/>
    <n v="120"/>
    <m/>
    <x v="0"/>
  </r>
  <r>
    <s v="T00528"/>
    <x v="8"/>
    <x v="1"/>
    <s v="A023"/>
    <x v="0"/>
    <s v="NEW"/>
    <s v="Circle"/>
    <s v="DESK"/>
    <s v="COMPLETED"/>
    <n v="300"/>
    <m/>
    <x v="0"/>
  </r>
  <r>
    <s v="T00529"/>
    <x v="8"/>
    <x v="1"/>
    <s v="A015"/>
    <x v="0"/>
    <s v="NEW"/>
    <s v="Single"/>
    <s v="DESK"/>
    <s v="COMPLETED"/>
    <n v="120"/>
    <m/>
    <x v="0"/>
  </r>
  <r>
    <s v="T00530"/>
    <x v="8"/>
    <x v="1"/>
    <s v="A022"/>
    <x v="0"/>
    <s v="NEW"/>
    <s v="Single"/>
    <s v="DESK"/>
    <s v="COMPLETED"/>
    <n v="120"/>
    <m/>
    <x v="0"/>
  </r>
  <r>
    <s v="T00531"/>
    <x v="8"/>
    <x v="1"/>
    <s v="A015"/>
    <x v="0"/>
    <s v="NEW"/>
    <s v="Single"/>
    <s v="DESK"/>
    <s v="VOID"/>
    <n v="90"/>
    <m/>
    <x v="1"/>
  </r>
  <r>
    <s v="T00532"/>
    <x v="8"/>
    <x v="1"/>
    <s v="A015"/>
    <x v="0"/>
    <s v="RENEWAL"/>
    <s v="Duo"/>
    <s v="ONLINE"/>
    <s v="COMPLETED"/>
    <n v="200"/>
    <m/>
    <x v="0"/>
  </r>
  <r>
    <s v="T00533"/>
    <x v="8"/>
    <x v="1"/>
    <s v="A022"/>
    <x v="0"/>
    <s v="NEW"/>
    <s v="Circle"/>
    <s v="DESK"/>
    <s v="COMPLETED"/>
    <n v="300"/>
    <m/>
    <x v="0"/>
  </r>
  <r>
    <s v="T00534"/>
    <x v="8"/>
    <x v="1"/>
    <s v="A021"/>
    <x v="0"/>
    <s v="NEW"/>
    <s v="Circle"/>
    <s v="DESK"/>
    <s v="VOID"/>
    <n v="300"/>
    <m/>
    <x v="0"/>
  </r>
  <r>
    <s v="T00535"/>
    <x v="8"/>
    <x v="1"/>
    <s v="A015"/>
    <x v="0"/>
    <s v="NEW"/>
    <s v="Circle"/>
    <s v="DESK"/>
    <s v="COMPLETED"/>
    <n v="300"/>
    <m/>
    <x v="0"/>
  </r>
  <r>
    <s v="T00536"/>
    <x v="8"/>
    <x v="1"/>
    <s v="A020"/>
    <x v="0"/>
    <s v="NEW"/>
    <s v="Single"/>
    <s v="DESK"/>
    <s v="COMPLETED"/>
    <n v="120"/>
    <m/>
    <x v="0"/>
  </r>
  <r>
    <s v="T00537"/>
    <x v="8"/>
    <x v="1"/>
    <s v="A016"/>
    <x v="0"/>
    <s v="NEW"/>
    <s v="Duo"/>
    <s v="DESK"/>
    <s v="COMPLETED"/>
    <n v="200"/>
    <m/>
    <x v="0"/>
  </r>
  <r>
    <s v="T00538"/>
    <x v="8"/>
    <x v="1"/>
    <s v="A024"/>
    <x v="0"/>
    <s v="NEW"/>
    <s v="Single"/>
    <s v="DESK"/>
    <s v="VOID"/>
    <n v="120"/>
    <m/>
    <x v="0"/>
  </r>
  <r>
    <s v="T00539"/>
    <x v="8"/>
    <x v="1"/>
    <s v="A018"/>
    <x v="0"/>
    <s v="NEW"/>
    <s v="Single"/>
    <s v="DESK"/>
    <s v="COMPLETED"/>
    <n v="120"/>
    <m/>
    <x v="0"/>
  </r>
  <r>
    <s v="T00540"/>
    <x v="8"/>
    <x v="2"/>
    <s v="A026"/>
    <x v="0"/>
    <s v="NEW"/>
    <s v="Circle"/>
    <s v="DESK"/>
    <s v="COMPLETED"/>
    <n v="300"/>
    <m/>
    <x v="0"/>
  </r>
  <r>
    <s v="T00541"/>
    <x v="8"/>
    <x v="2"/>
    <s v="A031"/>
    <x v="0"/>
    <s v="RENEWAL"/>
    <s v="Duo"/>
    <s v="DESK"/>
    <s v="COMPLETED"/>
    <n v="170"/>
    <m/>
    <x v="1"/>
  </r>
  <r>
    <s v="T00542"/>
    <x v="8"/>
    <x v="2"/>
    <s v="A030"/>
    <x v="0"/>
    <s v="NEW"/>
    <s v="Circle"/>
    <s v="DESK"/>
    <s v="COMPLETED"/>
    <n v="300"/>
    <m/>
    <x v="0"/>
  </r>
  <r>
    <s v="T00543"/>
    <x v="8"/>
    <x v="2"/>
    <s v="A026"/>
    <x v="0"/>
    <s v="NEW"/>
    <s v="Circle"/>
    <s v="DESK"/>
    <s v="COMPLETED"/>
    <n v="300"/>
    <m/>
    <x v="0"/>
  </r>
  <r>
    <s v="T00544"/>
    <x v="8"/>
    <x v="2"/>
    <s v="A026"/>
    <x v="0"/>
    <s v="NEW"/>
    <s v="Duo"/>
    <s v="DESK"/>
    <s v="COMPLETED"/>
    <n v="200"/>
    <m/>
    <x v="0"/>
  </r>
  <r>
    <s v="T00545"/>
    <x v="8"/>
    <x v="2"/>
    <s v="A028"/>
    <x v="0"/>
    <s v="NEW"/>
    <s v="Single"/>
    <s v="ONLINE"/>
    <s v="COMPLETED"/>
    <n v="120"/>
    <m/>
    <x v="0"/>
  </r>
  <r>
    <s v="T00546"/>
    <x v="8"/>
    <x v="2"/>
    <s v="A036"/>
    <x v="0"/>
    <s v="NEW"/>
    <s v="Duo"/>
    <s v="DESK"/>
    <s v="COMPLETED"/>
    <n v="170"/>
    <m/>
    <x v="1"/>
  </r>
  <r>
    <s v="T00547"/>
    <x v="8"/>
    <x v="2"/>
    <s v="A029"/>
    <x v="0"/>
    <s v="NEW"/>
    <s v="Single"/>
    <s v="DESK"/>
    <s v="COMPLETED"/>
    <n v="102"/>
    <m/>
    <x v="1"/>
  </r>
  <r>
    <s v="T00548"/>
    <x v="8"/>
    <x v="2"/>
    <s v="A029"/>
    <x v="0"/>
    <s v="NEW"/>
    <s v="Single"/>
    <s v="DESK"/>
    <s v="COMPLETED"/>
    <n v="120"/>
    <m/>
    <x v="0"/>
  </r>
  <r>
    <s v="T00549"/>
    <x v="8"/>
    <x v="2"/>
    <s v="A036"/>
    <x v="0"/>
    <s v="NEW"/>
    <s v="Duo"/>
    <s v="DESK"/>
    <s v="COMPLETED"/>
    <n v="200"/>
    <m/>
    <x v="0"/>
  </r>
  <r>
    <s v="T00550"/>
    <x v="8"/>
    <x v="2"/>
    <s v="A034"/>
    <x v="0"/>
    <s v="RENEWAL"/>
    <s v="Duo"/>
    <s v="DESK"/>
    <s v="COMPLETED"/>
    <n v="200"/>
    <m/>
    <x v="0"/>
  </r>
  <r>
    <s v="T00551"/>
    <x v="8"/>
    <x v="2"/>
    <s v="A031"/>
    <x v="0"/>
    <s v="RENEWAL"/>
    <s v="Circle"/>
    <s v="DESK"/>
    <s v="COMPLETED"/>
    <n v="300"/>
    <m/>
    <x v="0"/>
  </r>
  <r>
    <s v="T00552"/>
    <x v="8"/>
    <x v="2"/>
    <s v="A030"/>
    <x v="0"/>
    <s v="NEW"/>
    <s v="Duo"/>
    <s v="DESK"/>
    <s v="COMPLETED"/>
    <n v="150"/>
    <m/>
    <x v="1"/>
  </r>
  <r>
    <s v="T00553"/>
    <x v="8"/>
    <x v="2"/>
    <s v="A026"/>
    <x v="0"/>
    <s v="NEW"/>
    <s v="Single"/>
    <s v="DESK"/>
    <s v="COMPLETED"/>
    <n v="120"/>
    <m/>
    <x v="0"/>
  </r>
  <r>
    <s v="T00554"/>
    <x v="8"/>
    <x v="2"/>
    <s v="A027"/>
    <x v="0"/>
    <s v="NEW"/>
    <s v="Duo"/>
    <s v="DESK"/>
    <s v="COMPLETED"/>
    <n v="200"/>
    <m/>
    <x v="0"/>
  </r>
  <r>
    <s v="T00555"/>
    <x v="8"/>
    <x v="2"/>
    <s v="A028"/>
    <x v="0"/>
    <s v="RENEWAL"/>
    <s v="Circle"/>
    <s v="DESK"/>
    <s v="COMPLETED"/>
    <n v="300"/>
    <m/>
    <x v="0"/>
  </r>
  <r>
    <s v="T00556"/>
    <x v="8"/>
    <x v="2"/>
    <s v="A026"/>
    <x v="0"/>
    <s v="NEW"/>
    <s v="Circle"/>
    <s v="DESK"/>
    <s v="COMPLETED"/>
    <n v="300"/>
    <m/>
    <x v="0"/>
  </r>
  <r>
    <s v="T00557"/>
    <x v="8"/>
    <x v="2"/>
    <s v="A035"/>
    <x v="0"/>
    <s v="NEW"/>
    <s v="Duo"/>
    <s v="DESK"/>
    <s v="COMPLETED"/>
    <n v="200"/>
    <m/>
    <x v="0"/>
  </r>
  <r>
    <s v="T00558"/>
    <x v="8"/>
    <x v="2"/>
    <s v="A032"/>
    <x v="0"/>
    <s v="NEW"/>
    <s v="Duo"/>
    <s v="DESK"/>
    <s v="COMPLETED"/>
    <n v="150"/>
    <m/>
    <x v="1"/>
  </r>
  <r>
    <s v="T00559"/>
    <x v="8"/>
    <x v="3"/>
    <s v="A039"/>
    <x v="0"/>
    <s v="RENEWAL"/>
    <s v="Circle"/>
    <s v="DESK"/>
    <s v="COMPLETED"/>
    <n v="300"/>
    <m/>
    <x v="0"/>
  </r>
  <r>
    <s v="T00560"/>
    <x v="8"/>
    <x v="3"/>
    <s v="A042"/>
    <x v="0"/>
    <s v="NEW"/>
    <s v="Duo"/>
    <s v="DESK"/>
    <s v="COMPLETED"/>
    <n v="150"/>
    <m/>
    <x v="1"/>
  </r>
  <r>
    <s v="T00561"/>
    <x v="8"/>
    <x v="3"/>
    <s v="A041"/>
    <x v="0"/>
    <s v="NEW"/>
    <s v="Single"/>
    <s v="DESK"/>
    <s v="COMPLETED"/>
    <n v="120"/>
    <m/>
    <x v="0"/>
  </r>
  <r>
    <s v="T00562"/>
    <x v="8"/>
    <x v="3"/>
    <s v="A040"/>
    <x v="0"/>
    <s v="NEW"/>
    <s v="Single"/>
    <s v="DESK"/>
    <s v="COMPLETED"/>
    <n v="120"/>
    <m/>
    <x v="0"/>
  </r>
  <r>
    <s v="T00563"/>
    <x v="8"/>
    <x v="3"/>
    <s v="A045"/>
    <x v="0"/>
    <s v="RENEWAL"/>
    <s v="Single"/>
    <s v="DESK"/>
    <s v="COMPLETED"/>
    <n v="120"/>
    <m/>
    <x v="0"/>
  </r>
  <r>
    <s v="T00564"/>
    <x v="8"/>
    <x v="3"/>
    <s v="A048"/>
    <x v="0"/>
    <s v="NEW"/>
    <s v="Circle"/>
    <s v="DESK"/>
    <s v="COMPLETED"/>
    <n v="300"/>
    <m/>
    <x v="0"/>
  </r>
  <r>
    <s v="T00565"/>
    <x v="8"/>
    <x v="3"/>
    <s v="A046"/>
    <x v="0"/>
    <s v="NEW"/>
    <s v="Single"/>
    <s v="DESK"/>
    <s v="COMPLETED"/>
    <n v="120"/>
    <m/>
    <x v="0"/>
  </r>
  <r>
    <s v="T00566"/>
    <x v="8"/>
    <x v="3"/>
    <s v="A047"/>
    <x v="0"/>
    <s v="NEW"/>
    <s v="Circle"/>
    <s v="ONLINE"/>
    <s v="COMPLETED"/>
    <n v="300"/>
    <m/>
    <x v="0"/>
  </r>
  <r>
    <s v="T00567"/>
    <x v="8"/>
    <x v="3"/>
    <s v="A044"/>
    <x v="0"/>
    <s v="RENEWAL"/>
    <s v="Single"/>
    <s v="ONLINE"/>
    <s v="COMPLETED"/>
    <n v="120"/>
    <m/>
    <x v="0"/>
  </r>
  <r>
    <s v="T00568"/>
    <x v="8"/>
    <x v="3"/>
    <s v="A043"/>
    <x v="0"/>
    <s v="RENEWAL"/>
    <s v="Single"/>
    <s v="DESK"/>
    <s v="COMPLETED"/>
    <n v="120"/>
    <m/>
    <x v="0"/>
  </r>
  <r>
    <s v="T00569"/>
    <x v="8"/>
    <x v="3"/>
    <s v="A037"/>
    <x v="0"/>
    <s v="NEW"/>
    <s v="Duo"/>
    <s v="DESK"/>
    <s v="PENDING"/>
    <n v="200"/>
    <m/>
    <x v="0"/>
  </r>
  <r>
    <s v="T00570"/>
    <x v="8"/>
    <x v="3"/>
    <s v="A040"/>
    <x v="0"/>
    <s v="NEW"/>
    <s v="Circle"/>
    <s v="ONLINE"/>
    <s v="COMPLETED"/>
    <n v="300"/>
    <m/>
    <x v="0"/>
  </r>
  <r>
    <s v="T00571"/>
    <x v="8"/>
    <x v="3"/>
    <s v="A045"/>
    <x v="0"/>
    <s v="NEW"/>
    <s v="Single"/>
    <s v="DESK"/>
    <s v="COMPLETED"/>
    <n v="120"/>
    <m/>
    <x v="0"/>
  </r>
  <r>
    <s v="T00572"/>
    <x v="8"/>
    <x v="3"/>
    <s v="A047"/>
    <x v="0"/>
    <s v="NEW"/>
    <s v="Circle"/>
    <s v="DESK"/>
    <s v="COMPLETED"/>
    <n v="300"/>
    <m/>
    <x v="0"/>
  </r>
  <r>
    <s v="T00573"/>
    <x v="8"/>
    <x v="3"/>
    <s v="A040"/>
    <x v="0"/>
    <s v="NEW"/>
    <s v="Duo"/>
    <s v="DESK"/>
    <s v="COMPLETED"/>
    <n v="200"/>
    <m/>
    <x v="0"/>
  </r>
  <r>
    <s v="T00574"/>
    <x v="8"/>
    <x v="3"/>
    <s v="A041"/>
    <x v="0"/>
    <s v="NEW"/>
    <s v="Single"/>
    <s v="DESK"/>
    <s v="COMPLETED"/>
    <n v="120"/>
    <m/>
    <x v="0"/>
  </r>
  <r>
    <s v="T00575"/>
    <x v="8"/>
    <x v="3"/>
    <s v="A039"/>
    <x v="0"/>
    <s v="NEW"/>
    <s v="Duo"/>
    <s v="DESK"/>
    <s v="COMPLETED"/>
    <n v="200"/>
    <m/>
    <x v="0"/>
  </r>
  <r>
    <s v="T02063"/>
    <x v="8"/>
    <x v="3"/>
    <s v="A041"/>
    <x v="1"/>
    <s v="NEW"/>
    <s v="Circle"/>
    <s v="ONLINE"/>
    <s v="COMPLETED"/>
    <n v="300"/>
    <s v="T00367"/>
    <x v="0"/>
  </r>
  <r>
    <s v="T02066"/>
    <x v="8"/>
    <x v="0"/>
    <s v="A001"/>
    <x v="1"/>
    <s v="RENEWAL"/>
    <s v="Duo"/>
    <s v="DESK"/>
    <s v="COMPLETED"/>
    <n v="200"/>
    <s v="T00196"/>
    <x v="0"/>
  </r>
  <r>
    <s v="T02104"/>
    <x v="8"/>
    <x v="2"/>
    <s v="A030"/>
    <x v="1"/>
    <s v="NEW"/>
    <s v="Single"/>
    <s v="DESK"/>
    <s v="COMPLETED"/>
    <n v="120"/>
    <s v="T00242"/>
    <x v="0"/>
  </r>
  <r>
    <s v="T02109"/>
    <x v="8"/>
    <x v="0"/>
    <s v="A004"/>
    <x v="1"/>
    <s v="NEW"/>
    <s v="Circle"/>
    <s v="DESK"/>
    <s v="COMPLETED"/>
    <n v="300"/>
    <s v="T00380"/>
    <x v="0"/>
  </r>
  <r>
    <s v="T00576"/>
    <x v="9"/>
    <x v="0"/>
    <s v="A011"/>
    <x v="0"/>
    <s v="NEW"/>
    <s v="Duo"/>
    <s v="DESK"/>
    <s v="COMPLETED"/>
    <n v="200"/>
    <m/>
    <x v="0"/>
  </r>
  <r>
    <s v="T00577"/>
    <x v="9"/>
    <x v="0"/>
    <s v="A009"/>
    <x v="0"/>
    <s v="RENEWAL"/>
    <s v="Duo"/>
    <s v="DESK"/>
    <s v="COMPLETED"/>
    <n v="200"/>
    <m/>
    <x v="0"/>
  </r>
  <r>
    <s v="T00578"/>
    <x v="9"/>
    <x v="0"/>
    <s v="A002"/>
    <x v="0"/>
    <s v="RENEWAL"/>
    <s v="Duo"/>
    <s v="DESK"/>
    <s v="COMPLETED"/>
    <n v="150"/>
    <m/>
    <x v="1"/>
  </r>
  <r>
    <s v="T00579"/>
    <x v="9"/>
    <x v="0"/>
    <s v="A001"/>
    <x v="0"/>
    <s v="NEW"/>
    <s v="Circle"/>
    <s v="ONLINE"/>
    <s v="COMPLETED"/>
    <n v="300"/>
    <m/>
    <x v="0"/>
  </r>
  <r>
    <s v="T00580"/>
    <x v="9"/>
    <x v="0"/>
    <s v="A003"/>
    <x v="0"/>
    <s v="NEW"/>
    <s v="Circle"/>
    <s v="DESK"/>
    <s v="COMPLETED"/>
    <n v="300"/>
    <m/>
    <x v="0"/>
  </r>
  <r>
    <s v="T00581"/>
    <x v="9"/>
    <x v="0"/>
    <s v="A004"/>
    <x v="0"/>
    <s v="NEW"/>
    <s v="Single"/>
    <s v="DESK"/>
    <s v="COMPLETED"/>
    <n v="120"/>
    <m/>
    <x v="0"/>
  </r>
  <r>
    <s v="T00582"/>
    <x v="9"/>
    <x v="0"/>
    <s v="A004"/>
    <x v="0"/>
    <s v="NEW"/>
    <s v="Circle"/>
    <s v="DESK"/>
    <s v="COMPLETED"/>
    <n v="300"/>
    <m/>
    <x v="0"/>
  </r>
  <r>
    <s v="T00583"/>
    <x v="9"/>
    <x v="0"/>
    <s v="A007"/>
    <x v="0"/>
    <s v="NEW"/>
    <s v="Duo"/>
    <s v="DESK"/>
    <s v="COMPLETED"/>
    <n v="200"/>
    <m/>
    <x v="0"/>
  </r>
  <r>
    <s v="T00584"/>
    <x v="9"/>
    <x v="0"/>
    <s v="A010"/>
    <x v="0"/>
    <s v="NEW"/>
    <s v="Circle"/>
    <s v="DESK"/>
    <s v="COMPLETED"/>
    <n v="255"/>
    <m/>
    <x v="1"/>
  </r>
  <r>
    <s v="T00585"/>
    <x v="9"/>
    <x v="0"/>
    <s v="A002"/>
    <x v="0"/>
    <s v="NEW"/>
    <s v="Circle"/>
    <s v="DESK"/>
    <s v="COMPLETED"/>
    <n v="300"/>
    <m/>
    <x v="0"/>
  </r>
  <r>
    <s v="T00586"/>
    <x v="9"/>
    <x v="0"/>
    <s v="A012"/>
    <x v="0"/>
    <s v="NEW"/>
    <s v="Duo"/>
    <s v="DESK"/>
    <s v="COMPLETED"/>
    <n v="170"/>
    <m/>
    <x v="1"/>
  </r>
  <r>
    <s v="T00587"/>
    <x v="9"/>
    <x v="0"/>
    <s v="A002"/>
    <x v="0"/>
    <s v="NEW"/>
    <s v="Circle"/>
    <s v="DESK"/>
    <s v="COMPLETED"/>
    <n v="300"/>
    <m/>
    <x v="0"/>
  </r>
  <r>
    <s v="T00588"/>
    <x v="9"/>
    <x v="0"/>
    <s v="A006"/>
    <x v="0"/>
    <s v="NEW"/>
    <s v="Circle"/>
    <s v="ONLINE"/>
    <s v="COMPLETED"/>
    <n v="300"/>
    <m/>
    <x v="0"/>
  </r>
  <r>
    <s v="T00589"/>
    <x v="9"/>
    <x v="0"/>
    <s v="A006"/>
    <x v="0"/>
    <s v="NEW"/>
    <s v="Duo"/>
    <s v="DESK"/>
    <s v="COMPLETED"/>
    <n v="150"/>
    <m/>
    <x v="1"/>
  </r>
  <r>
    <s v="T00590"/>
    <x v="9"/>
    <x v="0"/>
    <s v="A006"/>
    <x v="0"/>
    <s v="RENEWAL"/>
    <s v="Circle"/>
    <s v="DESK"/>
    <s v="COMPLETED"/>
    <n v="225"/>
    <m/>
    <x v="1"/>
  </r>
  <r>
    <s v="T00591"/>
    <x v="9"/>
    <x v="1"/>
    <s v="A018"/>
    <x v="0"/>
    <s v="NEW"/>
    <s v="Single"/>
    <s v="DESK"/>
    <s v="COMPLETED"/>
    <n v="120"/>
    <m/>
    <x v="0"/>
  </r>
  <r>
    <s v="T00592"/>
    <x v="9"/>
    <x v="1"/>
    <s v="A019"/>
    <x v="0"/>
    <s v="NEW"/>
    <s v="Duo"/>
    <s v="DESK"/>
    <s v="COMPLETED"/>
    <n v="200"/>
    <m/>
    <x v="0"/>
  </r>
  <r>
    <s v="T00593"/>
    <x v="9"/>
    <x v="1"/>
    <s v="A018"/>
    <x v="0"/>
    <s v="NEW"/>
    <s v="Circle"/>
    <s v="DESK"/>
    <s v="VOID"/>
    <n v="300"/>
    <m/>
    <x v="0"/>
  </r>
  <r>
    <s v="T00594"/>
    <x v="9"/>
    <x v="1"/>
    <s v="A016"/>
    <x v="0"/>
    <s v="NEW"/>
    <s v="Circle"/>
    <s v="DESK"/>
    <s v="COMPLETED"/>
    <n v="300"/>
    <m/>
    <x v="0"/>
  </r>
  <r>
    <s v="T00595"/>
    <x v="9"/>
    <x v="1"/>
    <s v="A024"/>
    <x v="0"/>
    <s v="NEW"/>
    <s v="Duo"/>
    <s v="DESK"/>
    <s v="COMPLETED"/>
    <n v="200"/>
    <m/>
    <x v="0"/>
  </r>
  <r>
    <s v="T00596"/>
    <x v="9"/>
    <x v="1"/>
    <s v="A014"/>
    <x v="0"/>
    <s v="RENEWAL"/>
    <s v="Duo"/>
    <s v="DESK"/>
    <s v="COMPLETED"/>
    <n v="150"/>
    <m/>
    <x v="1"/>
  </r>
  <r>
    <s v="T00597"/>
    <x v="9"/>
    <x v="1"/>
    <s v="A016"/>
    <x v="0"/>
    <s v="NEW"/>
    <s v="Circle"/>
    <s v="DESK"/>
    <s v="COMPLETED"/>
    <n v="300"/>
    <m/>
    <x v="0"/>
  </r>
  <r>
    <s v="T00598"/>
    <x v="9"/>
    <x v="1"/>
    <s v="A017"/>
    <x v="0"/>
    <s v="NEW"/>
    <s v="Circle"/>
    <s v="DESK"/>
    <s v="COMPLETED"/>
    <n v="225"/>
    <m/>
    <x v="1"/>
  </r>
  <r>
    <s v="T00599"/>
    <x v="9"/>
    <x v="1"/>
    <s v="A020"/>
    <x v="0"/>
    <s v="NEW"/>
    <s v="Single"/>
    <s v="DESK"/>
    <s v="PENDING"/>
    <n v="120"/>
    <m/>
    <x v="0"/>
  </r>
  <r>
    <s v="T00600"/>
    <x v="9"/>
    <x v="1"/>
    <s v="A014"/>
    <x v="0"/>
    <s v="NEW"/>
    <s v="Duo"/>
    <s v="DESK"/>
    <s v="COMPLETED"/>
    <n v="200"/>
    <m/>
    <x v="0"/>
  </r>
  <r>
    <s v="T00601"/>
    <x v="9"/>
    <x v="1"/>
    <s v="A019"/>
    <x v="0"/>
    <s v="NEW"/>
    <s v="Single"/>
    <s v="DESK"/>
    <s v="COMPLETED"/>
    <n v="120"/>
    <m/>
    <x v="0"/>
  </r>
  <r>
    <s v="T00602"/>
    <x v="9"/>
    <x v="1"/>
    <s v="A013"/>
    <x v="0"/>
    <s v="NEW"/>
    <s v="Circle"/>
    <s v="DESK"/>
    <s v="COMPLETED"/>
    <n v="300"/>
    <m/>
    <x v="0"/>
  </r>
  <r>
    <s v="T00603"/>
    <x v="9"/>
    <x v="1"/>
    <s v="A020"/>
    <x v="0"/>
    <s v="NEW"/>
    <s v="Single"/>
    <s v="ONLINE"/>
    <s v="COMPLETED"/>
    <n v="120"/>
    <m/>
    <x v="0"/>
  </r>
  <r>
    <s v="T00604"/>
    <x v="9"/>
    <x v="2"/>
    <s v="A026"/>
    <x v="0"/>
    <s v="NEW"/>
    <s v="Single"/>
    <s v="DESK"/>
    <s v="COMPLETED"/>
    <n v="120"/>
    <m/>
    <x v="0"/>
  </r>
  <r>
    <s v="T00605"/>
    <x v="9"/>
    <x v="2"/>
    <s v="A030"/>
    <x v="0"/>
    <s v="NEW"/>
    <s v="Duo"/>
    <s v="ONLINE"/>
    <s v="COMPLETED"/>
    <n v="150"/>
    <m/>
    <x v="1"/>
  </r>
  <r>
    <s v="T00606"/>
    <x v="9"/>
    <x v="2"/>
    <s v="A035"/>
    <x v="0"/>
    <s v="NEW"/>
    <s v="Circle"/>
    <s v="DESK"/>
    <s v="COMPLETED"/>
    <n v="300"/>
    <m/>
    <x v="0"/>
  </r>
  <r>
    <s v="T00607"/>
    <x v="9"/>
    <x v="2"/>
    <s v="A029"/>
    <x v="0"/>
    <s v="NEW"/>
    <s v="Single"/>
    <s v="ONLINE"/>
    <s v="COMPLETED"/>
    <n v="120"/>
    <m/>
    <x v="0"/>
  </r>
  <r>
    <s v="T00608"/>
    <x v="9"/>
    <x v="2"/>
    <s v="A028"/>
    <x v="0"/>
    <s v="NEW"/>
    <s v="Duo"/>
    <s v="DESK"/>
    <s v="COMPLETED"/>
    <n v="200"/>
    <m/>
    <x v="0"/>
  </r>
  <r>
    <s v="T00609"/>
    <x v="9"/>
    <x v="2"/>
    <s v="A030"/>
    <x v="0"/>
    <s v="RENEWAL"/>
    <s v="Duo"/>
    <s v="ONLINE"/>
    <s v="PENDING"/>
    <n v="200"/>
    <m/>
    <x v="0"/>
  </r>
  <r>
    <s v="T00610"/>
    <x v="9"/>
    <x v="2"/>
    <s v="A032"/>
    <x v="0"/>
    <s v="NEW"/>
    <s v="Single"/>
    <s v="DESK"/>
    <s v="COMPLETED"/>
    <n v="120"/>
    <m/>
    <x v="0"/>
  </r>
  <r>
    <s v="T00611"/>
    <x v="9"/>
    <x v="2"/>
    <s v="A036"/>
    <x v="0"/>
    <s v="NEW"/>
    <s v="Single"/>
    <s v="DESK"/>
    <s v="COMPLETED"/>
    <n v="120"/>
    <m/>
    <x v="0"/>
  </r>
  <r>
    <s v="T00612"/>
    <x v="9"/>
    <x v="2"/>
    <s v="A028"/>
    <x v="0"/>
    <s v="NEW"/>
    <s v="Single"/>
    <s v="ONLINE"/>
    <s v="COMPLETED"/>
    <n v="120"/>
    <m/>
    <x v="0"/>
  </r>
  <r>
    <s v="T00613"/>
    <x v="9"/>
    <x v="2"/>
    <s v="A030"/>
    <x v="0"/>
    <s v="NEW"/>
    <s v="Single"/>
    <s v="DESK"/>
    <s v="COMPLETED"/>
    <n v="120"/>
    <m/>
    <x v="0"/>
  </r>
  <r>
    <s v="T00614"/>
    <x v="9"/>
    <x v="2"/>
    <s v="A031"/>
    <x v="0"/>
    <s v="NEW"/>
    <s v="Single"/>
    <s v="DESK"/>
    <s v="COMPLETED"/>
    <n v="120"/>
    <m/>
    <x v="0"/>
  </r>
  <r>
    <s v="T00615"/>
    <x v="9"/>
    <x v="2"/>
    <s v="A029"/>
    <x v="0"/>
    <s v="NEW"/>
    <s v="Single"/>
    <s v="DESK"/>
    <s v="COMPLETED"/>
    <n v="120"/>
    <m/>
    <x v="0"/>
  </r>
  <r>
    <s v="T00616"/>
    <x v="9"/>
    <x v="2"/>
    <s v="A028"/>
    <x v="0"/>
    <s v="NEW"/>
    <s v="Single"/>
    <s v="ONLINE"/>
    <s v="COMPLETED"/>
    <n v="90"/>
    <m/>
    <x v="1"/>
  </r>
  <r>
    <s v="T00617"/>
    <x v="9"/>
    <x v="3"/>
    <s v="A039"/>
    <x v="0"/>
    <s v="NEW"/>
    <s v="Duo"/>
    <s v="DESK"/>
    <s v="COMPLETED"/>
    <n v="170"/>
    <m/>
    <x v="1"/>
  </r>
  <r>
    <s v="T00618"/>
    <x v="9"/>
    <x v="3"/>
    <s v="A045"/>
    <x v="0"/>
    <s v="NEW"/>
    <s v="Single"/>
    <s v="DESK"/>
    <s v="COMPLETED"/>
    <n v="90"/>
    <m/>
    <x v="1"/>
  </r>
  <r>
    <s v="T00619"/>
    <x v="9"/>
    <x v="3"/>
    <s v="A038"/>
    <x v="0"/>
    <s v="NEW"/>
    <s v="Circle"/>
    <s v="ONLINE"/>
    <s v="COMPLETED"/>
    <n v="300"/>
    <m/>
    <x v="0"/>
  </r>
  <r>
    <s v="T00620"/>
    <x v="9"/>
    <x v="3"/>
    <s v="A041"/>
    <x v="0"/>
    <s v="NEW"/>
    <s v="Circle"/>
    <s v="DESK"/>
    <s v="COMPLETED"/>
    <n v="300"/>
    <m/>
    <x v="0"/>
  </r>
  <r>
    <s v="T00621"/>
    <x v="9"/>
    <x v="3"/>
    <s v="A041"/>
    <x v="0"/>
    <s v="NEW"/>
    <s v="Duo"/>
    <s v="DESK"/>
    <s v="COMPLETED"/>
    <n v="200"/>
    <m/>
    <x v="0"/>
  </r>
  <r>
    <s v="T00622"/>
    <x v="9"/>
    <x v="3"/>
    <s v="A046"/>
    <x v="0"/>
    <s v="NEW"/>
    <s v="Circle"/>
    <s v="DESK"/>
    <s v="VOID"/>
    <n v="300"/>
    <m/>
    <x v="0"/>
  </r>
  <r>
    <s v="T00623"/>
    <x v="9"/>
    <x v="3"/>
    <s v="A038"/>
    <x v="0"/>
    <s v="NEW"/>
    <s v="Circle"/>
    <s v="DESK"/>
    <s v="COMPLETED"/>
    <n v="300"/>
    <m/>
    <x v="0"/>
  </r>
  <r>
    <s v="T00624"/>
    <x v="9"/>
    <x v="3"/>
    <s v="A044"/>
    <x v="0"/>
    <s v="NEW"/>
    <s v="Duo"/>
    <s v="DESK"/>
    <s v="COMPLETED"/>
    <n v="200"/>
    <m/>
    <x v="0"/>
  </r>
  <r>
    <s v="T00625"/>
    <x v="9"/>
    <x v="3"/>
    <s v="A040"/>
    <x v="0"/>
    <s v="RENEWAL"/>
    <s v="Duo"/>
    <s v="DESK"/>
    <s v="COMPLETED"/>
    <n v="200"/>
    <m/>
    <x v="0"/>
  </r>
  <r>
    <s v="T00626"/>
    <x v="9"/>
    <x v="3"/>
    <s v="A040"/>
    <x v="0"/>
    <s v="NEW"/>
    <s v="Circle"/>
    <s v="DESK"/>
    <s v="COMPLETED"/>
    <n v="300"/>
    <m/>
    <x v="0"/>
  </r>
  <r>
    <s v="T00627"/>
    <x v="9"/>
    <x v="3"/>
    <s v="A043"/>
    <x v="0"/>
    <s v="NEW"/>
    <s v="Duo"/>
    <s v="DESK"/>
    <s v="VOID"/>
    <n v="200"/>
    <m/>
    <x v="0"/>
  </r>
  <r>
    <s v="T00628"/>
    <x v="9"/>
    <x v="3"/>
    <s v="A043"/>
    <x v="0"/>
    <s v="NEW"/>
    <s v="Single"/>
    <s v="DESK"/>
    <s v="COMPLETED"/>
    <n v="120"/>
    <m/>
    <x v="0"/>
  </r>
  <r>
    <s v="T00629"/>
    <x v="9"/>
    <x v="3"/>
    <s v="A043"/>
    <x v="0"/>
    <s v="NEW"/>
    <s v="Duo"/>
    <s v="ONLINE"/>
    <s v="COMPLETED"/>
    <n v="200"/>
    <m/>
    <x v="0"/>
  </r>
  <r>
    <s v="T00630"/>
    <x v="9"/>
    <x v="3"/>
    <s v="A040"/>
    <x v="0"/>
    <s v="NEW"/>
    <s v="Circle"/>
    <s v="ONLINE"/>
    <s v="COMPLETED"/>
    <n v="225"/>
    <m/>
    <x v="1"/>
  </r>
  <r>
    <s v="T00631"/>
    <x v="9"/>
    <x v="3"/>
    <s v="A037"/>
    <x v="0"/>
    <s v="NEW"/>
    <s v="Circle"/>
    <s v="DESK"/>
    <s v="COMPLETED"/>
    <n v="300"/>
    <m/>
    <x v="0"/>
  </r>
  <r>
    <s v="T00632"/>
    <x v="9"/>
    <x v="3"/>
    <s v="A037"/>
    <x v="0"/>
    <s v="RENEWAL"/>
    <s v="Single"/>
    <s v="DESK"/>
    <s v="COMPLETED"/>
    <n v="120"/>
    <m/>
    <x v="0"/>
  </r>
  <r>
    <s v="T00633"/>
    <x v="9"/>
    <x v="3"/>
    <s v="A044"/>
    <x v="0"/>
    <s v="NEW"/>
    <s v="Single"/>
    <s v="DESK"/>
    <s v="COMPLETED"/>
    <n v="120"/>
    <m/>
    <x v="0"/>
  </r>
  <r>
    <s v="T00634"/>
    <x v="9"/>
    <x v="3"/>
    <s v="A046"/>
    <x v="0"/>
    <s v="NEW"/>
    <s v="Single"/>
    <s v="DESK"/>
    <s v="COMPLETED"/>
    <n v="120"/>
    <m/>
    <x v="0"/>
  </r>
  <r>
    <s v="T02081"/>
    <x v="9"/>
    <x v="1"/>
    <s v="A018"/>
    <x v="1"/>
    <s v="RENEWAL"/>
    <s v="Circle"/>
    <s v="DESK"/>
    <s v="COMPLETED"/>
    <n v="300"/>
    <s v="T00470"/>
    <x v="0"/>
  </r>
  <r>
    <s v="T00635"/>
    <x v="10"/>
    <x v="0"/>
    <s v="A008"/>
    <x v="0"/>
    <s v="NEW"/>
    <s v="Single"/>
    <s v="DESK"/>
    <s v="COMPLETED"/>
    <n v="120"/>
    <m/>
    <x v="0"/>
  </r>
  <r>
    <s v="T00636"/>
    <x v="10"/>
    <x v="0"/>
    <s v="A003"/>
    <x v="0"/>
    <s v="NEW"/>
    <s v="Circle"/>
    <s v="DESK"/>
    <s v="COMPLETED"/>
    <n v="300"/>
    <m/>
    <x v="0"/>
  </r>
  <r>
    <s v="T00637"/>
    <x v="10"/>
    <x v="0"/>
    <s v="A012"/>
    <x v="0"/>
    <s v="NEW"/>
    <s v="Single"/>
    <s v="DESK"/>
    <s v="COMPLETED"/>
    <n v="102"/>
    <m/>
    <x v="1"/>
  </r>
  <r>
    <s v="T00638"/>
    <x v="10"/>
    <x v="0"/>
    <s v="A002"/>
    <x v="0"/>
    <s v="NEW"/>
    <s v="Circle"/>
    <s v="DESK"/>
    <s v="COMPLETED"/>
    <n v="300"/>
    <m/>
    <x v="0"/>
  </r>
  <r>
    <s v="T00639"/>
    <x v="10"/>
    <x v="0"/>
    <s v="A008"/>
    <x v="0"/>
    <s v="RENEWAL"/>
    <s v="Duo"/>
    <s v="DESK"/>
    <s v="COMPLETED"/>
    <n v="200"/>
    <m/>
    <x v="0"/>
  </r>
  <r>
    <s v="T00640"/>
    <x v="10"/>
    <x v="0"/>
    <s v="A004"/>
    <x v="0"/>
    <s v="NEW"/>
    <s v="Circle"/>
    <s v="DESK"/>
    <s v="COMPLETED"/>
    <n v="300"/>
    <m/>
    <x v="0"/>
  </r>
  <r>
    <s v="T00641"/>
    <x v="10"/>
    <x v="0"/>
    <s v="A012"/>
    <x v="0"/>
    <s v="RENEWAL"/>
    <s v="Duo"/>
    <s v="ONLINE"/>
    <s v="PENDING"/>
    <n v="150"/>
    <m/>
    <x v="1"/>
  </r>
  <r>
    <s v="T00642"/>
    <x v="10"/>
    <x v="0"/>
    <s v="A005"/>
    <x v="0"/>
    <s v="NEW"/>
    <s v="Single"/>
    <s v="DESK"/>
    <s v="COMPLETED"/>
    <n v="120"/>
    <m/>
    <x v="0"/>
  </r>
  <r>
    <s v="T00643"/>
    <x v="10"/>
    <x v="0"/>
    <s v="A012"/>
    <x v="0"/>
    <s v="NEW"/>
    <s v="Single"/>
    <s v="DESK"/>
    <s v="COMPLETED"/>
    <n v="120"/>
    <m/>
    <x v="0"/>
  </r>
  <r>
    <s v="T00644"/>
    <x v="10"/>
    <x v="0"/>
    <s v="A007"/>
    <x v="0"/>
    <s v="NEW"/>
    <s v="Single"/>
    <s v="DESK"/>
    <s v="VOID"/>
    <n v="90"/>
    <m/>
    <x v="1"/>
  </r>
  <r>
    <s v="T00645"/>
    <x v="10"/>
    <x v="0"/>
    <s v="A005"/>
    <x v="0"/>
    <s v="NEW"/>
    <s v="Duo"/>
    <s v="DESK"/>
    <s v="COMPLETED"/>
    <n v="200"/>
    <m/>
    <x v="0"/>
  </r>
  <r>
    <s v="T00646"/>
    <x v="10"/>
    <x v="0"/>
    <s v="A009"/>
    <x v="0"/>
    <s v="NEW"/>
    <s v="Single"/>
    <s v="DESK"/>
    <s v="COMPLETED"/>
    <n v="120"/>
    <m/>
    <x v="0"/>
  </r>
  <r>
    <s v="T00647"/>
    <x v="10"/>
    <x v="0"/>
    <s v="A010"/>
    <x v="0"/>
    <s v="NEW"/>
    <s v="Single"/>
    <s v="DESK"/>
    <s v="COMPLETED"/>
    <n v="120"/>
    <m/>
    <x v="0"/>
  </r>
  <r>
    <s v="T00648"/>
    <x v="10"/>
    <x v="0"/>
    <s v="A008"/>
    <x v="0"/>
    <s v="RENEWAL"/>
    <s v="Circle"/>
    <s v="ONLINE"/>
    <s v="COMPLETED"/>
    <n v="300"/>
    <m/>
    <x v="0"/>
  </r>
  <r>
    <s v="T00649"/>
    <x v="10"/>
    <x v="0"/>
    <s v="A007"/>
    <x v="0"/>
    <s v="NEW"/>
    <s v="Single"/>
    <s v="DESK"/>
    <s v="COMPLETED"/>
    <n v="120"/>
    <m/>
    <x v="0"/>
  </r>
  <r>
    <s v="T00650"/>
    <x v="10"/>
    <x v="0"/>
    <s v="A001"/>
    <x v="0"/>
    <s v="RENEWAL"/>
    <s v="Single"/>
    <s v="DESK"/>
    <s v="COMPLETED"/>
    <n v="120"/>
    <m/>
    <x v="0"/>
  </r>
  <r>
    <s v="T00651"/>
    <x v="10"/>
    <x v="1"/>
    <s v="A021"/>
    <x v="0"/>
    <s v="RENEWAL"/>
    <s v="Duo"/>
    <s v="DESK"/>
    <s v="COMPLETED"/>
    <n v="200"/>
    <m/>
    <x v="0"/>
  </r>
  <r>
    <s v="T00652"/>
    <x v="10"/>
    <x v="1"/>
    <s v="A021"/>
    <x v="0"/>
    <s v="NEW"/>
    <s v="Duo"/>
    <s v="ONLINE"/>
    <s v="COMPLETED"/>
    <n v="170"/>
    <m/>
    <x v="1"/>
  </r>
  <r>
    <s v="T00653"/>
    <x v="10"/>
    <x v="1"/>
    <s v="A020"/>
    <x v="0"/>
    <s v="NEW"/>
    <s v="Circle"/>
    <s v="DESK"/>
    <s v="COMPLETED"/>
    <n v="300"/>
    <m/>
    <x v="0"/>
  </r>
  <r>
    <s v="T00654"/>
    <x v="10"/>
    <x v="1"/>
    <s v="A017"/>
    <x v="0"/>
    <s v="RENEWAL"/>
    <s v="Circle"/>
    <s v="DESK"/>
    <s v="COMPLETED"/>
    <n v="225"/>
    <m/>
    <x v="1"/>
  </r>
  <r>
    <s v="T00655"/>
    <x v="10"/>
    <x v="1"/>
    <s v="A024"/>
    <x v="0"/>
    <s v="NEW"/>
    <s v="Circle"/>
    <s v="ONLINE"/>
    <s v="COMPLETED"/>
    <n v="300"/>
    <m/>
    <x v="0"/>
  </r>
  <r>
    <s v="T00656"/>
    <x v="10"/>
    <x v="1"/>
    <s v="A015"/>
    <x v="0"/>
    <s v="NEW"/>
    <s v="Single"/>
    <s v="DESK"/>
    <s v="COMPLETED"/>
    <n v="102"/>
    <m/>
    <x v="1"/>
  </r>
  <r>
    <s v="T00657"/>
    <x v="10"/>
    <x v="1"/>
    <s v="A017"/>
    <x v="0"/>
    <s v="NEW"/>
    <s v="Duo"/>
    <s v="DESK"/>
    <s v="COMPLETED"/>
    <n v="200"/>
    <m/>
    <x v="0"/>
  </r>
  <r>
    <s v="T00658"/>
    <x v="10"/>
    <x v="1"/>
    <s v="A017"/>
    <x v="0"/>
    <s v="NEW"/>
    <s v="Circle"/>
    <s v="DESK"/>
    <s v="COMPLETED"/>
    <n v="225"/>
    <m/>
    <x v="1"/>
  </r>
  <r>
    <s v="T00659"/>
    <x v="10"/>
    <x v="1"/>
    <s v="A016"/>
    <x v="0"/>
    <s v="NEW"/>
    <s v="Circle"/>
    <s v="DESK"/>
    <s v="COMPLETED"/>
    <n v="300"/>
    <m/>
    <x v="0"/>
  </r>
  <r>
    <s v="T00660"/>
    <x v="10"/>
    <x v="1"/>
    <s v="A014"/>
    <x v="0"/>
    <s v="NEW"/>
    <s v="Single"/>
    <s v="DESK"/>
    <s v="COMPLETED"/>
    <n v="120"/>
    <m/>
    <x v="0"/>
  </r>
  <r>
    <s v="T00661"/>
    <x v="10"/>
    <x v="1"/>
    <s v="A015"/>
    <x v="0"/>
    <s v="RENEWAL"/>
    <s v="Single"/>
    <s v="ONLINE"/>
    <s v="COMPLETED"/>
    <n v="120"/>
    <m/>
    <x v="0"/>
  </r>
  <r>
    <s v="T00662"/>
    <x v="10"/>
    <x v="1"/>
    <s v="A022"/>
    <x v="0"/>
    <s v="NEW"/>
    <s v="Single"/>
    <s v="ONLINE"/>
    <s v="COMPLETED"/>
    <n v="120"/>
    <m/>
    <x v="0"/>
  </r>
  <r>
    <s v="T00663"/>
    <x v="10"/>
    <x v="1"/>
    <s v="A013"/>
    <x v="0"/>
    <s v="RENEWAL"/>
    <s v="Duo"/>
    <s v="DESK"/>
    <s v="COMPLETED"/>
    <n v="200"/>
    <m/>
    <x v="0"/>
  </r>
  <r>
    <s v="T00664"/>
    <x v="10"/>
    <x v="1"/>
    <s v="A021"/>
    <x v="0"/>
    <s v="NEW"/>
    <s v="Circle"/>
    <s v="DESK"/>
    <s v="COMPLETED"/>
    <n v="300"/>
    <m/>
    <x v="0"/>
  </r>
  <r>
    <s v="T00665"/>
    <x v="10"/>
    <x v="1"/>
    <s v="A021"/>
    <x v="0"/>
    <s v="NEW"/>
    <s v="Single"/>
    <s v="DESK"/>
    <s v="COMPLETED"/>
    <n v="102"/>
    <m/>
    <x v="1"/>
  </r>
  <r>
    <s v="T00666"/>
    <x v="10"/>
    <x v="1"/>
    <s v="A020"/>
    <x v="0"/>
    <s v="NEW"/>
    <s v="Single"/>
    <s v="DESK"/>
    <s v="COMPLETED"/>
    <n v="120"/>
    <m/>
    <x v="0"/>
  </r>
  <r>
    <s v="T00667"/>
    <x v="10"/>
    <x v="1"/>
    <s v="A022"/>
    <x v="0"/>
    <s v="NEW"/>
    <s v="Circle"/>
    <s v="ONLINE"/>
    <s v="COMPLETED"/>
    <n v="300"/>
    <m/>
    <x v="0"/>
  </r>
  <r>
    <s v="T00668"/>
    <x v="10"/>
    <x v="2"/>
    <s v="A029"/>
    <x v="0"/>
    <s v="NEW"/>
    <s v="Duo"/>
    <s v="DESK"/>
    <s v="COMPLETED"/>
    <n v="200"/>
    <m/>
    <x v="0"/>
  </r>
  <r>
    <s v="T00669"/>
    <x v="10"/>
    <x v="2"/>
    <s v="A029"/>
    <x v="0"/>
    <s v="NEW"/>
    <s v="Duo"/>
    <s v="DESK"/>
    <s v="COMPLETED"/>
    <n v="200"/>
    <m/>
    <x v="0"/>
  </r>
  <r>
    <s v="T00670"/>
    <x v="10"/>
    <x v="2"/>
    <s v="A034"/>
    <x v="0"/>
    <s v="NEW"/>
    <s v="Duo"/>
    <s v="DESK"/>
    <s v="COMPLETED"/>
    <n v="150"/>
    <m/>
    <x v="1"/>
  </r>
  <r>
    <s v="T00671"/>
    <x v="10"/>
    <x v="2"/>
    <s v="A033"/>
    <x v="0"/>
    <s v="RENEWAL"/>
    <s v="Duo"/>
    <s v="DESK"/>
    <s v="COMPLETED"/>
    <n v="200"/>
    <m/>
    <x v="0"/>
  </r>
  <r>
    <s v="T00672"/>
    <x v="10"/>
    <x v="2"/>
    <s v="A025"/>
    <x v="0"/>
    <s v="NEW"/>
    <s v="Single"/>
    <s v="DESK"/>
    <s v="COMPLETED"/>
    <n v="120"/>
    <m/>
    <x v="0"/>
  </r>
  <r>
    <s v="T00673"/>
    <x v="10"/>
    <x v="2"/>
    <s v="A035"/>
    <x v="0"/>
    <s v="NEW"/>
    <s v="Circle"/>
    <s v="DESK"/>
    <s v="COMPLETED"/>
    <n v="300"/>
    <m/>
    <x v="0"/>
  </r>
  <r>
    <s v="T00674"/>
    <x v="10"/>
    <x v="2"/>
    <s v="A027"/>
    <x v="0"/>
    <s v="NEW"/>
    <s v="Circle"/>
    <s v="DESK"/>
    <s v="COMPLETED"/>
    <n v="300"/>
    <m/>
    <x v="0"/>
  </r>
  <r>
    <s v="T00675"/>
    <x v="10"/>
    <x v="2"/>
    <s v="A029"/>
    <x v="0"/>
    <s v="RENEWAL"/>
    <s v="Circle"/>
    <s v="ONLINE"/>
    <s v="COMPLETED"/>
    <n v="300"/>
    <m/>
    <x v="0"/>
  </r>
  <r>
    <s v="T00676"/>
    <x v="10"/>
    <x v="2"/>
    <s v="A033"/>
    <x v="0"/>
    <s v="NEW"/>
    <s v="Circle"/>
    <s v="DESK"/>
    <s v="COMPLETED"/>
    <n v="300"/>
    <m/>
    <x v="0"/>
  </r>
  <r>
    <s v="T00677"/>
    <x v="10"/>
    <x v="2"/>
    <s v="A030"/>
    <x v="0"/>
    <s v="NEW"/>
    <s v="Circle"/>
    <s v="DESK"/>
    <s v="COMPLETED"/>
    <n v="300"/>
    <m/>
    <x v="0"/>
  </r>
  <r>
    <s v="T00678"/>
    <x v="10"/>
    <x v="2"/>
    <s v="A027"/>
    <x v="0"/>
    <s v="RENEWAL"/>
    <s v="Single"/>
    <s v="DESK"/>
    <s v="PENDING"/>
    <n v="120"/>
    <m/>
    <x v="0"/>
  </r>
  <r>
    <s v="T00679"/>
    <x v="10"/>
    <x v="2"/>
    <s v="A034"/>
    <x v="0"/>
    <s v="NEW"/>
    <s v="Circle"/>
    <s v="DESK"/>
    <s v="COMPLETED"/>
    <n v="225"/>
    <m/>
    <x v="1"/>
  </r>
  <r>
    <s v="T00680"/>
    <x v="10"/>
    <x v="2"/>
    <s v="A032"/>
    <x v="0"/>
    <s v="NEW"/>
    <s v="Circle"/>
    <s v="DESK"/>
    <s v="COMPLETED"/>
    <n v="300"/>
    <m/>
    <x v="0"/>
  </r>
  <r>
    <s v="T00681"/>
    <x v="10"/>
    <x v="2"/>
    <s v="A029"/>
    <x v="0"/>
    <s v="NEW"/>
    <s v="Single"/>
    <s v="DESK"/>
    <s v="COMPLETED"/>
    <n v="120"/>
    <m/>
    <x v="0"/>
  </r>
  <r>
    <s v="T00682"/>
    <x v="10"/>
    <x v="2"/>
    <s v="A035"/>
    <x v="0"/>
    <s v="RENEWAL"/>
    <s v="Circle"/>
    <s v="ONLINE"/>
    <s v="COMPLETED"/>
    <n v="300"/>
    <m/>
    <x v="0"/>
  </r>
  <r>
    <s v="T00683"/>
    <x v="10"/>
    <x v="2"/>
    <s v="A027"/>
    <x v="0"/>
    <s v="NEW"/>
    <s v="Duo"/>
    <s v="DESK"/>
    <s v="COMPLETED"/>
    <n v="150"/>
    <m/>
    <x v="1"/>
  </r>
  <r>
    <s v="T00684"/>
    <x v="10"/>
    <x v="2"/>
    <s v="A027"/>
    <x v="0"/>
    <s v="RENEWAL"/>
    <s v="Single"/>
    <s v="DESK"/>
    <s v="COMPLETED"/>
    <n v="120"/>
    <m/>
    <x v="0"/>
  </r>
  <r>
    <s v="T00685"/>
    <x v="10"/>
    <x v="2"/>
    <s v="A026"/>
    <x v="0"/>
    <s v="RENEWAL"/>
    <s v="Duo"/>
    <s v="DESK"/>
    <s v="COMPLETED"/>
    <n v="200"/>
    <m/>
    <x v="0"/>
  </r>
  <r>
    <s v="T00686"/>
    <x v="10"/>
    <x v="2"/>
    <s v="A030"/>
    <x v="0"/>
    <s v="NEW"/>
    <s v="Circle"/>
    <s v="DESK"/>
    <s v="COMPLETED"/>
    <n v="225"/>
    <m/>
    <x v="1"/>
  </r>
  <r>
    <s v="T00687"/>
    <x v="10"/>
    <x v="3"/>
    <s v="A044"/>
    <x v="0"/>
    <s v="NEW"/>
    <s v="Circle"/>
    <s v="DESK"/>
    <s v="COMPLETED"/>
    <n v="300"/>
    <m/>
    <x v="0"/>
  </r>
  <r>
    <s v="T00688"/>
    <x v="10"/>
    <x v="3"/>
    <s v="A046"/>
    <x v="0"/>
    <s v="RENEWAL"/>
    <s v="Single"/>
    <s v="DESK"/>
    <s v="COMPLETED"/>
    <n v="120"/>
    <m/>
    <x v="0"/>
  </r>
  <r>
    <s v="T00689"/>
    <x v="10"/>
    <x v="3"/>
    <s v="A046"/>
    <x v="0"/>
    <s v="NEW"/>
    <s v="Duo"/>
    <s v="DESK"/>
    <s v="COMPLETED"/>
    <n v="170"/>
    <m/>
    <x v="1"/>
  </r>
  <r>
    <s v="T00690"/>
    <x v="10"/>
    <x v="3"/>
    <s v="A037"/>
    <x v="0"/>
    <s v="RENEWAL"/>
    <s v="Duo"/>
    <s v="DESK"/>
    <s v="COMPLETED"/>
    <n v="200"/>
    <m/>
    <x v="0"/>
  </r>
  <r>
    <s v="T00691"/>
    <x v="10"/>
    <x v="3"/>
    <s v="A042"/>
    <x v="0"/>
    <s v="NEW"/>
    <s v="Duo"/>
    <s v="DESK"/>
    <s v="COMPLETED"/>
    <n v="200"/>
    <m/>
    <x v="0"/>
  </r>
  <r>
    <s v="T00692"/>
    <x v="10"/>
    <x v="3"/>
    <s v="A045"/>
    <x v="0"/>
    <s v="NEW"/>
    <s v="Circle"/>
    <s v="DESK"/>
    <s v="COMPLETED"/>
    <n v="300"/>
    <m/>
    <x v="0"/>
  </r>
  <r>
    <s v="T00693"/>
    <x v="10"/>
    <x v="3"/>
    <s v="A044"/>
    <x v="0"/>
    <s v="NEW"/>
    <s v="Circle"/>
    <s v="DESK"/>
    <s v="COMPLETED"/>
    <n v="300"/>
    <m/>
    <x v="0"/>
  </r>
  <r>
    <s v="T00694"/>
    <x v="10"/>
    <x v="3"/>
    <s v="A044"/>
    <x v="0"/>
    <s v="RENEWAL"/>
    <s v="Single"/>
    <s v="DESK"/>
    <s v="COMPLETED"/>
    <n v="120"/>
    <m/>
    <x v="0"/>
  </r>
  <r>
    <s v="T00695"/>
    <x v="10"/>
    <x v="3"/>
    <s v="A046"/>
    <x v="0"/>
    <s v="NEW"/>
    <s v="Circle"/>
    <s v="DESK"/>
    <s v="COMPLETED"/>
    <n v="225"/>
    <m/>
    <x v="1"/>
  </r>
  <r>
    <s v="T00696"/>
    <x v="10"/>
    <x v="3"/>
    <s v="A042"/>
    <x v="0"/>
    <s v="NEW"/>
    <s v="Circle"/>
    <s v="DESK"/>
    <s v="COMPLETED"/>
    <n v="300"/>
    <m/>
    <x v="0"/>
  </r>
  <r>
    <s v="T00697"/>
    <x v="10"/>
    <x v="3"/>
    <s v="A041"/>
    <x v="0"/>
    <s v="NEW"/>
    <s v="Single"/>
    <s v="DESK"/>
    <s v="COMPLETED"/>
    <n v="120"/>
    <m/>
    <x v="0"/>
  </r>
  <r>
    <s v="T00698"/>
    <x v="10"/>
    <x v="3"/>
    <s v="A040"/>
    <x v="0"/>
    <s v="NEW"/>
    <s v="Single"/>
    <s v="DESK"/>
    <s v="COMPLETED"/>
    <n v="120"/>
    <m/>
    <x v="0"/>
  </r>
  <r>
    <s v="T00699"/>
    <x v="10"/>
    <x v="3"/>
    <s v="A043"/>
    <x v="0"/>
    <s v="NEW"/>
    <s v="Single"/>
    <s v="ONLINE"/>
    <s v="COMPLETED"/>
    <n v="120"/>
    <m/>
    <x v="0"/>
  </r>
  <r>
    <s v="T02086"/>
    <x v="10"/>
    <x v="1"/>
    <s v="A021"/>
    <x v="1"/>
    <s v="NEW"/>
    <s v="Duo"/>
    <s v="DESK"/>
    <s v="COMPLETED"/>
    <n v="200"/>
    <s v="T00600"/>
    <x v="0"/>
  </r>
  <r>
    <s v="T00700"/>
    <x v="11"/>
    <x v="0"/>
    <s v="A011"/>
    <x v="0"/>
    <s v="NEW"/>
    <s v="Duo"/>
    <s v="DESK"/>
    <s v="VOID"/>
    <n v="200"/>
    <m/>
    <x v="0"/>
  </r>
  <r>
    <s v="T00701"/>
    <x v="11"/>
    <x v="0"/>
    <s v="A007"/>
    <x v="0"/>
    <s v="NEW"/>
    <s v="Circle"/>
    <s v="DESK"/>
    <s v="COMPLETED"/>
    <n v="300"/>
    <m/>
    <x v="0"/>
  </r>
  <r>
    <s v="T00702"/>
    <x v="11"/>
    <x v="0"/>
    <s v="A009"/>
    <x v="0"/>
    <s v="NEW"/>
    <s v="Duo"/>
    <s v="DESK"/>
    <s v="COMPLETED"/>
    <n v="200"/>
    <m/>
    <x v="0"/>
  </r>
  <r>
    <s v="T00703"/>
    <x v="11"/>
    <x v="0"/>
    <s v="A012"/>
    <x v="0"/>
    <s v="NEW"/>
    <s v="Circle"/>
    <s v="DESK"/>
    <s v="COMPLETED"/>
    <n v="225"/>
    <m/>
    <x v="1"/>
  </r>
  <r>
    <s v="T00704"/>
    <x v="11"/>
    <x v="0"/>
    <s v="A007"/>
    <x v="0"/>
    <s v="NEW"/>
    <s v="Circle"/>
    <s v="DESK"/>
    <s v="COMPLETED"/>
    <n v="300"/>
    <m/>
    <x v="0"/>
  </r>
  <r>
    <s v="T00705"/>
    <x v="11"/>
    <x v="0"/>
    <s v="A012"/>
    <x v="0"/>
    <s v="NEW"/>
    <s v="Circle"/>
    <s v="ONLINE"/>
    <s v="COMPLETED"/>
    <n v="300"/>
    <m/>
    <x v="0"/>
  </r>
  <r>
    <s v="T00706"/>
    <x v="11"/>
    <x v="0"/>
    <s v="A005"/>
    <x v="0"/>
    <s v="NEW"/>
    <s v="Duo"/>
    <s v="ONLINE"/>
    <s v="COMPLETED"/>
    <n v="170"/>
    <m/>
    <x v="1"/>
  </r>
  <r>
    <s v="T00707"/>
    <x v="11"/>
    <x v="0"/>
    <s v="A012"/>
    <x v="0"/>
    <s v="NEW"/>
    <s v="Duo"/>
    <s v="DESK"/>
    <s v="COMPLETED"/>
    <n v="200"/>
    <m/>
    <x v="0"/>
  </r>
  <r>
    <s v="T00708"/>
    <x v="11"/>
    <x v="0"/>
    <s v="A003"/>
    <x v="0"/>
    <s v="NEW"/>
    <s v="Circle"/>
    <s v="DESK"/>
    <s v="COMPLETED"/>
    <n v="255"/>
    <m/>
    <x v="1"/>
  </r>
  <r>
    <s v="T00709"/>
    <x v="11"/>
    <x v="0"/>
    <s v="A002"/>
    <x v="0"/>
    <s v="NEW"/>
    <s v="Single"/>
    <s v="DESK"/>
    <s v="COMPLETED"/>
    <n v="120"/>
    <m/>
    <x v="0"/>
  </r>
  <r>
    <s v="T00710"/>
    <x v="11"/>
    <x v="0"/>
    <s v="A011"/>
    <x v="0"/>
    <s v="RENEWAL"/>
    <s v="Single"/>
    <s v="DESK"/>
    <s v="COMPLETED"/>
    <n v="120"/>
    <m/>
    <x v="0"/>
  </r>
  <r>
    <s v="T00711"/>
    <x v="11"/>
    <x v="0"/>
    <s v="A011"/>
    <x v="0"/>
    <s v="NEW"/>
    <s v="Duo"/>
    <s v="DESK"/>
    <s v="COMPLETED"/>
    <n v="200"/>
    <m/>
    <x v="0"/>
  </r>
  <r>
    <s v="T00712"/>
    <x v="11"/>
    <x v="0"/>
    <s v="A007"/>
    <x v="0"/>
    <s v="NEW"/>
    <s v="Duo"/>
    <s v="DESK"/>
    <s v="COMPLETED"/>
    <n v="200"/>
    <m/>
    <x v="0"/>
  </r>
  <r>
    <s v="T00713"/>
    <x v="11"/>
    <x v="0"/>
    <s v="A008"/>
    <x v="0"/>
    <s v="NEW"/>
    <s v="Circle"/>
    <s v="DESK"/>
    <s v="COMPLETED"/>
    <n v="255"/>
    <m/>
    <x v="1"/>
  </r>
  <r>
    <s v="T00714"/>
    <x v="11"/>
    <x v="0"/>
    <s v="A002"/>
    <x v="0"/>
    <s v="NEW"/>
    <s v="Circle"/>
    <s v="ONLINE"/>
    <s v="COMPLETED"/>
    <n v="300"/>
    <m/>
    <x v="0"/>
  </r>
  <r>
    <s v="T00715"/>
    <x v="11"/>
    <x v="0"/>
    <s v="A005"/>
    <x v="0"/>
    <s v="NEW"/>
    <s v="Single"/>
    <s v="DESK"/>
    <s v="COMPLETED"/>
    <n v="120"/>
    <m/>
    <x v="0"/>
  </r>
  <r>
    <s v="T00716"/>
    <x v="11"/>
    <x v="0"/>
    <s v="A007"/>
    <x v="0"/>
    <s v="RENEWAL"/>
    <s v="Duo"/>
    <s v="DESK"/>
    <s v="PENDING"/>
    <n v="200"/>
    <m/>
    <x v="0"/>
  </r>
  <r>
    <s v="T00717"/>
    <x v="11"/>
    <x v="0"/>
    <s v="A009"/>
    <x v="0"/>
    <s v="NEW"/>
    <s v="Circle"/>
    <s v="DESK"/>
    <s v="COMPLETED"/>
    <n v="300"/>
    <m/>
    <x v="0"/>
  </r>
  <r>
    <s v="T00718"/>
    <x v="11"/>
    <x v="0"/>
    <s v="A008"/>
    <x v="0"/>
    <s v="NEW"/>
    <s v="Circle"/>
    <s v="DESK"/>
    <s v="COMPLETED"/>
    <n v="300"/>
    <m/>
    <x v="0"/>
  </r>
  <r>
    <s v="T00719"/>
    <x v="11"/>
    <x v="1"/>
    <s v="A016"/>
    <x v="0"/>
    <s v="RENEWAL"/>
    <s v="Single"/>
    <s v="DESK"/>
    <s v="COMPLETED"/>
    <n v="102"/>
    <m/>
    <x v="1"/>
  </r>
  <r>
    <s v="T00720"/>
    <x v="11"/>
    <x v="1"/>
    <s v="A019"/>
    <x v="0"/>
    <s v="NEW"/>
    <s v="Duo"/>
    <s v="DESK"/>
    <s v="COMPLETED"/>
    <n v="200"/>
    <m/>
    <x v="0"/>
  </r>
  <r>
    <s v="T00721"/>
    <x v="11"/>
    <x v="1"/>
    <s v="A018"/>
    <x v="0"/>
    <s v="NEW"/>
    <s v="Circle"/>
    <s v="DESK"/>
    <s v="COMPLETED"/>
    <n v="300"/>
    <m/>
    <x v="0"/>
  </r>
  <r>
    <s v="T00722"/>
    <x v="11"/>
    <x v="1"/>
    <s v="A017"/>
    <x v="0"/>
    <s v="RENEWAL"/>
    <s v="Single"/>
    <s v="DESK"/>
    <s v="COMPLETED"/>
    <n v="90"/>
    <m/>
    <x v="1"/>
  </r>
  <r>
    <s v="T00723"/>
    <x v="11"/>
    <x v="1"/>
    <s v="A015"/>
    <x v="0"/>
    <s v="NEW"/>
    <s v="Circle"/>
    <s v="DESK"/>
    <s v="COMPLETED"/>
    <n v="300"/>
    <m/>
    <x v="0"/>
  </r>
  <r>
    <s v="T00724"/>
    <x v="11"/>
    <x v="1"/>
    <s v="A016"/>
    <x v="0"/>
    <s v="NEW"/>
    <s v="Circle"/>
    <s v="DESK"/>
    <s v="COMPLETED"/>
    <n v="300"/>
    <m/>
    <x v="0"/>
  </r>
  <r>
    <s v="T00725"/>
    <x v="11"/>
    <x v="1"/>
    <s v="A022"/>
    <x v="0"/>
    <s v="NEW"/>
    <s v="Duo"/>
    <s v="DESK"/>
    <s v="COMPLETED"/>
    <n v="200"/>
    <m/>
    <x v="0"/>
  </r>
  <r>
    <s v="T00726"/>
    <x v="11"/>
    <x v="1"/>
    <s v="A020"/>
    <x v="0"/>
    <s v="NEW"/>
    <s v="Duo"/>
    <s v="ONLINE"/>
    <s v="COMPLETED"/>
    <n v="200"/>
    <m/>
    <x v="0"/>
  </r>
  <r>
    <s v="T00727"/>
    <x v="11"/>
    <x v="1"/>
    <s v="A016"/>
    <x v="0"/>
    <s v="NEW"/>
    <s v="Duo"/>
    <s v="DESK"/>
    <s v="COMPLETED"/>
    <n v="200"/>
    <m/>
    <x v="0"/>
  </r>
  <r>
    <s v="T00728"/>
    <x v="11"/>
    <x v="1"/>
    <s v="A013"/>
    <x v="0"/>
    <s v="NEW"/>
    <s v="Circle"/>
    <s v="DESK"/>
    <s v="COMPLETED"/>
    <n v="300"/>
    <m/>
    <x v="0"/>
  </r>
  <r>
    <s v="T00729"/>
    <x v="11"/>
    <x v="1"/>
    <s v="A024"/>
    <x v="0"/>
    <s v="NEW"/>
    <s v="Circle"/>
    <s v="DESK"/>
    <s v="COMPLETED"/>
    <n v="225"/>
    <m/>
    <x v="1"/>
  </r>
  <r>
    <s v="T00730"/>
    <x v="11"/>
    <x v="1"/>
    <s v="A021"/>
    <x v="0"/>
    <s v="NEW"/>
    <s v="Circle"/>
    <s v="DESK"/>
    <s v="COMPLETED"/>
    <n v="300"/>
    <m/>
    <x v="0"/>
  </r>
  <r>
    <s v="T00731"/>
    <x v="11"/>
    <x v="1"/>
    <s v="A016"/>
    <x v="0"/>
    <s v="NEW"/>
    <s v="Single"/>
    <s v="DESK"/>
    <s v="COMPLETED"/>
    <n v="120"/>
    <m/>
    <x v="0"/>
  </r>
  <r>
    <s v="T00732"/>
    <x v="11"/>
    <x v="1"/>
    <s v="A016"/>
    <x v="0"/>
    <s v="RENEWAL"/>
    <s v="Duo"/>
    <s v="DESK"/>
    <s v="COMPLETED"/>
    <n v="170"/>
    <m/>
    <x v="1"/>
  </r>
  <r>
    <s v="T00733"/>
    <x v="11"/>
    <x v="1"/>
    <s v="A022"/>
    <x v="0"/>
    <s v="NEW"/>
    <s v="Duo"/>
    <s v="DESK"/>
    <s v="COMPLETED"/>
    <n v="200"/>
    <m/>
    <x v="0"/>
  </r>
  <r>
    <s v="T00734"/>
    <x v="11"/>
    <x v="1"/>
    <s v="A017"/>
    <x v="0"/>
    <s v="NEW"/>
    <s v="Single"/>
    <s v="DESK"/>
    <s v="COMPLETED"/>
    <n v="90"/>
    <m/>
    <x v="1"/>
  </r>
  <r>
    <s v="T00735"/>
    <x v="11"/>
    <x v="1"/>
    <s v="A019"/>
    <x v="0"/>
    <s v="NEW"/>
    <s v="Duo"/>
    <s v="DESK"/>
    <s v="COMPLETED"/>
    <n v="200"/>
    <m/>
    <x v="0"/>
  </r>
  <r>
    <s v="T00736"/>
    <x v="11"/>
    <x v="2"/>
    <s v="A029"/>
    <x v="0"/>
    <s v="NEW"/>
    <s v="Duo"/>
    <s v="DESK"/>
    <s v="COMPLETED"/>
    <n v="200"/>
    <m/>
    <x v="0"/>
  </r>
  <r>
    <s v="T00737"/>
    <x v="11"/>
    <x v="2"/>
    <s v="A029"/>
    <x v="0"/>
    <s v="NEW"/>
    <s v="Single"/>
    <s v="DESK"/>
    <s v="COMPLETED"/>
    <n v="120"/>
    <m/>
    <x v="0"/>
  </r>
  <r>
    <s v="T00738"/>
    <x v="11"/>
    <x v="2"/>
    <s v="A027"/>
    <x v="0"/>
    <s v="NEW"/>
    <s v="Single"/>
    <s v="DESK"/>
    <s v="COMPLETED"/>
    <n v="120"/>
    <m/>
    <x v="0"/>
  </r>
  <r>
    <s v="T00739"/>
    <x v="11"/>
    <x v="2"/>
    <s v="A027"/>
    <x v="0"/>
    <s v="NEW"/>
    <s v="Duo"/>
    <s v="DESK"/>
    <s v="COMPLETED"/>
    <n v="200"/>
    <m/>
    <x v="0"/>
  </r>
  <r>
    <s v="T00740"/>
    <x v="11"/>
    <x v="2"/>
    <s v="A026"/>
    <x v="0"/>
    <s v="RENEWAL"/>
    <s v="Duo"/>
    <s v="DESK"/>
    <s v="COMPLETED"/>
    <n v="200"/>
    <m/>
    <x v="0"/>
  </r>
  <r>
    <s v="T00741"/>
    <x v="11"/>
    <x v="2"/>
    <s v="A027"/>
    <x v="0"/>
    <s v="RENEWAL"/>
    <s v="Duo"/>
    <s v="DESK"/>
    <s v="COMPLETED"/>
    <n v="150"/>
    <m/>
    <x v="1"/>
  </r>
  <r>
    <s v="T00742"/>
    <x v="11"/>
    <x v="2"/>
    <s v="A031"/>
    <x v="0"/>
    <s v="NEW"/>
    <s v="Circle"/>
    <s v="DESK"/>
    <s v="COMPLETED"/>
    <n v="300"/>
    <m/>
    <x v="0"/>
  </r>
  <r>
    <s v="T00743"/>
    <x v="11"/>
    <x v="2"/>
    <s v="A033"/>
    <x v="0"/>
    <s v="NEW"/>
    <s v="Circle"/>
    <s v="DESK"/>
    <s v="COMPLETED"/>
    <n v="300"/>
    <m/>
    <x v="0"/>
  </r>
  <r>
    <s v="T00744"/>
    <x v="11"/>
    <x v="2"/>
    <s v="A028"/>
    <x v="0"/>
    <s v="NEW"/>
    <s v="Single"/>
    <s v="DESK"/>
    <s v="COMPLETED"/>
    <n v="120"/>
    <m/>
    <x v="0"/>
  </r>
  <r>
    <s v="T00745"/>
    <x v="11"/>
    <x v="2"/>
    <s v="A030"/>
    <x v="0"/>
    <s v="NEW"/>
    <s v="Circle"/>
    <s v="DESK"/>
    <s v="COMPLETED"/>
    <n v="300"/>
    <m/>
    <x v="0"/>
  </r>
  <r>
    <s v="T00746"/>
    <x v="11"/>
    <x v="2"/>
    <s v="A027"/>
    <x v="0"/>
    <s v="NEW"/>
    <s v="Circle"/>
    <s v="DESK"/>
    <s v="COMPLETED"/>
    <n v="300"/>
    <m/>
    <x v="0"/>
  </r>
  <r>
    <s v="T00747"/>
    <x v="11"/>
    <x v="2"/>
    <s v="A032"/>
    <x v="0"/>
    <s v="NEW"/>
    <s v="Circle"/>
    <s v="DESK"/>
    <s v="COMPLETED"/>
    <n v="300"/>
    <m/>
    <x v="0"/>
  </r>
  <r>
    <s v="T00748"/>
    <x v="11"/>
    <x v="2"/>
    <s v="A025"/>
    <x v="0"/>
    <s v="NEW"/>
    <s v="Single"/>
    <s v="DESK"/>
    <s v="COMPLETED"/>
    <n v="120"/>
    <m/>
    <x v="0"/>
  </r>
  <r>
    <s v="T00749"/>
    <x v="11"/>
    <x v="2"/>
    <s v="A033"/>
    <x v="0"/>
    <s v="NEW"/>
    <s v="Duo"/>
    <s v="DESK"/>
    <s v="COMPLETED"/>
    <n v="200"/>
    <m/>
    <x v="0"/>
  </r>
  <r>
    <s v="T00750"/>
    <x v="11"/>
    <x v="2"/>
    <s v="A031"/>
    <x v="0"/>
    <s v="NEW"/>
    <s v="Duo"/>
    <s v="DESK"/>
    <s v="COMPLETED"/>
    <n v="200"/>
    <m/>
    <x v="0"/>
  </r>
  <r>
    <s v="T00751"/>
    <x v="11"/>
    <x v="2"/>
    <s v="A033"/>
    <x v="0"/>
    <s v="NEW"/>
    <s v="Duo"/>
    <s v="DESK"/>
    <s v="COMPLETED"/>
    <n v="200"/>
    <m/>
    <x v="0"/>
  </r>
  <r>
    <s v="T00752"/>
    <x v="11"/>
    <x v="2"/>
    <s v="A030"/>
    <x v="0"/>
    <s v="RENEWAL"/>
    <s v="Duo"/>
    <s v="DESK"/>
    <s v="COMPLETED"/>
    <n v="200"/>
    <m/>
    <x v="0"/>
  </r>
  <r>
    <s v="T00753"/>
    <x v="11"/>
    <x v="2"/>
    <s v="A029"/>
    <x v="0"/>
    <s v="NEW"/>
    <s v="Circle"/>
    <s v="DESK"/>
    <s v="COMPLETED"/>
    <n v="255"/>
    <m/>
    <x v="1"/>
  </r>
  <r>
    <s v="T00754"/>
    <x v="11"/>
    <x v="2"/>
    <s v="A031"/>
    <x v="0"/>
    <s v="NEW"/>
    <s v="Single"/>
    <s v="DESK"/>
    <s v="COMPLETED"/>
    <n v="120"/>
    <m/>
    <x v="0"/>
  </r>
  <r>
    <s v="T00755"/>
    <x v="11"/>
    <x v="3"/>
    <s v="A045"/>
    <x v="0"/>
    <s v="NEW"/>
    <s v="Circle"/>
    <s v="ONLINE"/>
    <s v="COMPLETED"/>
    <n v="300"/>
    <m/>
    <x v="0"/>
  </r>
  <r>
    <s v="T00756"/>
    <x v="11"/>
    <x v="3"/>
    <s v="A037"/>
    <x v="0"/>
    <s v="RENEWAL"/>
    <s v="Duo"/>
    <s v="DESK"/>
    <s v="COMPLETED"/>
    <n v="200"/>
    <m/>
    <x v="0"/>
  </r>
  <r>
    <s v="T00757"/>
    <x v="11"/>
    <x v="3"/>
    <s v="A043"/>
    <x v="0"/>
    <s v="NEW"/>
    <s v="Circle"/>
    <s v="DESK"/>
    <s v="COMPLETED"/>
    <n v="300"/>
    <m/>
    <x v="0"/>
  </r>
  <r>
    <s v="T00758"/>
    <x v="11"/>
    <x v="3"/>
    <s v="A042"/>
    <x v="0"/>
    <s v="NEW"/>
    <s v="Circle"/>
    <s v="ONLINE"/>
    <s v="PENDING"/>
    <n v="300"/>
    <m/>
    <x v="0"/>
  </r>
  <r>
    <s v="T00759"/>
    <x v="11"/>
    <x v="3"/>
    <s v="A042"/>
    <x v="0"/>
    <s v="NEW"/>
    <s v="Circle"/>
    <s v="DESK"/>
    <s v="COMPLETED"/>
    <n v="300"/>
    <m/>
    <x v="0"/>
  </r>
  <r>
    <s v="T00760"/>
    <x v="11"/>
    <x v="3"/>
    <s v="A046"/>
    <x v="0"/>
    <s v="NEW"/>
    <s v="Duo"/>
    <s v="ONLINE"/>
    <s v="COMPLETED"/>
    <n v="150"/>
    <m/>
    <x v="1"/>
  </r>
  <r>
    <s v="T00761"/>
    <x v="11"/>
    <x v="3"/>
    <s v="A043"/>
    <x v="0"/>
    <s v="NEW"/>
    <s v="Circle"/>
    <s v="ONLINE"/>
    <s v="COMPLETED"/>
    <n v="255"/>
    <m/>
    <x v="1"/>
  </r>
  <r>
    <s v="T00762"/>
    <x v="11"/>
    <x v="3"/>
    <s v="A040"/>
    <x v="0"/>
    <s v="NEW"/>
    <s v="Duo"/>
    <s v="DESK"/>
    <s v="COMPLETED"/>
    <n v="200"/>
    <m/>
    <x v="0"/>
  </r>
  <r>
    <s v="T00763"/>
    <x v="11"/>
    <x v="3"/>
    <s v="A040"/>
    <x v="0"/>
    <s v="NEW"/>
    <s v="Single"/>
    <s v="DESK"/>
    <s v="COMPLETED"/>
    <n v="120"/>
    <m/>
    <x v="0"/>
  </r>
  <r>
    <s v="T00764"/>
    <x v="11"/>
    <x v="3"/>
    <s v="A045"/>
    <x v="0"/>
    <s v="NEW"/>
    <s v="Circle"/>
    <s v="DESK"/>
    <s v="COMPLETED"/>
    <n v="300"/>
    <m/>
    <x v="0"/>
  </r>
  <r>
    <s v="T00765"/>
    <x v="11"/>
    <x v="3"/>
    <s v="A048"/>
    <x v="0"/>
    <s v="NEW"/>
    <s v="Single"/>
    <s v="DESK"/>
    <s v="COMPLETED"/>
    <n v="120"/>
    <m/>
    <x v="0"/>
  </r>
  <r>
    <s v="T00766"/>
    <x v="11"/>
    <x v="3"/>
    <s v="A045"/>
    <x v="0"/>
    <s v="NEW"/>
    <s v="Circle"/>
    <s v="DESK"/>
    <s v="COMPLETED"/>
    <n v="300"/>
    <m/>
    <x v="0"/>
  </r>
  <r>
    <s v="T00767"/>
    <x v="11"/>
    <x v="3"/>
    <s v="A043"/>
    <x v="0"/>
    <s v="NEW"/>
    <s v="Single"/>
    <s v="DESK"/>
    <s v="COMPLETED"/>
    <n v="120"/>
    <m/>
    <x v="0"/>
  </r>
  <r>
    <s v="T00768"/>
    <x v="11"/>
    <x v="3"/>
    <s v="A039"/>
    <x v="0"/>
    <s v="NEW"/>
    <s v="Duo"/>
    <s v="DESK"/>
    <s v="COMPLETED"/>
    <n v="200"/>
    <m/>
    <x v="0"/>
  </r>
  <r>
    <s v="T02068"/>
    <x v="11"/>
    <x v="3"/>
    <s v="A038"/>
    <x v="1"/>
    <s v="NEW"/>
    <s v="Duo"/>
    <s v="DESK"/>
    <s v="COMPLETED"/>
    <n v="200"/>
    <s v="T00376"/>
    <x v="0"/>
  </r>
  <r>
    <s v="T02076"/>
    <x v="11"/>
    <x v="3"/>
    <s v="A042"/>
    <x v="1"/>
    <s v="NEW"/>
    <s v="Circle"/>
    <s v="ONLINE"/>
    <s v="COMPLETED"/>
    <n v="300"/>
    <s v="T00566"/>
    <x v="0"/>
  </r>
  <r>
    <s v="T02085"/>
    <x v="11"/>
    <x v="2"/>
    <s v="A036"/>
    <x v="1"/>
    <s v="NEW"/>
    <s v="Duo"/>
    <s v="DESK"/>
    <s v="COMPLETED"/>
    <n v="200"/>
    <s v="T00423"/>
    <x v="0"/>
  </r>
  <r>
    <s v="T00769"/>
    <x v="12"/>
    <x v="0"/>
    <s v="A004"/>
    <x v="0"/>
    <s v="NEW"/>
    <s v="Duo"/>
    <s v="DESK"/>
    <s v="COMPLETED"/>
    <n v="200"/>
    <m/>
    <x v="0"/>
  </r>
  <r>
    <s v="T00770"/>
    <x v="12"/>
    <x v="0"/>
    <s v="A004"/>
    <x v="0"/>
    <s v="NEW"/>
    <s v="Single"/>
    <s v="DESK"/>
    <s v="COMPLETED"/>
    <n v="120"/>
    <m/>
    <x v="0"/>
  </r>
  <r>
    <s v="T00771"/>
    <x v="12"/>
    <x v="0"/>
    <s v="A011"/>
    <x v="0"/>
    <s v="NEW"/>
    <s v="Single"/>
    <s v="DESK"/>
    <s v="COMPLETED"/>
    <n v="120"/>
    <m/>
    <x v="0"/>
  </r>
  <r>
    <s v="T00772"/>
    <x v="12"/>
    <x v="0"/>
    <s v="A007"/>
    <x v="0"/>
    <s v="NEW"/>
    <s v="Duo"/>
    <s v="ONLINE"/>
    <s v="COMPLETED"/>
    <n v="200"/>
    <m/>
    <x v="0"/>
  </r>
  <r>
    <s v="T00773"/>
    <x v="12"/>
    <x v="0"/>
    <s v="A009"/>
    <x v="0"/>
    <s v="RENEWAL"/>
    <s v="Single"/>
    <s v="DESK"/>
    <s v="COMPLETED"/>
    <n v="120"/>
    <m/>
    <x v="0"/>
  </r>
  <r>
    <s v="T00774"/>
    <x v="12"/>
    <x v="0"/>
    <s v="A007"/>
    <x v="0"/>
    <s v="NEW"/>
    <s v="Single"/>
    <s v="DESK"/>
    <s v="PENDING"/>
    <n v="90"/>
    <m/>
    <x v="1"/>
  </r>
  <r>
    <s v="T00775"/>
    <x v="12"/>
    <x v="0"/>
    <s v="A002"/>
    <x v="0"/>
    <s v="RENEWAL"/>
    <s v="Duo"/>
    <s v="DESK"/>
    <s v="COMPLETED"/>
    <n v="200"/>
    <m/>
    <x v="0"/>
  </r>
  <r>
    <s v="T00776"/>
    <x v="12"/>
    <x v="0"/>
    <s v="A009"/>
    <x v="0"/>
    <s v="NEW"/>
    <s v="Circle"/>
    <s v="ONLINE"/>
    <s v="COMPLETED"/>
    <n v="300"/>
    <m/>
    <x v="0"/>
  </r>
  <r>
    <s v="T00777"/>
    <x v="12"/>
    <x v="0"/>
    <s v="A001"/>
    <x v="0"/>
    <s v="NEW"/>
    <s v="Single"/>
    <s v="DESK"/>
    <s v="COMPLETED"/>
    <n v="120"/>
    <m/>
    <x v="0"/>
  </r>
  <r>
    <s v="T00778"/>
    <x v="12"/>
    <x v="0"/>
    <s v="A006"/>
    <x v="0"/>
    <s v="NEW"/>
    <s v="Duo"/>
    <s v="DESK"/>
    <s v="COMPLETED"/>
    <n v="200"/>
    <m/>
    <x v="0"/>
  </r>
  <r>
    <s v="T00779"/>
    <x v="12"/>
    <x v="0"/>
    <s v="A005"/>
    <x v="0"/>
    <s v="NEW"/>
    <s v="Circle"/>
    <s v="DESK"/>
    <s v="COMPLETED"/>
    <n v="300"/>
    <m/>
    <x v="0"/>
  </r>
  <r>
    <s v="T00780"/>
    <x v="12"/>
    <x v="0"/>
    <s v="A004"/>
    <x v="0"/>
    <s v="NEW"/>
    <s v="Circle"/>
    <s v="DESK"/>
    <s v="COMPLETED"/>
    <n v="300"/>
    <m/>
    <x v="0"/>
  </r>
  <r>
    <s v="T00781"/>
    <x v="12"/>
    <x v="0"/>
    <s v="A007"/>
    <x v="0"/>
    <s v="RENEWAL"/>
    <s v="Duo"/>
    <s v="DESK"/>
    <s v="COMPLETED"/>
    <n v="200"/>
    <m/>
    <x v="0"/>
  </r>
  <r>
    <s v="T00782"/>
    <x v="12"/>
    <x v="0"/>
    <s v="A010"/>
    <x v="0"/>
    <s v="NEW"/>
    <s v="Circle"/>
    <s v="ONLINE"/>
    <s v="COMPLETED"/>
    <n v="300"/>
    <m/>
    <x v="0"/>
  </r>
  <r>
    <s v="T00783"/>
    <x v="12"/>
    <x v="0"/>
    <s v="A001"/>
    <x v="0"/>
    <s v="NEW"/>
    <s v="Circle"/>
    <s v="DESK"/>
    <s v="COMPLETED"/>
    <n v="255"/>
    <m/>
    <x v="1"/>
  </r>
  <r>
    <s v="T00784"/>
    <x v="12"/>
    <x v="0"/>
    <s v="A004"/>
    <x v="0"/>
    <s v="NEW"/>
    <s v="Duo"/>
    <s v="DESK"/>
    <s v="COMPLETED"/>
    <n v="200"/>
    <m/>
    <x v="0"/>
  </r>
  <r>
    <s v="T00785"/>
    <x v="12"/>
    <x v="0"/>
    <s v="A001"/>
    <x v="0"/>
    <s v="NEW"/>
    <s v="Single"/>
    <s v="DESK"/>
    <s v="COMPLETED"/>
    <n v="120"/>
    <m/>
    <x v="0"/>
  </r>
  <r>
    <s v="T00786"/>
    <x v="12"/>
    <x v="0"/>
    <s v="A002"/>
    <x v="0"/>
    <s v="NEW"/>
    <s v="Single"/>
    <s v="DESK"/>
    <s v="COMPLETED"/>
    <n v="120"/>
    <m/>
    <x v="0"/>
  </r>
  <r>
    <s v="T00787"/>
    <x v="12"/>
    <x v="0"/>
    <s v="A002"/>
    <x v="0"/>
    <s v="NEW"/>
    <s v="Circle"/>
    <s v="DESK"/>
    <s v="COMPLETED"/>
    <n v="300"/>
    <m/>
    <x v="0"/>
  </r>
  <r>
    <s v="T00788"/>
    <x v="12"/>
    <x v="1"/>
    <s v="A013"/>
    <x v="0"/>
    <s v="NEW"/>
    <s v="Single"/>
    <s v="DESK"/>
    <s v="COMPLETED"/>
    <n v="120"/>
    <m/>
    <x v="0"/>
  </r>
  <r>
    <s v="T00789"/>
    <x v="12"/>
    <x v="1"/>
    <s v="A019"/>
    <x v="0"/>
    <s v="NEW"/>
    <s v="Duo"/>
    <s v="DESK"/>
    <s v="COMPLETED"/>
    <n v="200"/>
    <m/>
    <x v="0"/>
  </r>
  <r>
    <s v="T00790"/>
    <x v="12"/>
    <x v="1"/>
    <s v="A017"/>
    <x v="0"/>
    <s v="NEW"/>
    <s v="Duo"/>
    <s v="DESK"/>
    <s v="COMPLETED"/>
    <n v="200"/>
    <m/>
    <x v="0"/>
  </r>
  <r>
    <s v="T00791"/>
    <x v="12"/>
    <x v="1"/>
    <s v="A024"/>
    <x v="0"/>
    <s v="NEW"/>
    <s v="Single"/>
    <s v="ONLINE"/>
    <s v="COMPLETED"/>
    <n v="90"/>
    <m/>
    <x v="1"/>
  </r>
  <r>
    <s v="T00792"/>
    <x v="12"/>
    <x v="1"/>
    <s v="A024"/>
    <x v="0"/>
    <s v="NEW"/>
    <s v="Circle"/>
    <s v="DESK"/>
    <s v="COMPLETED"/>
    <n v="225"/>
    <m/>
    <x v="1"/>
  </r>
  <r>
    <s v="T00793"/>
    <x v="12"/>
    <x v="1"/>
    <s v="A016"/>
    <x v="0"/>
    <s v="RENEWAL"/>
    <s v="Single"/>
    <s v="DESK"/>
    <s v="COMPLETED"/>
    <n v="120"/>
    <m/>
    <x v="0"/>
  </r>
  <r>
    <s v="T00794"/>
    <x v="12"/>
    <x v="1"/>
    <s v="A019"/>
    <x v="0"/>
    <s v="RENEWAL"/>
    <s v="Single"/>
    <s v="DESK"/>
    <s v="COMPLETED"/>
    <n v="120"/>
    <m/>
    <x v="0"/>
  </r>
  <r>
    <s v="T00795"/>
    <x v="12"/>
    <x v="1"/>
    <s v="A015"/>
    <x v="0"/>
    <s v="NEW"/>
    <s v="Duo"/>
    <s v="DESK"/>
    <s v="COMPLETED"/>
    <n v="170"/>
    <m/>
    <x v="1"/>
  </r>
  <r>
    <s v="T00796"/>
    <x v="12"/>
    <x v="1"/>
    <s v="A021"/>
    <x v="0"/>
    <s v="NEW"/>
    <s v="Circle"/>
    <s v="DESK"/>
    <s v="COMPLETED"/>
    <n v="300"/>
    <m/>
    <x v="0"/>
  </r>
  <r>
    <s v="T00797"/>
    <x v="12"/>
    <x v="1"/>
    <s v="A024"/>
    <x v="0"/>
    <s v="NEW"/>
    <s v="Circle"/>
    <s v="DESK"/>
    <s v="COMPLETED"/>
    <n v="255"/>
    <m/>
    <x v="1"/>
  </r>
  <r>
    <s v="T00798"/>
    <x v="12"/>
    <x v="1"/>
    <s v="A017"/>
    <x v="0"/>
    <s v="NEW"/>
    <s v="Single"/>
    <s v="DESK"/>
    <s v="COMPLETED"/>
    <n v="102"/>
    <m/>
    <x v="1"/>
  </r>
  <r>
    <s v="T00799"/>
    <x v="12"/>
    <x v="1"/>
    <s v="A023"/>
    <x v="0"/>
    <s v="NEW"/>
    <s v="Single"/>
    <s v="DESK"/>
    <s v="PENDING"/>
    <n v="90"/>
    <m/>
    <x v="1"/>
  </r>
  <r>
    <s v="T00800"/>
    <x v="12"/>
    <x v="1"/>
    <s v="A021"/>
    <x v="0"/>
    <s v="NEW"/>
    <s v="Duo"/>
    <s v="DESK"/>
    <s v="COMPLETED"/>
    <n v="200"/>
    <m/>
    <x v="0"/>
  </r>
  <r>
    <s v="T00801"/>
    <x v="12"/>
    <x v="1"/>
    <s v="A022"/>
    <x v="0"/>
    <s v="NEW"/>
    <s v="Single"/>
    <s v="DESK"/>
    <s v="COMPLETED"/>
    <n v="90"/>
    <m/>
    <x v="1"/>
  </r>
  <r>
    <s v="T00802"/>
    <x v="12"/>
    <x v="1"/>
    <s v="A015"/>
    <x v="0"/>
    <s v="NEW"/>
    <s v="Circle"/>
    <s v="DESK"/>
    <s v="COMPLETED"/>
    <n v="300"/>
    <m/>
    <x v="0"/>
  </r>
  <r>
    <s v="T00803"/>
    <x v="12"/>
    <x v="1"/>
    <s v="A015"/>
    <x v="0"/>
    <s v="NEW"/>
    <s v="Circle"/>
    <s v="DESK"/>
    <s v="COMPLETED"/>
    <n v="300"/>
    <m/>
    <x v="0"/>
  </r>
  <r>
    <s v="T00804"/>
    <x v="12"/>
    <x v="2"/>
    <s v="A034"/>
    <x v="0"/>
    <s v="RENEWAL"/>
    <s v="Single"/>
    <s v="DESK"/>
    <s v="COMPLETED"/>
    <n v="120"/>
    <m/>
    <x v="0"/>
  </r>
  <r>
    <s v="T00805"/>
    <x v="12"/>
    <x v="2"/>
    <s v="A034"/>
    <x v="0"/>
    <s v="NEW"/>
    <s v="Single"/>
    <s v="DESK"/>
    <s v="COMPLETED"/>
    <n v="120"/>
    <m/>
    <x v="0"/>
  </r>
  <r>
    <s v="T00806"/>
    <x v="12"/>
    <x v="2"/>
    <s v="A028"/>
    <x v="0"/>
    <s v="NEW"/>
    <s v="Duo"/>
    <s v="DESK"/>
    <s v="COMPLETED"/>
    <n v="200"/>
    <m/>
    <x v="0"/>
  </r>
  <r>
    <s v="T00807"/>
    <x v="12"/>
    <x v="2"/>
    <s v="A034"/>
    <x v="0"/>
    <s v="NEW"/>
    <s v="Duo"/>
    <s v="DESK"/>
    <s v="COMPLETED"/>
    <n v="200"/>
    <m/>
    <x v="0"/>
  </r>
  <r>
    <s v="T00808"/>
    <x v="12"/>
    <x v="2"/>
    <s v="A034"/>
    <x v="0"/>
    <s v="NEW"/>
    <s v="Circle"/>
    <s v="DESK"/>
    <s v="COMPLETED"/>
    <n v="225"/>
    <m/>
    <x v="1"/>
  </r>
  <r>
    <s v="T00809"/>
    <x v="12"/>
    <x v="2"/>
    <s v="A028"/>
    <x v="0"/>
    <s v="RENEWAL"/>
    <s v="Single"/>
    <s v="DESK"/>
    <s v="COMPLETED"/>
    <n v="120"/>
    <m/>
    <x v="0"/>
  </r>
  <r>
    <s v="T00810"/>
    <x v="12"/>
    <x v="2"/>
    <s v="A025"/>
    <x v="0"/>
    <s v="RENEWAL"/>
    <s v="Circle"/>
    <s v="DESK"/>
    <s v="COMPLETED"/>
    <n v="255"/>
    <m/>
    <x v="1"/>
  </r>
  <r>
    <s v="T00811"/>
    <x v="12"/>
    <x v="2"/>
    <s v="A028"/>
    <x v="0"/>
    <s v="NEW"/>
    <s v="Duo"/>
    <s v="ONLINE"/>
    <s v="COMPLETED"/>
    <n v="200"/>
    <m/>
    <x v="0"/>
  </r>
  <r>
    <s v="T00812"/>
    <x v="12"/>
    <x v="2"/>
    <s v="A026"/>
    <x v="0"/>
    <s v="NEW"/>
    <s v="Single"/>
    <s v="ONLINE"/>
    <s v="COMPLETED"/>
    <n v="120"/>
    <m/>
    <x v="0"/>
  </r>
  <r>
    <s v="T00813"/>
    <x v="12"/>
    <x v="2"/>
    <s v="A033"/>
    <x v="0"/>
    <s v="RENEWAL"/>
    <s v="Duo"/>
    <s v="DESK"/>
    <s v="COMPLETED"/>
    <n v="170"/>
    <m/>
    <x v="1"/>
  </r>
  <r>
    <s v="T00814"/>
    <x v="12"/>
    <x v="2"/>
    <s v="A032"/>
    <x v="0"/>
    <s v="NEW"/>
    <s v="Duo"/>
    <s v="DESK"/>
    <s v="COMPLETED"/>
    <n v="200"/>
    <m/>
    <x v="0"/>
  </r>
  <r>
    <s v="T00815"/>
    <x v="12"/>
    <x v="2"/>
    <s v="A033"/>
    <x v="0"/>
    <s v="NEW"/>
    <s v="Duo"/>
    <s v="ONLINE"/>
    <s v="COMPLETED"/>
    <n v="200"/>
    <m/>
    <x v="0"/>
  </r>
  <r>
    <s v="T00816"/>
    <x v="12"/>
    <x v="2"/>
    <s v="A036"/>
    <x v="0"/>
    <s v="NEW"/>
    <s v="Single"/>
    <s v="DESK"/>
    <s v="COMPLETED"/>
    <n v="120"/>
    <m/>
    <x v="0"/>
  </r>
  <r>
    <s v="T00817"/>
    <x v="12"/>
    <x v="3"/>
    <s v="A040"/>
    <x v="0"/>
    <s v="NEW"/>
    <s v="Single"/>
    <s v="DESK"/>
    <s v="COMPLETED"/>
    <n v="120"/>
    <m/>
    <x v="0"/>
  </r>
  <r>
    <s v="T00818"/>
    <x v="12"/>
    <x v="3"/>
    <s v="A039"/>
    <x v="0"/>
    <s v="NEW"/>
    <s v="Duo"/>
    <s v="DESK"/>
    <s v="COMPLETED"/>
    <n v="170"/>
    <m/>
    <x v="1"/>
  </r>
  <r>
    <s v="T00819"/>
    <x v="12"/>
    <x v="3"/>
    <s v="A048"/>
    <x v="0"/>
    <s v="NEW"/>
    <s v="Single"/>
    <s v="ONLINE"/>
    <s v="COMPLETED"/>
    <n v="120"/>
    <m/>
    <x v="0"/>
  </r>
  <r>
    <s v="T00820"/>
    <x v="12"/>
    <x v="3"/>
    <s v="A042"/>
    <x v="0"/>
    <s v="NEW"/>
    <s v="Duo"/>
    <s v="DESK"/>
    <s v="COMPLETED"/>
    <n v="200"/>
    <m/>
    <x v="0"/>
  </r>
  <r>
    <s v="T00821"/>
    <x v="12"/>
    <x v="3"/>
    <s v="A042"/>
    <x v="0"/>
    <s v="NEW"/>
    <s v="Duo"/>
    <s v="DESK"/>
    <s v="COMPLETED"/>
    <n v="200"/>
    <m/>
    <x v="0"/>
  </r>
  <r>
    <s v="T00822"/>
    <x v="12"/>
    <x v="3"/>
    <s v="A045"/>
    <x v="0"/>
    <s v="NEW"/>
    <s v="Duo"/>
    <s v="DESK"/>
    <s v="COMPLETED"/>
    <n v="200"/>
    <m/>
    <x v="0"/>
  </r>
  <r>
    <s v="T00823"/>
    <x v="12"/>
    <x v="3"/>
    <s v="A044"/>
    <x v="0"/>
    <s v="NEW"/>
    <s v="Circle"/>
    <s v="DESK"/>
    <s v="COMPLETED"/>
    <n v="255"/>
    <m/>
    <x v="1"/>
  </r>
  <r>
    <s v="T00824"/>
    <x v="12"/>
    <x v="3"/>
    <s v="A041"/>
    <x v="0"/>
    <s v="NEW"/>
    <s v="Circle"/>
    <s v="DESK"/>
    <s v="COMPLETED"/>
    <n v="300"/>
    <m/>
    <x v="0"/>
  </r>
  <r>
    <s v="T00825"/>
    <x v="12"/>
    <x v="3"/>
    <s v="A046"/>
    <x v="0"/>
    <s v="NEW"/>
    <s v="Single"/>
    <s v="DESK"/>
    <s v="COMPLETED"/>
    <n v="120"/>
    <m/>
    <x v="0"/>
  </r>
  <r>
    <s v="T00826"/>
    <x v="12"/>
    <x v="3"/>
    <s v="A041"/>
    <x v="0"/>
    <s v="RENEWAL"/>
    <s v="Single"/>
    <s v="DESK"/>
    <s v="COMPLETED"/>
    <n v="120"/>
    <m/>
    <x v="0"/>
  </r>
  <r>
    <s v="T00827"/>
    <x v="12"/>
    <x v="3"/>
    <s v="A041"/>
    <x v="0"/>
    <s v="NEW"/>
    <s v="Circle"/>
    <s v="DESK"/>
    <s v="COMPLETED"/>
    <n v="225"/>
    <m/>
    <x v="1"/>
  </r>
  <r>
    <s v="T00828"/>
    <x v="12"/>
    <x v="3"/>
    <s v="A044"/>
    <x v="0"/>
    <s v="RENEWAL"/>
    <s v="Duo"/>
    <s v="DESK"/>
    <s v="COMPLETED"/>
    <n v="200"/>
    <m/>
    <x v="0"/>
  </r>
  <r>
    <s v="T00829"/>
    <x v="12"/>
    <x v="3"/>
    <s v="A043"/>
    <x v="0"/>
    <s v="NEW"/>
    <s v="Single"/>
    <s v="DESK"/>
    <s v="COMPLETED"/>
    <n v="120"/>
    <m/>
    <x v="0"/>
  </r>
  <r>
    <s v="T00830"/>
    <x v="12"/>
    <x v="3"/>
    <s v="A046"/>
    <x v="0"/>
    <s v="NEW"/>
    <s v="Single"/>
    <s v="ONLINE"/>
    <s v="COMPLETED"/>
    <n v="120"/>
    <m/>
    <x v="0"/>
  </r>
  <r>
    <s v="T00831"/>
    <x v="12"/>
    <x v="3"/>
    <s v="A046"/>
    <x v="0"/>
    <s v="NEW"/>
    <s v="Duo"/>
    <s v="DESK"/>
    <s v="COMPLETED"/>
    <n v="200"/>
    <m/>
    <x v="0"/>
  </r>
  <r>
    <s v="T00832"/>
    <x v="12"/>
    <x v="3"/>
    <s v="A046"/>
    <x v="0"/>
    <s v="RENEWAL"/>
    <s v="Single"/>
    <s v="DESK"/>
    <s v="COMPLETED"/>
    <n v="120"/>
    <m/>
    <x v="0"/>
  </r>
  <r>
    <s v="T02088"/>
    <x v="12"/>
    <x v="3"/>
    <s v="A043"/>
    <x v="1"/>
    <s v="RENEWAL"/>
    <s v="Single"/>
    <s v="DESK"/>
    <s v="COMPLETED"/>
    <n v="102"/>
    <s v="T00438"/>
    <x v="1"/>
  </r>
  <r>
    <s v="T02092"/>
    <x v="12"/>
    <x v="1"/>
    <s v="A022"/>
    <x v="1"/>
    <s v="NEW"/>
    <s v="Circle"/>
    <s v="DESK"/>
    <s v="COMPLETED"/>
    <n v="300"/>
    <s v="T00602"/>
    <x v="0"/>
  </r>
  <r>
    <s v="T02112"/>
    <x v="12"/>
    <x v="1"/>
    <s v="A014"/>
    <x v="1"/>
    <s v="NEW"/>
    <s v="Circle"/>
    <s v="DESK"/>
    <s v="COMPLETED"/>
    <n v="300"/>
    <s v="T00653"/>
    <x v="0"/>
  </r>
  <r>
    <s v="T02113"/>
    <x v="12"/>
    <x v="2"/>
    <s v="A029"/>
    <x v="1"/>
    <s v="NEW"/>
    <s v="Single"/>
    <s v="DESK"/>
    <s v="COMPLETED"/>
    <n v="120"/>
    <s v="T00350"/>
    <x v="0"/>
  </r>
  <r>
    <s v="T00833"/>
    <x v="13"/>
    <x v="0"/>
    <s v="A007"/>
    <x v="0"/>
    <s v="NEW"/>
    <s v="Duo"/>
    <s v="DESK"/>
    <s v="COMPLETED"/>
    <n v="200"/>
    <m/>
    <x v="0"/>
  </r>
  <r>
    <s v="T00834"/>
    <x v="13"/>
    <x v="0"/>
    <s v="A001"/>
    <x v="0"/>
    <s v="RENEWAL"/>
    <s v="Duo"/>
    <s v="DESK"/>
    <s v="COMPLETED"/>
    <n v="170"/>
    <m/>
    <x v="1"/>
  </r>
  <r>
    <s v="T00835"/>
    <x v="13"/>
    <x v="0"/>
    <s v="A003"/>
    <x v="0"/>
    <s v="NEW"/>
    <s v="Single"/>
    <s v="DESK"/>
    <s v="COMPLETED"/>
    <n v="120"/>
    <m/>
    <x v="0"/>
  </r>
  <r>
    <s v="T00836"/>
    <x v="13"/>
    <x v="0"/>
    <s v="A006"/>
    <x v="0"/>
    <s v="NEW"/>
    <s v="Duo"/>
    <s v="DESK"/>
    <s v="COMPLETED"/>
    <n v="200"/>
    <m/>
    <x v="0"/>
  </r>
  <r>
    <s v="T00837"/>
    <x v="13"/>
    <x v="0"/>
    <s v="A002"/>
    <x v="0"/>
    <s v="NEW"/>
    <s v="Circle"/>
    <s v="DESK"/>
    <s v="COMPLETED"/>
    <n v="300"/>
    <m/>
    <x v="0"/>
  </r>
  <r>
    <s v="T00838"/>
    <x v="13"/>
    <x v="0"/>
    <s v="A005"/>
    <x v="0"/>
    <s v="NEW"/>
    <s v="Duo"/>
    <s v="DESK"/>
    <s v="COMPLETED"/>
    <n v="200"/>
    <m/>
    <x v="0"/>
  </r>
  <r>
    <s v="T00839"/>
    <x v="13"/>
    <x v="0"/>
    <s v="A006"/>
    <x v="0"/>
    <s v="NEW"/>
    <s v="Circle"/>
    <s v="DESK"/>
    <s v="COMPLETED"/>
    <n v="300"/>
    <m/>
    <x v="0"/>
  </r>
  <r>
    <s v="T00840"/>
    <x v="13"/>
    <x v="0"/>
    <s v="A012"/>
    <x v="0"/>
    <s v="NEW"/>
    <s v="Circle"/>
    <s v="ONLINE"/>
    <s v="COMPLETED"/>
    <n v="300"/>
    <m/>
    <x v="0"/>
  </r>
  <r>
    <s v="T00841"/>
    <x v="13"/>
    <x v="0"/>
    <s v="A005"/>
    <x v="0"/>
    <s v="NEW"/>
    <s v="Single"/>
    <s v="ONLINE"/>
    <s v="COMPLETED"/>
    <n v="120"/>
    <m/>
    <x v="0"/>
  </r>
  <r>
    <s v="T00842"/>
    <x v="13"/>
    <x v="0"/>
    <s v="A004"/>
    <x v="0"/>
    <s v="NEW"/>
    <s v="Circle"/>
    <s v="DESK"/>
    <s v="COMPLETED"/>
    <n v="300"/>
    <m/>
    <x v="0"/>
  </r>
  <r>
    <s v="T00843"/>
    <x v="13"/>
    <x v="0"/>
    <s v="A007"/>
    <x v="0"/>
    <s v="RENEWAL"/>
    <s v="Circle"/>
    <s v="DESK"/>
    <s v="COMPLETED"/>
    <n v="300"/>
    <m/>
    <x v="0"/>
  </r>
  <r>
    <s v="T00844"/>
    <x v="13"/>
    <x v="0"/>
    <s v="A008"/>
    <x v="0"/>
    <s v="NEW"/>
    <s v="Single"/>
    <s v="DESK"/>
    <s v="PENDING"/>
    <n v="120"/>
    <m/>
    <x v="0"/>
  </r>
  <r>
    <s v="T00845"/>
    <x v="13"/>
    <x v="0"/>
    <s v="A001"/>
    <x v="0"/>
    <s v="NEW"/>
    <s v="Circle"/>
    <s v="DESK"/>
    <s v="COMPLETED"/>
    <n v="300"/>
    <m/>
    <x v="0"/>
  </r>
  <r>
    <s v="T00846"/>
    <x v="13"/>
    <x v="1"/>
    <s v="A014"/>
    <x v="0"/>
    <s v="NEW"/>
    <s v="Single"/>
    <s v="DESK"/>
    <s v="COMPLETED"/>
    <n v="120"/>
    <m/>
    <x v="0"/>
  </r>
  <r>
    <s v="T00847"/>
    <x v="13"/>
    <x v="1"/>
    <s v="A015"/>
    <x v="0"/>
    <s v="RENEWAL"/>
    <s v="Single"/>
    <s v="DESK"/>
    <s v="COMPLETED"/>
    <n v="102"/>
    <m/>
    <x v="1"/>
  </r>
  <r>
    <s v="T00848"/>
    <x v="13"/>
    <x v="1"/>
    <s v="A021"/>
    <x v="0"/>
    <s v="RENEWAL"/>
    <s v="Circle"/>
    <s v="DESK"/>
    <s v="PENDING"/>
    <n v="300"/>
    <m/>
    <x v="0"/>
  </r>
  <r>
    <s v="T00849"/>
    <x v="13"/>
    <x v="1"/>
    <s v="A019"/>
    <x v="0"/>
    <s v="NEW"/>
    <s v="Circle"/>
    <s v="DESK"/>
    <s v="PENDING"/>
    <n v="300"/>
    <m/>
    <x v="0"/>
  </r>
  <r>
    <s v="T00850"/>
    <x v="13"/>
    <x v="1"/>
    <s v="A013"/>
    <x v="0"/>
    <s v="NEW"/>
    <s v="Duo"/>
    <s v="ONLINE"/>
    <s v="COMPLETED"/>
    <n v="200"/>
    <m/>
    <x v="0"/>
  </r>
  <r>
    <s v="T00851"/>
    <x v="13"/>
    <x v="1"/>
    <s v="A019"/>
    <x v="0"/>
    <s v="RENEWAL"/>
    <s v="Duo"/>
    <s v="DESK"/>
    <s v="COMPLETED"/>
    <n v="200"/>
    <m/>
    <x v="0"/>
  </r>
  <r>
    <s v="T00852"/>
    <x v="13"/>
    <x v="1"/>
    <s v="A013"/>
    <x v="0"/>
    <s v="NEW"/>
    <s v="Single"/>
    <s v="DESK"/>
    <s v="COMPLETED"/>
    <n v="120"/>
    <m/>
    <x v="0"/>
  </r>
  <r>
    <s v="T00853"/>
    <x v="13"/>
    <x v="1"/>
    <s v="A018"/>
    <x v="0"/>
    <s v="NEW"/>
    <s v="Circle"/>
    <s v="DESK"/>
    <s v="COMPLETED"/>
    <n v="300"/>
    <m/>
    <x v="0"/>
  </r>
  <r>
    <s v="T00854"/>
    <x v="13"/>
    <x v="1"/>
    <s v="A024"/>
    <x v="0"/>
    <s v="NEW"/>
    <s v="Single"/>
    <s v="DESK"/>
    <s v="COMPLETED"/>
    <n v="120"/>
    <m/>
    <x v="0"/>
  </r>
  <r>
    <s v="T00855"/>
    <x v="13"/>
    <x v="1"/>
    <s v="A021"/>
    <x v="0"/>
    <s v="NEW"/>
    <s v="Circle"/>
    <s v="DESK"/>
    <s v="COMPLETED"/>
    <n v="300"/>
    <m/>
    <x v="0"/>
  </r>
  <r>
    <s v="T00856"/>
    <x v="13"/>
    <x v="1"/>
    <s v="A019"/>
    <x v="0"/>
    <s v="NEW"/>
    <s v="Duo"/>
    <s v="DESK"/>
    <s v="COMPLETED"/>
    <n v="200"/>
    <m/>
    <x v="0"/>
  </r>
  <r>
    <s v="T00857"/>
    <x v="13"/>
    <x v="1"/>
    <s v="A013"/>
    <x v="0"/>
    <s v="NEW"/>
    <s v="Duo"/>
    <s v="DESK"/>
    <s v="COMPLETED"/>
    <n v="200"/>
    <m/>
    <x v="0"/>
  </r>
  <r>
    <s v="T00858"/>
    <x v="13"/>
    <x v="1"/>
    <s v="A016"/>
    <x v="0"/>
    <s v="NEW"/>
    <s v="Single"/>
    <s v="DESK"/>
    <s v="COMPLETED"/>
    <n v="120"/>
    <m/>
    <x v="0"/>
  </r>
  <r>
    <s v="T00859"/>
    <x v="13"/>
    <x v="1"/>
    <s v="A020"/>
    <x v="0"/>
    <s v="NEW"/>
    <s v="Circle"/>
    <s v="ONLINE"/>
    <s v="COMPLETED"/>
    <n v="300"/>
    <m/>
    <x v="0"/>
  </r>
  <r>
    <s v="T00860"/>
    <x v="13"/>
    <x v="1"/>
    <s v="A015"/>
    <x v="0"/>
    <s v="NEW"/>
    <s v="Circle"/>
    <s v="DESK"/>
    <s v="COMPLETED"/>
    <n v="300"/>
    <m/>
    <x v="0"/>
  </r>
  <r>
    <s v="T00861"/>
    <x v="13"/>
    <x v="1"/>
    <s v="A018"/>
    <x v="0"/>
    <s v="RENEWAL"/>
    <s v="Duo"/>
    <s v="DESK"/>
    <s v="COMPLETED"/>
    <n v="170"/>
    <m/>
    <x v="1"/>
  </r>
  <r>
    <s v="T00862"/>
    <x v="13"/>
    <x v="2"/>
    <s v="A029"/>
    <x v="0"/>
    <s v="NEW"/>
    <s v="Circle"/>
    <s v="DESK"/>
    <s v="COMPLETED"/>
    <n v="300"/>
    <m/>
    <x v="0"/>
  </r>
  <r>
    <s v="T00863"/>
    <x v="13"/>
    <x v="2"/>
    <s v="A027"/>
    <x v="0"/>
    <s v="NEW"/>
    <s v="Circle"/>
    <s v="DESK"/>
    <s v="COMPLETED"/>
    <n v="255"/>
    <m/>
    <x v="1"/>
  </r>
  <r>
    <s v="T00864"/>
    <x v="13"/>
    <x v="2"/>
    <s v="A032"/>
    <x v="0"/>
    <s v="NEW"/>
    <s v="Duo"/>
    <s v="DESK"/>
    <s v="COMPLETED"/>
    <n v="200"/>
    <m/>
    <x v="0"/>
  </r>
  <r>
    <s v="T00865"/>
    <x v="13"/>
    <x v="2"/>
    <s v="A027"/>
    <x v="0"/>
    <s v="NEW"/>
    <s v="Duo"/>
    <s v="DESK"/>
    <s v="COMPLETED"/>
    <n v="200"/>
    <m/>
    <x v="0"/>
  </r>
  <r>
    <s v="T00866"/>
    <x v="13"/>
    <x v="2"/>
    <s v="A028"/>
    <x v="0"/>
    <s v="NEW"/>
    <s v="Duo"/>
    <s v="DESK"/>
    <s v="COMPLETED"/>
    <n v="200"/>
    <m/>
    <x v="0"/>
  </r>
  <r>
    <s v="T00867"/>
    <x v="13"/>
    <x v="2"/>
    <s v="A032"/>
    <x v="0"/>
    <s v="NEW"/>
    <s v="Circle"/>
    <s v="DESK"/>
    <s v="COMPLETED"/>
    <n v="300"/>
    <m/>
    <x v="0"/>
  </r>
  <r>
    <s v="T00868"/>
    <x v="13"/>
    <x v="2"/>
    <s v="A032"/>
    <x v="0"/>
    <s v="NEW"/>
    <s v="Single"/>
    <s v="DESK"/>
    <s v="COMPLETED"/>
    <n v="120"/>
    <m/>
    <x v="0"/>
  </r>
  <r>
    <s v="T00869"/>
    <x v="13"/>
    <x v="2"/>
    <s v="A034"/>
    <x v="0"/>
    <s v="NEW"/>
    <s v="Circle"/>
    <s v="DESK"/>
    <s v="COMPLETED"/>
    <n v="225"/>
    <m/>
    <x v="1"/>
  </r>
  <r>
    <s v="T00870"/>
    <x v="13"/>
    <x v="2"/>
    <s v="A030"/>
    <x v="0"/>
    <s v="NEW"/>
    <s v="Single"/>
    <s v="DESK"/>
    <s v="COMPLETED"/>
    <n v="102"/>
    <m/>
    <x v="1"/>
  </r>
  <r>
    <s v="T00871"/>
    <x v="13"/>
    <x v="2"/>
    <s v="A029"/>
    <x v="0"/>
    <s v="NEW"/>
    <s v="Single"/>
    <s v="DESK"/>
    <s v="COMPLETED"/>
    <n v="120"/>
    <m/>
    <x v="0"/>
  </r>
  <r>
    <s v="T00872"/>
    <x v="13"/>
    <x v="2"/>
    <s v="A029"/>
    <x v="0"/>
    <s v="RENEWAL"/>
    <s v="Single"/>
    <s v="DESK"/>
    <s v="PENDING"/>
    <n v="120"/>
    <m/>
    <x v="0"/>
  </r>
  <r>
    <s v="T00873"/>
    <x v="13"/>
    <x v="2"/>
    <s v="A036"/>
    <x v="0"/>
    <s v="RENEWAL"/>
    <s v="Circle"/>
    <s v="DESK"/>
    <s v="COMPLETED"/>
    <n v="255"/>
    <m/>
    <x v="1"/>
  </r>
  <r>
    <s v="T00874"/>
    <x v="13"/>
    <x v="2"/>
    <s v="A031"/>
    <x v="0"/>
    <s v="NEW"/>
    <s v="Circle"/>
    <s v="DESK"/>
    <s v="COMPLETED"/>
    <n v="300"/>
    <m/>
    <x v="0"/>
  </r>
  <r>
    <s v="T00875"/>
    <x v="13"/>
    <x v="2"/>
    <s v="A032"/>
    <x v="0"/>
    <s v="RENEWAL"/>
    <s v="Duo"/>
    <s v="DESK"/>
    <s v="COMPLETED"/>
    <n v="200"/>
    <m/>
    <x v="0"/>
  </r>
  <r>
    <s v="T00876"/>
    <x v="13"/>
    <x v="2"/>
    <s v="A031"/>
    <x v="0"/>
    <s v="NEW"/>
    <s v="Circle"/>
    <s v="DESK"/>
    <s v="COMPLETED"/>
    <n v="300"/>
    <m/>
    <x v="0"/>
  </r>
  <r>
    <s v="T00877"/>
    <x v="13"/>
    <x v="2"/>
    <s v="A031"/>
    <x v="0"/>
    <s v="NEW"/>
    <s v="Single"/>
    <s v="DESK"/>
    <s v="COMPLETED"/>
    <n v="120"/>
    <m/>
    <x v="0"/>
  </r>
  <r>
    <s v="T00878"/>
    <x v="13"/>
    <x v="2"/>
    <s v="A032"/>
    <x v="0"/>
    <s v="NEW"/>
    <s v="Circle"/>
    <s v="DESK"/>
    <s v="COMPLETED"/>
    <n v="225"/>
    <m/>
    <x v="1"/>
  </r>
  <r>
    <s v="T00879"/>
    <x v="13"/>
    <x v="2"/>
    <s v="A033"/>
    <x v="0"/>
    <s v="NEW"/>
    <s v="Single"/>
    <s v="DESK"/>
    <s v="COMPLETED"/>
    <n v="120"/>
    <m/>
    <x v="0"/>
  </r>
  <r>
    <s v="T00880"/>
    <x v="13"/>
    <x v="3"/>
    <s v="A043"/>
    <x v="0"/>
    <s v="NEW"/>
    <s v="Circle"/>
    <s v="DESK"/>
    <s v="COMPLETED"/>
    <n v="300"/>
    <m/>
    <x v="0"/>
  </r>
  <r>
    <s v="T00881"/>
    <x v="13"/>
    <x v="3"/>
    <s v="A048"/>
    <x v="0"/>
    <s v="NEW"/>
    <s v="Single"/>
    <s v="DESK"/>
    <s v="COMPLETED"/>
    <n v="120"/>
    <m/>
    <x v="0"/>
  </r>
  <r>
    <s v="T00882"/>
    <x v="13"/>
    <x v="3"/>
    <s v="A040"/>
    <x v="0"/>
    <s v="NEW"/>
    <s v="Duo"/>
    <s v="DESK"/>
    <s v="COMPLETED"/>
    <n v="200"/>
    <m/>
    <x v="0"/>
  </r>
  <r>
    <s v="T00883"/>
    <x v="13"/>
    <x v="3"/>
    <s v="A047"/>
    <x v="0"/>
    <s v="NEW"/>
    <s v="Single"/>
    <s v="DESK"/>
    <s v="COMPLETED"/>
    <n v="120"/>
    <m/>
    <x v="0"/>
  </r>
  <r>
    <s v="T00884"/>
    <x v="13"/>
    <x v="3"/>
    <s v="A042"/>
    <x v="0"/>
    <s v="NEW"/>
    <s v="Single"/>
    <s v="DESK"/>
    <s v="COMPLETED"/>
    <n v="120"/>
    <m/>
    <x v="0"/>
  </r>
  <r>
    <s v="T00885"/>
    <x v="13"/>
    <x v="3"/>
    <s v="A044"/>
    <x v="0"/>
    <s v="RENEWAL"/>
    <s v="Single"/>
    <s v="DESK"/>
    <s v="COMPLETED"/>
    <n v="120"/>
    <m/>
    <x v="0"/>
  </r>
  <r>
    <s v="T00886"/>
    <x v="13"/>
    <x v="3"/>
    <s v="A044"/>
    <x v="0"/>
    <s v="NEW"/>
    <s v="Circle"/>
    <s v="DESK"/>
    <s v="COMPLETED"/>
    <n v="300"/>
    <m/>
    <x v="0"/>
  </r>
  <r>
    <s v="T00887"/>
    <x v="13"/>
    <x v="3"/>
    <s v="A042"/>
    <x v="0"/>
    <s v="RENEWAL"/>
    <s v="Circle"/>
    <s v="DESK"/>
    <s v="COMPLETED"/>
    <n v="300"/>
    <m/>
    <x v="0"/>
  </r>
  <r>
    <s v="T00888"/>
    <x v="13"/>
    <x v="3"/>
    <s v="A041"/>
    <x v="0"/>
    <s v="NEW"/>
    <s v="Circle"/>
    <s v="DESK"/>
    <s v="COMPLETED"/>
    <n v="300"/>
    <m/>
    <x v="0"/>
  </r>
  <r>
    <s v="T00889"/>
    <x v="13"/>
    <x v="3"/>
    <s v="A047"/>
    <x v="0"/>
    <s v="NEW"/>
    <s v="Single"/>
    <s v="DESK"/>
    <s v="COMPLETED"/>
    <n v="120"/>
    <m/>
    <x v="0"/>
  </r>
  <r>
    <s v="T00890"/>
    <x v="13"/>
    <x v="3"/>
    <s v="A042"/>
    <x v="0"/>
    <s v="NEW"/>
    <s v="Duo"/>
    <s v="DESK"/>
    <s v="COMPLETED"/>
    <n v="200"/>
    <m/>
    <x v="0"/>
  </r>
  <r>
    <s v="T00891"/>
    <x v="13"/>
    <x v="3"/>
    <s v="A038"/>
    <x v="0"/>
    <s v="NEW"/>
    <s v="Single"/>
    <s v="DESK"/>
    <s v="COMPLETED"/>
    <n v="90"/>
    <m/>
    <x v="1"/>
  </r>
  <r>
    <s v="T00892"/>
    <x v="13"/>
    <x v="3"/>
    <s v="A047"/>
    <x v="0"/>
    <s v="NEW"/>
    <s v="Duo"/>
    <s v="DESK"/>
    <s v="COMPLETED"/>
    <n v="200"/>
    <m/>
    <x v="0"/>
  </r>
  <r>
    <s v="T00893"/>
    <x v="13"/>
    <x v="3"/>
    <s v="A042"/>
    <x v="0"/>
    <s v="NEW"/>
    <s v="Duo"/>
    <s v="DESK"/>
    <s v="COMPLETED"/>
    <n v="200"/>
    <m/>
    <x v="0"/>
  </r>
  <r>
    <s v="T00894"/>
    <x v="13"/>
    <x v="3"/>
    <s v="A041"/>
    <x v="0"/>
    <s v="NEW"/>
    <s v="Single"/>
    <s v="DESK"/>
    <s v="COMPLETED"/>
    <n v="120"/>
    <m/>
    <x v="0"/>
  </r>
  <r>
    <s v="T00895"/>
    <x v="13"/>
    <x v="3"/>
    <s v="A037"/>
    <x v="0"/>
    <s v="RENEWAL"/>
    <s v="Single"/>
    <s v="DESK"/>
    <s v="COMPLETED"/>
    <n v="120"/>
    <m/>
    <x v="0"/>
  </r>
  <r>
    <s v="T00896"/>
    <x v="13"/>
    <x v="3"/>
    <s v="A040"/>
    <x v="0"/>
    <s v="NEW"/>
    <s v="Duo"/>
    <s v="DESK"/>
    <s v="COMPLETED"/>
    <n v="200"/>
    <m/>
    <x v="0"/>
  </r>
  <r>
    <s v="T00897"/>
    <x v="13"/>
    <x v="3"/>
    <s v="A043"/>
    <x v="0"/>
    <s v="NEW"/>
    <s v="Circle"/>
    <s v="DESK"/>
    <s v="COMPLETED"/>
    <n v="300"/>
    <m/>
    <x v="0"/>
  </r>
  <r>
    <s v="T00898"/>
    <x v="13"/>
    <x v="3"/>
    <s v="A038"/>
    <x v="0"/>
    <s v="NEW"/>
    <s v="Duo"/>
    <s v="DESK"/>
    <s v="COMPLETED"/>
    <n v="200"/>
    <m/>
    <x v="0"/>
  </r>
  <r>
    <s v="T00899"/>
    <x v="14"/>
    <x v="0"/>
    <s v="A003"/>
    <x v="0"/>
    <s v="NEW"/>
    <s v="Circle"/>
    <s v="DESK"/>
    <s v="COMPLETED"/>
    <n v="300"/>
    <m/>
    <x v="0"/>
  </r>
  <r>
    <s v="T00900"/>
    <x v="14"/>
    <x v="0"/>
    <s v="A012"/>
    <x v="0"/>
    <s v="NEW"/>
    <s v="Circle"/>
    <s v="DESK"/>
    <s v="COMPLETED"/>
    <n v="300"/>
    <m/>
    <x v="0"/>
  </r>
  <r>
    <s v="T00901"/>
    <x v="14"/>
    <x v="0"/>
    <s v="A010"/>
    <x v="0"/>
    <s v="NEW"/>
    <s v="Circle"/>
    <s v="DESK"/>
    <s v="COMPLETED"/>
    <n v="300"/>
    <m/>
    <x v="0"/>
  </r>
  <r>
    <s v="T00902"/>
    <x v="14"/>
    <x v="0"/>
    <s v="A001"/>
    <x v="0"/>
    <s v="NEW"/>
    <s v="Single"/>
    <s v="DESK"/>
    <s v="COMPLETED"/>
    <n v="120"/>
    <m/>
    <x v="0"/>
  </r>
  <r>
    <s v="T00903"/>
    <x v="14"/>
    <x v="0"/>
    <s v="A010"/>
    <x v="0"/>
    <s v="NEW"/>
    <s v="Single"/>
    <s v="DESK"/>
    <s v="PENDING"/>
    <n v="120"/>
    <m/>
    <x v="0"/>
  </r>
  <r>
    <s v="T00904"/>
    <x v="14"/>
    <x v="0"/>
    <s v="A003"/>
    <x v="0"/>
    <s v="NEW"/>
    <s v="Single"/>
    <s v="DESK"/>
    <s v="COMPLETED"/>
    <n v="120"/>
    <m/>
    <x v="0"/>
  </r>
  <r>
    <s v="T00905"/>
    <x v="14"/>
    <x v="0"/>
    <s v="A005"/>
    <x v="0"/>
    <s v="NEW"/>
    <s v="Duo"/>
    <s v="DESK"/>
    <s v="COMPLETED"/>
    <n v="200"/>
    <m/>
    <x v="0"/>
  </r>
  <r>
    <s v="T00906"/>
    <x v="14"/>
    <x v="0"/>
    <s v="A010"/>
    <x v="0"/>
    <s v="NEW"/>
    <s v="Circle"/>
    <s v="DESK"/>
    <s v="COMPLETED"/>
    <n v="300"/>
    <m/>
    <x v="0"/>
  </r>
  <r>
    <s v="T00907"/>
    <x v="14"/>
    <x v="0"/>
    <s v="A009"/>
    <x v="0"/>
    <s v="NEW"/>
    <s v="Duo"/>
    <s v="ONLINE"/>
    <s v="COMPLETED"/>
    <n v="170"/>
    <m/>
    <x v="1"/>
  </r>
  <r>
    <s v="T00908"/>
    <x v="14"/>
    <x v="0"/>
    <s v="A004"/>
    <x v="0"/>
    <s v="NEW"/>
    <s v="Circle"/>
    <s v="DESK"/>
    <s v="COMPLETED"/>
    <n v="300"/>
    <m/>
    <x v="0"/>
  </r>
  <r>
    <s v="T00909"/>
    <x v="14"/>
    <x v="0"/>
    <s v="A005"/>
    <x v="0"/>
    <s v="RENEWAL"/>
    <s v="Single"/>
    <s v="DESK"/>
    <s v="COMPLETED"/>
    <n v="90"/>
    <m/>
    <x v="1"/>
  </r>
  <r>
    <s v="T00910"/>
    <x v="14"/>
    <x v="0"/>
    <s v="A004"/>
    <x v="0"/>
    <s v="NEW"/>
    <s v="Single"/>
    <s v="DESK"/>
    <s v="COMPLETED"/>
    <n v="120"/>
    <m/>
    <x v="0"/>
  </r>
  <r>
    <s v="T00911"/>
    <x v="14"/>
    <x v="0"/>
    <s v="A012"/>
    <x v="0"/>
    <s v="NEW"/>
    <s v="Circle"/>
    <s v="DESK"/>
    <s v="COMPLETED"/>
    <n v="300"/>
    <m/>
    <x v="0"/>
  </r>
  <r>
    <s v="T00912"/>
    <x v="14"/>
    <x v="0"/>
    <s v="A006"/>
    <x v="0"/>
    <s v="NEW"/>
    <s v="Duo"/>
    <s v="DESK"/>
    <s v="COMPLETED"/>
    <n v="200"/>
    <m/>
    <x v="0"/>
  </r>
  <r>
    <s v="T00913"/>
    <x v="14"/>
    <x v="0"/>
    <s v="A008"/>
    <x v="0"/>
    <s v="NEW"/>
    <s v="Single"/>
    <s v="DESK"/>
    <s v="COMPLETED"/>
    <n v="120"/>
    <m/>
    <x v="0"/>
  </r>
  <r>
    <s v="T00914"/>
    <x v="14"/>
    <x v="0"/>
    <s v="A010"/>
    <x v="0"/>
    <s v="NEW"/>
    <s v="Single"/>
    <s v="DESK"/>
    <s v="COMPLETED"/>
    <n v="102"/>
    <m/>
    <x v="1"/>
  </r>
  <r>
    <s v="T00915"/>
    <x v="14"/>
    <x v="1"/>
    <s v="A023"/>
    <x v="0"/>
    <s v="NEW"/>
    <s v="Duo"/>
    <s v="DESK"/>
    <s v="COMPLETED"/>
    <n v="170"/>
    <m/>
    <x v="1"/>
  </r>
  <r>
    <s v="T00916"/>
    <x v="14"/>
    <x v="1"/>
    <s v="A018"/>
    <x v="0"/>
    <s v="NEW"/>
    <s v="Single"/>
    <s v="DESK"/>
    <s v="COMPLETED"/>
    <n v="120"/>
    <m/>
    <x v="0"/>
  </r>
  <r>
    <s v="T00917"/>
    <x v="14"/>
    <x v="1"/>
    <s v="A013"/>
    <x v="0"/>
    <s v="NEW"/>
    <s v="Circle"/>
    <s v="DESK"/>
    <s v="PENDING"/>
    <n v="300"/>
    <m/>
    <x v="0"/>
  </r>
  <r>
    <s v="T00918"/>
    <x v="14"/>
    <x v="1"/>
    <s v="A019"/>
    <x v="0"/>
    <s v="RENEWAL"/>
    <s v="Single"/>
    <s v="DESK"/>
    <s v="COMPLETED"/>
    <n v="120"/>
    <m/>
    <x v="0"/>
  </r>
  <r>
    <s v="T00919"/>
    <x v="14"/>
    <x v="1"/>
    <s v="A013"/>
    <x v="0"/>
    <s v="NEW"/>
    <s v="Single"/>
    <s v="DESK"/>
    <s v="COMPLETED"/>
    <n v="120"/>
    <m/>
    <x v="0"/>
  </r>
  <r>
    <s v="T00920"/>
    <x v="14"/>
    <x v="1"/>
    <s v="A021"/>
    <x v="0"/>
    <s v="NEW"/>
    <s v="Circle"/>
    <s v="DESK"/>
    <s v="COMPLETED"/>
    <n v="300"/>
    <m/>
    <x v="0"/>
  </r>
  <r>
    <s v="T00921"/>
    <x v="14"/>
    <x v="1"/>
    <s v="A024"/>
    <x v="0"/>
    <s v="NEW"/>
    <s v="Duo"/>
    <s v="DESK"/>
    <s v="COMPLETED"/>
    <n v="170"/>
    <m/>
    <x v="1"/>
  </r>
  <r>
    <s v="T00922"/>
    <x v="14"/>
    <x v="1"/>
    <s v="A022"/>
    <x v="0"/>
    <s v="NEW"/>
    <s v="Duo"/>
    <s v="DESK"/>
    <s v="VOID"/>
    <n v="150"/>
    <m/>
    <x v="1"/>
  </r>
  <r>
    <s v="T00923"/>
    <x v="14"/>
    <x v="1"/>
    <s v="A022"/>
    <x v="0"/>
    <s v="NEW"/>
    <s v="Circle"/>
    <s v="DESK"/>
    <s v="VOID"/>
    <n v="300"/>
    <m/>
    <x v="0"/>
  </r>
  <r>
    <s v="T00924"/>
    <x v="14"/>
    <x v="1"/>
    <s v="A016"/>
    <x v="0"/>
    <s v="NEW"/>
    <s v="Duo"/>
    <s v="DESK"/>
    <s v="COMPLETED"/>
    <n v="200"/>
    <m/>
    <x v="0"/>
  </r>
  <r>
    <s v="T00925"/>
    <x v="14"/>
    <x v="1"/>
    <s v="A017"/>
    <x v="0"/>
    <s v="NEW"/>
    <s v="Circle"/>
    <s v="DESK"/>
    <s v="COMPLETED"/>
    <n v="300"/>
    <m/>
    <x v="0"/>
  </r>
  <r>
    <s v="T00926"/>
    <x v="14"/>
    <x v="1"/>
    <s v="A023"/>
    <x v="0"/>
    <s v="NEW"/>
    <s v="Circle"/>
    <s v="DESK"/>
    <s v="COMPLETED"/>
    <n v="300"/>
    <m/>
    <x v="0"/>
  </r>
  <r>
    <s v="T00927"/>
    <x v="14"/>
    <x v="1"/>
    <s v="A016"/>
    <x v="0"/>
    <s v="NEW"/>
    <s v="Duo"/>
    <s v="DESK"/>
    <s v="COMPLETED"/>
    <n v="200"/>
    <m/>
    <x v="0"/>
  </r>
  <r>
    <s v="T00928"/>
    <x v="14"/>
    <x v="1"/>
    <s v="A017"/>
    <x v="0"/>
    <s v="NEW"/>
    <s v="Circle"/>
    <s v="ONLINE"/>
    <s v="COMPLETED"/>
    <n v="225"/>
    <m/>
    <x v="1"/>
  </r>
  <r>
    <s v="T00929"/>
    <x v="14"/>
    <x v="1"/>
    <s v="A014"/>
    <x v="0"/>
    <s v="RENEWAL"/>
    <s v="Duo"/>
    <s v="DESK"/>
    <s v="COMPLETED"/>
    <n v="200"/>
    <m/>
    <x v="0"/>
  </r>
  <r>
    <s v="T00930"/>
    <x v="14"/>
    <x v="1"/>
    <s v="A014"/>
    <x v="0"/>
    <s v="NEW"/>
    <s v="Duo"/>
    <s v="DESK"/>
    <s v="COMPLETED"/>
    <n v="170"/>
    <m/>
    <x v="1"/>
  </r>
  <r>
    <s v="T00931"/>
    <x v="14"/>
    <x v="2"/>
    <s v="A028"/>
    <x v="0"/>
    <s v="NEW"/>
    <s v="Circle"/>
    <s v="ONLINE"/>
    <s v="COMPLETED"/>
    <n v="300"/>
    <m/>
    <x v="0"/>
  </r>
  <r>
    <s v="T00932"/>
    <x v="14"/>
    <x v="2"/>
    <s v="A035"/>
    <x v="0"/>
    <s v="NEW"/>
    <s v="Circle"/>
    <s v="DESK"/>
    <s v="COMPLETED"/>
    <n v="300"/>
    <m/>
    <x v="0"/>
  </r>
  <r>
    <s v="T00933"/>
    <x v="14"/>
    <x v="2"/>
    <s v="A036"/>
    <x v="0"/>
    <s v="NEW"/>
    <s v="Single"/>
    <s v="ONLINE"/>
    <s v="COMPLETED"/>
    <n v="120"/>
    <m/>
    <x v="0"/>
  </r>
  <r>
    <s v="T00934"/>
    <x v="14"/>
    <x v="2"/>
    <s v="A032"/>
    <x v="0"/>
    <s v="NEW"/>
    <s v="Single"/>
    <s v="DESK"/>
    <s v="COMPLETED"/>
    <n v="102"/>
    <m/>
    <x v="1"/>
  </r>
  <r>
    <s v="T00935"/>
    <x v="14"/>
    <x v="2"/>
    <s v="A027"/>
    <x v="0"/>
    <s v="NEW"/>
    <s v="Duo"/>
    <s v="DESK"/>
    <s v="COMPLETED"/>
    <n v="170"/>
    <m/>
    <x v="1"/>
  </r>
  <r>
    <s v="T00936"/>
    <x v="14"/>
    <x v="2"/>
    <s v="A032"/>
    <x v="0"/>
    <s v="RENEWAL"/>
    <s v="Circle"/>
    <s v="DESK"/>
    <s v="COMPLETED"/>
    <n v="300"/>
    <m/>
    <x v="0"/>
  </r>
  <r>
    <s v="T00937"/>
    <x v="14"/>
    <x v="2"/>
    <s v="A034"/>
    <x v="0"/>
    <s v="NEW"/>
    <s v="Duo"/>
    <s v="ONLINE"/>
    <s v="VOID"/>
    <n v="200"/>
    <m/>
    <x v="0"/>
  </r>
  <r>
    <s v="T00938"/>
    <x v="14"/>
    <x v="2"/>
    <s v="A030"/>
    <x v="0"/>
    <s v="NEW"/>
    <s v="Single"/>
    <s v="DESK"/>
    <s v="COMPLETED"/>
    <n v="120"/>
    <m/>
    <x v="0"/>
  </r>
  <r>
    <s v="T00939"/>
    <x v="14"/>
    <x v="2"/>
    <s v="A036"/>
    <x v="0"/>
    <s v="NEW"/>
    <s v="Single"/>
    <s v="DESK"/>
    <s v="COMPLETED"/>
    <n v="120"/>
    <m/>
    <x v="0"/>
  </r>
  <r>
    <s v="T00940"/>
    <x v="14"/>
    <x v="2"/>
    <s v="A030"/>
    <x v="0"/>
    <s v="RENEWAL"/>
    <s v="Duo"/>
    <s v="DESK"/>
    <s v="COMPLETED"/>
    <n v="200"/>
    <m/>
    <x v="0"/>
  </r>
  <r>
    <s v="T00941"/>
    <x v="14"/>
    <x v="2"/>
    <s v="A027"/>
    <x v="0"/>
    <s v="NEW"/>
    <s v="Circle"/>
    <s v="DESK"/>
    <s v="COMPLETED"/>
    <n v="300"/>
    <m/>
    <x v="0"/>
  </r>
  <r>
    <s v="T00942"/>
    <x v="14"/>
    <x v="2"/>
    <s v="A025"/>
    <x v="0"/>
    <s v="NEW"/>
    <s v="Circle"/>
    <s v="DESK"/>
    <s v="COMPLETED"/>
    <n v="300"/>
    <m/>
    <x v="0"/>
  </r>
  <r>
    <s v="T00943"/>
    <x v="14"/>
    <x v="2"/>
    <s v="A027"/>
    <x v="0"/>
    <s v="NEW"/>
    <s v="Circle"/>
    <s v="DESK"/>
    <s v="COMPLETED"/>
    <n v="300"/>
    <m/>
    <x v="0"/>
  </r>
  <r>
    <s v="T00944"/>
    <x v="14"/>
    <x v="2"/>
    <s v="A034"/>
    <x v="0"/>
    <s v="NEW"/>
    <s v="Circle"/>
    <s v="ONLINE"/>
    <s v="COMPLETED"/>
    <n v="300"/>
    <m/>
    <x v="0"/>
  </r>
  <r>
    <s v="T00945"/>
    <x v="14"/>
    <x v="2"/>
    <s v="A028"/>
    <x v="0"/>
    <s v="NEW"/>
    <s v="Single"/>
    <s v="DESK"/>
    <s v="COMPLETED"/>
    <n v="120"/>
    <m/>
    <x v="0"/>
  </r>
  <r>
    <s v="T00946"/>
    <x v="14"/>
    <x v="3"/>
    <s v="A043"/>
    <x v="0"/>
    <s v="NEW"/>
    <s v="Circle"/>
    <s v="DESK"/>
    <s v="COMPLETED"/>
    <n v="300"/>
    <m/>
    <x v="0"/>
  </r>
  <r>
    <s v="T00947"/>
    <x v="14"/>
    <x v="3"/>
    <s v="A041"/>
    <x v="0"/>
    <s v="NEW"/>
    <s v="Single"/>
    <s v="DESK"/>
    <s v="PENDING"/>
    <n v="120"/>
    <m/>
    <x v="0"/>
  </r>
  <r>
    <s v="T00948"/>
    <x v="14"/>
    <x v="3"/>
    <s v="A037"/>
    <x v="0"/>
    <s v="NEW"/>
    <s v="Single"/>
    <s v="DESK"/>
    <s v="COMPLETED"/>
    <n v="120"/>
    <m/>
    <x v="0"/>
  </r>
  <r>
    <s v="T00949"/>
    <x v="14"/>
    <x v="3"/>
    <s v="A040"/>
    <x v="0"/>
    <s v="NEW"/>
    <s v="Single"/>
    <s v="ONLINE"/>
    <s v="COMPLETED"/>
    <n v="102"/>
    <m/>
    <x v="1"/>
  </r>
  <r>
    <s v="T00950"/>
    <x v="14"/>
    <x v="3"/>
    <s v="A046"/>
    <x v="0"/>
    <s v="NEW"/>
    <s v="Single"/>
    <s v="DESK"/>
    <s v="COMPLETED"/>
    <n v="120"/>
    <m/>
    <x v="0"/>
  </r>
  <r>
    <s v="T00951"/>
    <x v="14"/>
    <x v="3"/>
    <s v="A044"/>
    <x v="0"/>
    <s v="RENEWAL"/>
    <s v="Circle"/>
    <s v="DESK"/>
    <s v="COMPLETED"/>
    <n v="300"/>
    <m/>
    <x v="0"/>
  </r>
  <r>
    <s v="T00952"/>
    <x v="14"/>
    <x v="3"/>
    <s v="A047"/>
    <x v="0"/>
    <s v="RENEWAL"/>
    <s v="Circle"/>
    <s v="DESK"/>
    <s v="COMPLETED"/>
    <n v="225"/>
    <m/>
    <x v="1"/>
  </r>
  <r>
    <s v="T00953"/>
    <x v="14"/>
    <x v="3"/>
    <s v="A046"/>
    <x v="0"/>
    <s v="NEW"/>
    <s v="Duo"/>
    <s v="DESK"/>
    <s v="COMPLETED"/>
    <n v="200"/>
    <m/>
    <x v="0"/>
  </r>
  <r>
    <s v="T00954"/>
    <x v="14"/>
    <x v="3"/>
    <s v="A041"/>
    <x v="0"/>
    <s v="RENEWAL"/>
    <s v="Single"/>
    <s v="DESK"/>
    <s v="COMPLETED"/>
    <n v="120"/>
    <m/>
    <x v="0"/>
  </r>
  <r>
    <s v="T00955"/>
    <x v="14"/>
    <x v="3"/>
    <s v="A041"/>
    <x v="0"/>
    <s v="NEW"/>
    <s v="Single"/>
    <s v="DESK"/>
    <s v="COMPLETED"/>
    <n v="120"/>
    <m/>
    <x v="0"/>
  </r>
  <r>
    <s v="T00956"/>
    <x v="14"/>
    <x v="3"/>
    <s v="A045"/>
    <x v="0"/>
    <s v="NEW"/>
    <s v="Duo"/>
    <s v="DESK"/>
    <s v="COMPLETED"/>
    <n v="200"/>
    <m/>
    <x v="0"/>
  </r>
  <r>
    <s v="T00957"/>
    <x v="14"/>
    <x v="3"/>
    <s v="A044"/>
    <x v="0"/>
    <s v="NEW"/>
    <s v="Duo"/>
    <s v="DESK"/>
    <s v="COMPLETED"/>
    <n v="200"/>
    <m/>
    <x v="0"/>
  </r>
  <r>
    <s v="T00958"/>
    <x v="14"/>
    <x v="3"/>
    <s v="A047"/>
    <x v="0"/>
    <s v="NEW"/>
    <s v="Duo"/>
    <s v="DESK"/>
    <s v="COMPLETED"/>
    <n v="200"/>
    <m/>
    <x v="0"/>
  </r>
  <r>
    <s v="T00959"/>
    <x v="14"/>
    <x v="3"/>
    <s v="A038"/>
    <x v="0"/>
    <s v="NEW"/>
    <s v="Circle"/>
    <s v="DESK"/>
    <s v="COMPLETED"/>
    <n v="225"/>
    <m/>
    <x v="1"/>
  </r>
  <r>
    <s v="T00960"/>
    <x v="14"/>
    <x v="3"/>
    <s v="A040"/>
    <x v="0"/>
    <s v="NEW"/>
    <s v="Duo"/>
    <s v="DESK"/>
    <s v="COMPLETED"/>
    <n v="200"/>
    <m/>
    <x v="0"/>
  </r>
  <r>
    <s v="T00961"/>
    <x v="15"/>
    <x v="0"/>
    <s v="A010"/>
    <x v="0"/>
    <s v="NEW"/>
    <s v="Duo"/>
    <s v="DESK"/>
    <s v="COMPLETED"/>
    <n v="200"/>
    <m/>
    <x v="0"/>
  </r>
  <r>
    <s v="T00962"/>
    <x v="15"/>
    <x v="0"/>
    <s v="A007"/>
    <x v="0"/>
    <s v="NEW"/>
    <s v="Duo"/>
    <s v="DESK"/>
    <s v="COMPLETED"/>
    <n v="200"/>
    <m/>
    <x v="0"/>
  </r>
  <r>
    <s v="T00963"/>
    <x v="15"/>
    <x v="0"/>
    <s v="A012"/>
    <x v="0"/>
    <s v="NEW"/>
    <s v="Duo"/>
    <s v="DESK"/>
    <s v="COMPLETED"/>
    <n v="200"/>
    <m/>
    <x v="0"/>
  </r>
  <r>
    <s v="T00964"/>
    <x v="15"/>
    <x v="0"/>
    <s v="A011"/>
    <x v="0"/>
    <s v="NEW"/>
    <s v="Duo"/>
    <s v="ONLINE"/>
    <s v="COMPLETED"/>
    <n v="200"/>
    <m/>
    <x v="0"/>
  </r>
  <r>
    <s v="T00965"/>
    <x v="15"/>
    <x v="0"/>
    <s v="A011"/>
    <x v="0"/>
    <s v="NEW"/>
    <s v="Single"/>
    <s v="DESK"/>
    <s v="COMPLETED"/>
    <n v="90"/>
    <m/>
    <x v="1"/>
  </r>
  <r>
    <s v="T00966"/>
    <x v="15"/>
    <x v="0"/>
    <s v="A010"/>
    <x v="0"/>
    <s v="NEW"/>
    <s v="Duo"/>
    <s v="DESK"/>
    <s v="COMPLETED"/>
    <n v="200"/>
    <m/>
    <x v="0"/>
  </r>
  <r>
    <s v="T00967"/>
    <x v="15"/>
    <x v="0"/>
    <s v="A007"/>
    <x v="0"/>
    <s v="NEW"/>
    <s v="Single"/>
    <s v="DESK"/>
    <s v="COMPLETED"/>
    <n v="120"/>
    <m/>
    <x v="0"/>
  </r>
  <r>
    <s v="T00968"/>
    <x v="15"/>
    <x v="0"/>
    <s v="A001"/>
    <x v="0"/>
    <s v="RENEWAL"/>
    <s v="Single"/>
    <s v="DESK"/>
    <s v="COMPLETED"/>
    <n v="120"/>
    <m/>
    <x v="0"/>
  </r>
  <r>
    <s v="T00969"/>
    <x v="15"/>
    <x v="0"/>
    <s v="A001"/>
    <x v="0"/>
    <s v="NEW"/>
    <s v="Single"/>
    <s v="DESK"/>
    <s v="COMPLETED"/>
    <n v="120"/>
    <m/>
    <x v="0"/>
  </r>
  <r>
    <s v="T00970"/>
    <x v="15"/>
    <x v="0"/>
    <s v="A001"/>
    <x v="0"/>
    <s v="RENEWAL"/>
    <s v="Single"/>
    <s v="DESK"/>
    <s v="COMPLETED"/>
    <n v="120"/>
    <m/>
    <x v="0"/>
  </r>
  <r>
    <s v="T00971"/>
    <x v="15"/>
    <x v="0"/>
    <s v="A006"/>
    <x v="0"/>
    <s v="NEW"/>
    <s v="Single"/>
    <s v="DESK"/>
    <s v="COMPLETED"/>
    <n v="120"/>
    <m/>
    <x v="0"/>
  </r>
  <r>
    <s v="T00972"/>
    <x v="15"/>
    <x v="0"/>
    <s v="A002"/>
    <x v="0"/>
    <s v="RENEWAL"/>
    <s v="Duo"/>
    <s v="DESK"/>
    <s v="COMPLETED"/>
    <n v="200"/>
    <m/>
    <x v="0"/>
  </r>
  <r>
    <s v="T00973"/>
    <x v="15"/>
    <x v="0"/>
    <s v="A010"/>
    <x v="0"/>
    <s v="NEW"/>
    <s v="Duo"/>
    <s v="DESK"/>
    <s v="COMPLETED"/>
    <n v="150"/>
    <m/>
    <x v="1"/>
  </r>
  <r>
    <s v="T00974"/>
    <x v="15"/>
    <x v="0"/>
    <s v="A012"/>
    <x v="0"/>
    <s v="NEW"/>
    <s v="Single"/>
    <s v="DESK"/>
    <s v="COMPLETED"/>
    <n v="120"/>
    <m/>
    <x v="0"/>
  </r>
  <r>
    <s v="T00975"/>
    <x v="15"/>
    <x v="1"/>
    <s v="A022"/>
    <x v="0"/>
    <s v="NEW"/>
    <s v="Single"/>
    <s v="DESK"/>
    <s v="COMPLETED"/>
    <n v="120"/>
    <m/>
    <x v="0"/>
  </r>
  <r>
    <s v="T00976"/>
    <x v="15"/>
    <x v="1"/>
    <s v="A015"/>
    <x v="0"/>
    <s v="NEW"/>
    <s v="Circle"/>
    <s v="DESK"/>
    <s v="COMPLETED"/>
    <n v="300"/>
    <m/>
    <x v="0"/>
  </r>
  <r>
    <s v="T00977"/>
    <x v="15"/>
    <x v="1"/>
    <s v="A013"/>
    <x v="0"/>
    <s v="RENEWAL"/>
    <s v="Circle"/>
    <s v="DESK"/>
    <s v="COMPLETED"/>
    <n v="300"/>
    <m/>
    <x v="0"/>
  </r>
  <r>
    <s v="T00978"/>
    <x v="15"/>
    <x v="1"/>
    <s v="A016"/>
    <x v="0"/>
    <s v="NEW"/>
    <s v="Single"/>
    <s v="DESK"/>
    <s v="COMPLETED"/>
    <n v="120"/>
    <m/>
    <x v="0"/>
  </r>
  <r>
    <s v="T00979"/>
    <x v="15"/>
    <x v="1"/>
    <s v="A013"/>
    <x v="0"/>
    <s v="NEW"/>
    <s v="Single"/>
    <s v="DESK"/>
    <s v="COMPLETED"/>
    <n v="120"/>
    <m/>
    <x v="0"/>
  </r>
  <r>
    <s v="T00980"/>
    <x v="15"/>
    <x v="1"/>
    <s v="A014"/>
    <x v="0"/>
    <s v="NEW"/>
    <s v="Single"/>
    <s v="ONLINE"/>
    <s v="COMPLETED"/>
    <n v="120"/>
    <m/>
    <x v="0"/>
  </r>
  <r>
    <s v="T00981"/>
    <x v="15"/>
    <x v="1"/>
    <s v="A018"/>
    <x v="0"/>
    <s v="NEW"/>
    <s v="Duo"/>
    <s v="DESK"/>
    <s v="COMPLETED"/>
    <n v="200"/>
    <m/>
    <x v="0"/>
  </r>
  <r>
    <s v="T00982"/>
    <x v="15"/>
    <x v="1"/>
    <s v="A024"/>
    <x v="0"/>
    <s v="NEW"/>
    <s v="Single"/>
    <s v="DESK"/>
    <s v="COMPLETED"/>
    <n v="120"/>
    <m/>
    <x v="0"/>
  </r>
  <r>
    <s v="T00983"/>
    <x v="15"/>
    <x v="1"/>
    <s v="A024"/>
    <x v="0"/>
    <s v="NEW"/>
    <s v="Duo"/>
    <s v="ONLINE"/>
    <s v="COMPLETED"/>
    <n v="200"/>
    <m/>
    <x v="0"/>
  </r>
  <r>
    <s v="T00984"/>
    <x v="15"/>
    <x v="1"/>
    <s v="A024"/>
    <x v="0"/>
    <s v="NEW"/>
    <s v="Duo"/>
    <s v="DESK"/>
    <s v="COMPLETED"/>
    <n v="200"/>
    <m/>
    <x v="0"/>
  </r>
  <r>
    <s v="T00985"/>
    <x v="15"/>
    <x v="1"/>
    <s v="A016"/>
    <x v="0"/>
    <s v="RENEWAL"/>
    <s v="Circle"/>
    <s v="DESK"/>
    <s v="COMPLETED"/>
    <n v="300"/>
    <m/>
    <x v="0"/>
  </r>
  <r>
    <s v="T00986"/>
    <x v="15"/>
    <x v="1"/>
    <s v="A018"/>
    <x v="0"/>
    <s v="RENEWAL"/>
    <s v="Duo"/>
    <s v="DESK"/>
    <s v="COMPLETED"/>
    <n v="200"/>
    <m/>
    <x v="0"/>
  </r>
  <r>
    <s v="T00987"/>
    <x v="15"/>
    <x v="1"/>
    <s v="A013"/>
    <x v="0"/>
    <s v="NEW"/>
    <s v="Duo"/>
    <s v="DESK"/>
    <s v="COMPLETED"/>
    <n v="150"/>
    <m/>
    <x v="1"/>
  </r>
  <r>
    <s v="T00988"/>
    <x v="15"/>
    <x v="1"/>
    <s v="A022"/>
    <x v="0"/>
    <s v="NEW"/>
    <s v="Circle"/>
    <s v="DESK"/>
    <s v="COMPLETED"/>
    <n v="300"/>
    <m/>
    <x v="0"/>
  </r>
  <r>
    <s v="T00989"/>
    <x v="15"/>
    <x v="1"/>
    <s v="A016"/>
    <x v="0"/>
    <s v="NEW"/>
    <s v="Circle"/>
    <s v="DESK"/>
    <s v="COMPLETED"/>
    <n v="300"/>
    <m/>
    <x v="0"/>
  </r>
  <r>
    <s v="T00990"/>
    <x v="15"/>
    <x v="2"/>
    <s v="A026"/>
    <x v="0"/>
    <s v="RENEWAL"/>
    <s v="Duo"/>
    <s v="DESK"/>
    <s v="COMPLETED"/>
    <n v="200"/>
    <m/>
    <x v="0"/>
  </r>
  <r>
    <s v="T00991"/>
    <x v="15"/>
    <x v="2"/>
    <s v="A029"/>
    <x v="0"/>
    <s v="RENEWAL"/>
    <s v="Single"/>
    <s v="DESK"/>
    <s v="COMPLETED"/>
    <n v="120"/>
    <m/>
    <x v="0"/>
  </r>
  <r>
    <s v="T00992"/>
    <x v="15"/>
    <x v="2"/>
    <s v="A033"/>
    <x v="0"/>
    <s v="NEW"/>
    <s v="Duo"/>
    <s v="DESK"/>
    <s v="COMPLETED"/>
    <n v="200"/>
    <m/>
    <x v="0"/>
  </r>
  <r>
    <s v="T00993"/>
    <x v="15"/>
    <x v="2"/>
    <s v="A030"/>
    <x v="0"/>
    <s v="NEW"/>
    <s v="Duo"/>
    <s v="DESK"/>
    <s v="COMPLETED"/>
    <n v="200"/>
    <m/>
    <x v="0"/>
  </r>
  <r>
    <s v="T00994"/>
    <x v="15"/>
    <x v="2"/>
    <s v="A033"/>
    <x v="0"/>
    <s v="NEW"/>
    <s v="Single"/>
    <s v="ONLINE"/>
    <s v="COMPLETED"/>
    <n v="120"/>
    <m/>
    <x v="0"/>
  </r>
  <r>
    <s v="T00995"/>
    <x v="15"/>
    <x v="2"/>
    <s v="A026"/>
    <x v="0"/>
    <s v="RENEWAL"/>
    <s v="Duo"/>
    <s v="DESK"/>
    <s v="COMPLETED"/>
    <n v="200"/>
    <m/>
    <x v="0"/>
  </r>
  <r>
    <s v="T00996"/>
    <x v="15"/>
    <x v="2"/>
    <s v="A033"/>
    <x v="0"/>
    <s v="NEW"/>
    <s v="Circle"/>
    <s v="DESK"/>
    <s v="COMPLETED"/>
    <n v="300"/>
    <m/>
    <x v="0"/>
  </r>
  <r>
    <s v="T00997"/>
    <x v="15"/>
    <x v="2"/>
    <s v="A035"/>
    <x v="0"/>
    <s v="RENEWAL"/>
    <s v="Circle"/>
    <s v="DESK"/>
    <s v="COMPLETED"/>
    <n v="300"/>
    <m/>
    <x v="0"/>
  </r>
  <r>
    <s v="T00998"/>
    <x v="15"/>
    <x v="2"/>
    <s v="A036"/>
    <x v="0"/>
    <s v="NEW"/>
    <s v="Duo"/>
    <s v="DESK"/>
    <s v="COMPLETED"/>
    <n v="200"/>
    <m/>
    <x v="0"/>
  </r>
  <r>
    <s v="T00999"/>
    <x v="15"/>
    <x v="2"/>
    <s v="A025"/>
    <x v="0"/>
    <s v="NEW"/>
    <s v="Single"/>
    <s v="DESK"/>
    <s v="COMPLETED"/>
    <n v="120"/>
    <m/>
    <x v="0"/>
  </r>
  <r>
    <s v="T01000"/>
    <x v="15"/>
    <x v="2"/>
    <s v="A026"/>
    <x v="0"/>
    <s v="RENEWAL"/>
    <s v="Single"/>
    <s v="DESK"/>
    <s v="COMPLETED"/>
    <n v="120"/>
    <m/>
    <x v="0"/>
  </r>
  <r>
    <s v="T01001"/>
    <x v="15"/>
    <x v="2"/>
    <s v="A027"/>
    <x v="0"/>
    <s v="NEW"/>
    <s v="Duo"/>
    <s v="DESK"/>
    <s v="COMPLETED"/>
    <n v="200"/>
    <m/>
    <x v="0"/>
  </r>
  <r>
    <s v="T01002"/>
    <x v="15"/>
    <x v="2"/>
    <s v="A029"/>
    <x v="0"/>
    <s v="NEW"/>
    <s v="Single"/>
    <s v="DESK"/>
    <s v="COMPLETED"/>
    <n v="120"/>
    <m/>
    <x v="0"/>
  </r>
  <r>
    <s v="T01003"/>
    <x v="15"/>
    <x v="2"/>
    <s v="A025"/>
    <x v="0"/>
    <s v="NEW"/>
    <s v="Duo"/>
    <s v="DESK"/>
    <s v="COMPLETED"/>
    <n v="200"/>
    <m/>
    <x v="0"/>
  </r>
  <r>
    <s v="T01004"/>
    <x v="15"/>
    <x v="2"/>
    <s v="A025"/>
    <x v="0"/>
    <s v="NEW"/>
    <s v="Circle"/>
    <s v="DESK"/>
    <s v="COMPLETED"/>
    <n v="255"/>
    <m/>
    <x v="1"/>
  </r>
  <r>
    <s v="T01005"/>
    <x v="15"/>
    <x v="2"/>
    <s v="A029"/>
    <x v="0"/>
    <s v="NEW"/>
    <s v="Single"/>
    <s v="DESK"/>
    <s v="PENDING"/>
    <n v="120"/>
    <m/>
    <x v="0"/>
  </r>
  <r>
    <s v="T01006"/>
    <x v="15"/>
    <x v="2"/>
    <s v="A033"/>
    <x v="0"/>
    <s v="NEW"/>
    <s v="Duo"/>
    <s v="ONLINE"/>
    <s v="COMPLETED"/>
    <n v="200"/>
    <m/>
    <x v="0"/>
  </r>
  <r>
    <s v="T01007"/>
    <x v="15"/>
    <x v="2"/>
    <s v="A029"/>
    <x v="0"/>
    <s v="NEW"/>
    <s v="Circle"/>
    <s v="DESK"/>
    <s v="COMPLETED"/>
    <n v="300"/>
    <m/>
    <x v="0"/>
  </r>
  <r>
    <s v="T01008"/>
    <x v="15"/>
    <x v="3"/>
    <s v="A046"/>
    <x v="0"/>
    <s v="NEW"/>
    <s v="Circle"/>
    <s v="DESK"/>
    <s v="COMPLETED"/>
    <n v="300"/>
    <m/>
    <x v="0"/>
  </r>
  <r>
    <s v="T01009"/>
    <x v="15"/>
    <x v="3"/>
    <s v="A044"/>
    <x v="0"/>
    <s v="NEW"/>
    <s v="Single"/>
    <s v="ONLINE"/>
    <s v="COMPLETED"/>
    <n v="90"/>
    <m/>
    <x v="1"/>
  </r>
  <r>
    <s v="T01010"/>
    <x v="15"/>
    <x v="3"/>
    <s v="A038"/>
    <x v="0"/>
    <s v="RENEWAL"/>
    <s v="Single"/>
    <s v="DESK"/>
    <s v="COMPLETED"/>
    <n v="120"/>
    <m/>
    <x v="0"/>
  </r>
  <r>
    <s v="T01011"/>
    <x v="15"/>
    <x v="3"/>
    <s v="A046"/>
    <x v="0"/>
    <s v="NEW"/>
    <s v="Single"/>
    <s v="DESK"/>
    <s v="COMPLETED"/>
    <n v="120"/>
    <m/>
    <x v="0"/>
  </r>
  <r>
    <s v="T01012"/>
    <x v="15"/>
    <x v="3"/>
    <s v="A045"/>
    <x v="0"/>
    <s v="RENEWAL"/>
    <s v="Circle"/>
    <s v="DESK"/>
    <s v="COMPLETED"/>
    <n v="300"/>
    <m/>
    <x v="0"/>
  </r>
  <r>
    <s v="T01013"/>
    <x v="15"/>
    <x v="3"/>
    <s v="A044"/>
    <x v="0"/>
    <s v="NEW"/>
    <s v="Single"/>
    <s v="DESK"/>
    <s v="COMPLETED"/>
    <n v="120"/>
    <m/>
    <x v="0"/>
  </r>
  <r>
    <s v="T01014"/>
    <x v="15"/>
    <x v="3"/>
    <s v="A041"/>
    <x v="0"/>
    <s v="NEW"/>
    <s v="Single"/>
    <s v="DESK"/>
    <s v="COMPLETED"/>
    <n v="120"/>
    <m/>
    <x v="0"/>
  </r>
  <r>
    <s v="T01015"/>
    <x v="15"/>
    <x v="3"/>
    <s v="A041"/>
    <x v="0"/>
    <s v="RENEWAL"/>
    <s v="Single"/>
    <s v="DESK"/>
    <s v="COMPLETED"/>
    <n v="120"/>
    <m/>
    <x v="0"/>
  </r>
  <r>
    <s v="T01016"/>
    <x v="15"/>
    <x v="3"/>
    <s v="A045"/>
    <x v="0"/>
    <s v="RENEWAL"/>
    <s v="Single"/>
    <s v="DESK"/>
    <s v="COMPLETED"/>
    <n v="120"/>
    <m/>
    <x v="0"/>
  </r>
  <r>
    <s v="T01017"/>
    <x v="15"/>
    <x v="3"/>
    <s v="A037"/>
    <x v="0"/>
    <s v="NEW"/>
    <s v="Single"/>
    <s v="DESK"/>
    <s v="COMPLETED"/>
    <n v="120"/>
    <m/>
    <x v="0"/>
  </r>
  <r>
    <s v="T01018"/>
    <x v="15"/>
    <x v="3"/>
    <s v="A048"/>
    <x v="0"/>
    <s v="NEW"/>
    <s v="Circle"/>
    <s v="DESK"/>
    <s v="COMPLETED"/>
    <n v="300"/>
    <m/>
    <x v="0"/>
  </r>
  <r>
    <s v="T01019"/>
    <x v="15"/>
    <x v="3"/>
    <s v="A039"/>
    <x v="0"/>
    <s v="NEW"/>
    <s v="Duo"/>
    <s v="ONLINE"/>
    <s v="COMPLETED"/>
    <n v="200"/>
    <m/>
    <x v="0"/>
  </r>
  <r>
    <s v="T01020"/>
    <x v="15"/>
    <x v="3"/>
    <s v="A047"/>
    <x v="0"/>
    <s v="NEW"/>
    <s v="Single"/>
    <s v="DESK"/>
    <s v="COMPLETED"/>
    <n v="120"/>
    <m/>
    <x v="0"/>
  </r>
  <r>
    <s v="T01021"/>
    <x v="15"/>
    <x v="3"/>
    <s v="A045"/>
    <x v="0"/>
    <s v="NEW"/>
    <s v="Circle"/>
    <s v="DESK"/>
    <s v="COMPLETED"/>
    <n v="300"/>
    <m/>
    <x v="0"/>
  </r>
  <r>
    <s v="T01022"/>
    <x v="15"/>
    <x v="3"/>
    <s v="A041"/>
    <x v="0"/>
    <s v="NEW"/>
    <s v="Duo"/>
    <s v="DESK"/>
    <s v="COMPLETED"/>
    <n v="200"/>
    <m/>
    <x v="0"/>
  </r>
  <r>
    <s v="T01023"/>
    <x v="15"/>
    <x v="3"/>
    <s v="A042"/>
    <x v="0"/>
    <s v="NEW"/>
    <s v="Single"/>
    <s v="DESK"/>
    <s v="COMPLETED"/>
    <n v="120"/>
    <m/>
    <x v="0"/>
  </r>
  <r>
    <s v="T01024"/>
    <x v="15"/>
    <x v="3"/>
    <s v="A041"/>
    <x v="0"/>
    <s v="NEW"/>
    <s v="Circle"/>
    <s v="DESK"/>
    <s v="COMPLETED"/>
    <n v="225"/>
    <m/>
    <x v="1"/>
  </r>
  <r>
    <s v="T01025"/>
    <x v="15"/>
    <x v="3"/>
    <s v="A048"/>
    <x v="0"/>
    <s v="NEW"/>
    <s v="Circle"/>
    <s v="DESK"/>
    <s v="COMPLETED"/>
    <n v="300"/>
    <m/>
    <x v="0"/>
  </r>
  <r>
    <s v="T01026"/>
    <x v="15"/>
    <x v="3"/>
    <s v="A040"/>
    <x v="0"/>
    <s v="RENEWAL"/>
    <s v="Duo"/>
    <s v="DESK"/>
    <s v="COMPLETED"/>
    <n v="200"/>
    <m/>
    <x v="0"/>
  </r>
  <r>
    <s v="T02074"/>
    <x v="15"/>
    <x v="0"/>
    <s v="A001"/>
    <x v="1"/>
    <s v="RENEWAL"/>
    <s v="Single"/>
    <s v="DESK"/>
    <s v="COMPLETED"/>
    <n v="120"/>
    <s v="T00773"/>
    <x v="0"/>
  </r>
  <r>
    <s v="T02077"/>
    <x v="15"/>
    <x v="3"/>
    <s v="A041"/>
    <x v="1"/>
    <s v="RENEWAL"/>
    <s v="Duo"/>
    <s v="DESK"/>
    <s v="COMPLETED"/>
    <n v="200"/>
    <s v="T00625"/>
    <x v="0"/>
  </r>
  <r>
    <s v="T01027"/>
    <x v="16"/>
    <x v="0"/>
    <s v="A006"/>
    <x v="0"/>
    <s v="NEW"/>
    <s v="Single"/>
    <s v="DESK"/>
    <s v="VOID"/>
    <n v="90"/>
    <m/>
    <x v="1"/>
  </r>
  <r>
    <s v="T01028"/>
    <x v="16"/>
    <x v="0"/>
    <s v="A011"/>
    <x v="0"/>
    <s v="NEW"/>
    <s v="Circle"/>
    <s v="DESK"/>
    <s v="COMPLETED"/>
    <n v="300"/>
    <m/>
    <x v="0"/>
  </r>
  <r>
    <s v="T01029"/>
    <x v="16"/>
    <x v="0"/>
    <s v="A007"/>
    <x v="0"/>
    <s v="NEW"/>
    <s v="Duo"/>
    <s v="DESK"/>
    <s v="COMPLETED"/>
    <n v="200"/>
    <m/>
    <x v="0"/>
  </r>
  <r>
    <s v="T01030"/>
    <x v="16"/>
    <x v="0"/>
    <s v="A005"/>
    <x v="0"/>
    <s v="RENEWAL"/>
    <s v="Duo"/>
    <s v="DESK"/>
    <s v="COMPLETED"/>
    <n v="200"/>
    <m/>
    <x v="0"/>
  </r>
  <r>
    <s v="T01031"/>
    <x v="16"/>
    <x v="0"/>
    <s v="A007"/>
    <x v="0"/>
    <s v="NEW"/>
    <s v="Duo"/>
    <s v="DESK"/>
    <s v="COMPLETED"/>
    <n v="200"/>
    <m/>
    <x v="0"/>
  </r>
  <r>
    <s v="T01032"/>
    <x v="16"/>
    <x v="0"/>
    <s v="A001"/>
    <x v="0"/>
    <s v="NEW"/>
    <s v="Duo"/>
    <s v="DESK"/>
    <s v="COMPLETED"/>
    <n v="200"/>
    <m/>
    <x v="0"/>
  </r>
  <r>
    <s v="T01033"/>
    <x v="16"/>
    <x v="0"/>
    <s v="A006"/>
    <x v="0"/>
    <s v="RENEWAL"/>
    <s v="Single"/>
    <s v="DESK"/>
    <s v="COMPLETED"/>
    <n v="120"/>
    <m/>
    <x v="0"/>
  </r>
  <r>
    <s v="T01034"/>
    <x v="16"/>
    <x v="0"/>
    <s v="A003"/>
    <x v="0"/>
    <s v="NEW"/>
    <s v="Duo"/>
    <s v="DESK"/>
    <s v="COMPLETED"/>
    <n v="150"/>
    <m/>
    <x v="1"/>
  </r>
  <r>
    <s v="T01035"/>
    <x v="16"/>
    <x v="0"/>
    <s v="A003"/>
    <x v="0"/>
    <s v="NEW"/>
    <s v="Duo"/>
    <s v="DESK"/>
    <s v="COMPLETED"/>
    <n v="200"/>
    <m/>
    <x v="0"/>
  </r>
  <r>
    <s v="T01036"/>
    <x v="16"/>
    <x v="0"/>
    <s v="A010"/>
    <x v="0"/>
    <s v="RENEWAL"/>
    <s v="Circle"/>
    <s v="DESK"/>
    <s v="COMPLETED"/>
    <n v="300"/>
    <m/>
    <x v="0"/>
  </r>
  <r>
    <s v="T01037"/>
    <x v="16"/>
    <x v="0"/>
    <s v="A008"/>
    <x v="0"/>
    <s v="NEW"/>
    <s v="Duo"/>
    <s v="DESK"/>
    <s v="COMPLETED"/>
    <n v="200"/>
    <m/>
    <x v="0"/>
  </r>
  <r>
    <s v="T01038"/>
    <x v="16"/>
    <x v="0"/>
    <s v="A007"/>
    <x v="0"/>
    <s v="NEW"/>
    <s v="Circle"/>
    <s v="DESK"/>
    <s v="COMPLETED"/>
    <n v="300"/>
    <m/>
    <x v="0"/>
  </r>
  <r>
    <s v="T01039"/>
    <x v="16"/>
    <x v="0"/>
    <s v="A002"/>
    <x v="0"/>
    <s v="NEW"/>
    <s v="Duo"/>
    <s v="DESK"/>
    <s v="COMPLETED"/>
    <n v="200"/>
    <m/>
    <x v="0"/>
  </r>
  <r>
    <s v="T01040"/>
    <x v="16"/>
    <x v="0"/>
    <s v="A009"/>
    <x v="0"/>
    <s v="RENEWAL"/>
    <s v="Single"/>
    <s v="DESK"/>
    <s v="VOID"/>
    <n v="120"/>
    <m/>
    <x v="0"/>
  </r>
  <r>
    <s v="T01041"/>
    <x v="16"/>
    <x v="0"/>
    <s v="A007"/>
    <x v="0"/>
    <s v="NEW"/>
    <s v="Duo"/>
    <s v="DESK"/>
    <s v="COMPLETED"/>
    <n v="200"/>
    <m/>
    <x v="0"/>
  </r>
  <r>
    <s v="T01042"/>
    <x v="16"/>
    <x v="0"/>
    <s v="A010"/>
    <x v="0"/>
    <s v="NEW"/>
    <s v="Single"/>
    <s v="DESK"/>
    <s v="COMPLETED"/>
    <n v="90"/>
    <m/>
    <x v="1"/>
  </r>
  <r>
    <s v="T01043"/>
    <x v="16"/>
    <x v="0"/>
    <s v="A001"/>
    <x v="0"/>
    <s v="NEW"/>
    <s v="Circle"/>
    <s v="DESK"/>
    <s v="COMPLETED"/>
    <n v="300"/>
    <m/>
    <x v="0"/>
  </r>
  <r>
    <s v="T01044"/>
    <x v="16"/>
    <x v="0"/>
    <s v="A010"/>
    <x v="0"/>
    <s v="NEW"/>
    <s v="Circle"/>
    <s v="DESK"/>
    <s v="COMPLETED"/>
    <n v="300"/>
    <m/>
    <x v="0"/>
  </r>
  <r>
    <s v="T01045"/>
    <x v="16"/>
    <x v="1"/>
    <s v="A019"/>
    <x v="0"/>
    <s v="NEW"/>
    <s v="Single"/>
    <s v="DESK"/>
    <s v="COMPLETED"/>
    <n v="120"/>
    <m/>
    <x v="0"/>
  </r>
  <r>
    <s v="T01046"/>
    <x v="16"/>
    <x v="1"/>
    <s v="A020"/>
    <x v="0"/>
    <s v="NEW"/>
    <s v="Circle"/>
    <s v="DESK"/>
    <s v="COMPLETED"/>
    <n v="300"/>
    <m/>
    <x v="0"/>
  </r>
  <r>
    <s v="T01047"/>
    <x v="16"/>
    <x v="1"/>
    <s v="A018"/>
    <x v="0"/>
    <s v="NEW"/>
    <s v="Single"/>
    <s v="DESK"/>
    <s v="COMPLETED"/>
    <n v="120"/>
    <m/>
    <x v="0"/>
  </r>
  <r>
    <s v="T01048"/>
    <x v="16"/>
    <x v="1"/>
    <s v="A016"/>
    <x v="0"/>
    <s v="NEW"/>
    <s v="Single"/>
    <s v="ONLINE"/>
    <s v="COMPLETED"/>
    <n v="120"/>
    <m/>
    <x v="0"/>
  </r>
  <r>
    <s v="T01049"/>
    <x v="16"/>
    <x v="1"/>
    <s v="A022"/>
    <x v="0"/>
    <s v="NEW"/>
    <s v="Single"/>
    <s v="DESK"/>
    <s v="COMPLETED"/>
    <n v="90"/>
    <m/>
    <x v="1"/>
  </r>
  <r>
    <s v="T01050"/>
    <x v="16"/>
    <x v="1"/>
    <s v="A015"/>
    <x v="0"/>
    <s v="NEW"/>
    <s v="Single"/>
    <s v="DESK"/>
    <s v="COMPLETED"/>
    <n v="120"/>
    <m/>
    <x v="0"/>
  </r>
  <r>
    <s v="T01051"/>
    <x v="16"/>
    <x v="1"/>
    <s v="A018"/>
    <x v="0"/>
    <s v="NEW"/>
    <s v="Circle"/>
    <s v="DESK"/>
    <s v="COMPLETED"/>
    <n v="300"/>
    <m/>
    <x v="0"/>
  </r>
  <r>
    <s v="T01052"/>
    <x v="16"/>
    <x v="1"/>
    <s v="A022"/>
    <x v="0"/>
    <s v="NEW"/>
    <s v="Circle"/>
    <s v="DESK"/>
    <s v="COMPLETED"/>
    <n v="300"/>
    <m/>
    <x v="0"/>
  </r>
  <r>
    <s v="T01053"/>
    <x v="16"/>
    <x v="1"/>
    <s v="A024"/>
    <x v="0"/>
    <s v="NEW"/>
    <s v="Single"/>
    <s v="DESK"/>
    <s v="COMPLETED"/>
    <n v="120"/>
    <m/>
    <x v="0"/>
  </r>
  <r>
    <s v="T01054"/>
    <x v="16"/>
    <x v="1"/>
    <s v="A015"/>
    <x v="0"/>
    <s v="NEW"/>
    <s v="Duo"/>
    <s v="DESK"/>
    <s v="COMPLETED"/>
    <n v="200"/>
    <m/>
    <x v="0"/>
  </r>
  <r>
    <s v="T01055"/>
    <x v="16"/>
    <x v="1"/>
    <s v="A022"/>
    <x v="0"/>
    <s v="NEW"/>
    <s v="Circle"/>
    <s v="DESK"/>
    <s v="COMPLETED"/>
    <n v="225"/>
    <m/>
    <x v="1"/>
  </r>
  <r>
    <s v="T01056"/>
    <x v="16"/>
    <x v="1"/>
    <s v="A018"/>
    <x v="0"/>
    <s v="NEW"/>
    <s v="Single"/>
    <s v="DESK"/>
    <s v="COMPLETED"/>
    <n v="120"/>
    <m/>
    <x v="0"/>
  </r>
  <r>
    <s v="T01057"/>
    <x v="16"/>
    <x v="1"/>
    <s v="A020"/>
    <x v="0"/>
    <s v="NEW"/>
    <s v="Duo"/>
    <s v="DESK"/>
    <s v="COMPLETED"/>
    <n v="200"/>
    <m/>
    <x v="0"/>
  </r>
  <r>
    <s v="T01058"/>
    <x v="16"/>
    <x v="1"/>
    <s v="A024"/>
    <x v="0"/>
    <s v="NEW"/>
    <s v="Duo"/>
    <s v="DESK"/>
    <s v="COMPLETED"/>
    <n v="200"/>
    <m/>
    <x v="0"/>
  </r>
  <r>
    <s v="T01059"/>
    <x v="16"/>
    <x v="1"/>
    <s v="A013"/>
    <x v="0"/>
    <s v="NEW"/>
    <s v="Single"/>
    <s v="DESK"/>
    <s v="COMPLETED"/>
    <n v="120"/>
    <m/>
    <x v="0"/>
  </r>
  <r>
    <s v="T01060"/>
    <x v="16"/>
    <x v="1"/>
    <s v="A024"/>
    <x v="0"/>
    <s v="NEW"/>
    <s v="Circle"/>
    <s v="DESK"/>
    <s v="COMPLETED"/>
    <n v="300"/>
    <m/>
    <x v="0"/>
  </r>
  <r>
    <s v="T01061"/>
    <x v="16"/>
    <x v="1"/>
    <s v="A024"/>
    <x v="0"/>
    <s v="NEW"/>
    <s v="Circle"/>
    <s v="DESK"/>
    <s v="COMPLETED"/>
    <n v="300"/>
    <m/>
    <x v="0"/>
  </r>
  <r>
    <s v="T01062"/>
    <x v="16"/>
    <x v="1"/>
    <s v="A021"/>
    <x v="0"/>
    <s v="NEW"/>
    <s v="Duo"/>
    <s v="DESK"/>
    <s v="COMPLETED"/>
    <n v="200"/>
    <m/>
    <x v="0"/>
  </r>
  <r>
    <s v="T01063"/>
    <x v="16"/>
    <x v="2"/>
    <s v="A036"/>
    <x v="0"/>
    <s v="NEW"/>
    <s v="Duo"/>
    <s v="DESK"/>
    <s v="COMPLETED"/>
    <n v="200"/>
    <m/>
    <x v="0"/>
  </r>
  <r>
    <s v="T01064"/>
    <x v="16"/>
    <x v="2"/>
    <s v="A031"/>
    <x v="0"/>
    <s v="NEW"/>
    <s v="Duo"/>
    <s v="DESK"/>
    <s v="COMPLETED"/>
    <n v="200"/>
    <m/>
    <x v="0"/>
  </r>
  <r>
    <s v="T01065"/>
    <x v="16"/>
    <x v="2"/>
    <s v="A028"/>
    <x v="0"/>
    <s v="NEW"/>
    <s v="Single"/>
    <s v="DESK"/>
    <s v="COMPLETED"/>
    <n v="90"/>
    <m/>
    <x v="1"/>
  </r>
  <r>
    <s v="T01066"/>
    <x v="16"/>
    <x v="2"/>
    <s v="A032"/>
    <x v="0"/>
    <s v="NEW"/>
    <s v="Circle"/>
    <s v="DESK"/>
    <s v="COMPLETED"/>
    <n v="300"/>
    <m/>
    <x v="0"/>
  </r>
  <r>
    <s v="T01067"/>
    <x v="16"/>
    <x v="2"/>
    <s v="A030"/>
    <x v="0"/>
    <s v="NEW"/>
    <s v="Circle"/>
    <s v="DESK"/>
    <s v="COMPLETED"/>
    <n v="255"/>
    <m/>
    <x v="1"/>
  </r>
  <r>
    <s v="T01068"/>
    <x v="16"/>
    <x v="2"/>
    <s v="A034"/>
    <x v="0"/>
    <s v="NEW"/>
    <s v="Duo"/>
    <s v="DESK"/>
    <s v="COMPLETED"/>
    <n v="200"/>
    <m/>
    <x v="0"/>
  </r>
  <r>
    <s v="T01069"/>
    <x v="16"/>
    <x v="2"/>
    <s v="A032"/>
    <x v="0"/>
    <s v="NEW"/>
    <s v="Duo"/>
    <s v="ONLINE"/>
    <s v="COMPLETED"/>
    <n v="200"/>
    <m/>
    <x v="0"/>
  </r>
  <r>
    <s v="T01070"/>
    <x v="16"/>
    <x v="2"/>
    <s v="A030"/>
    <x v="0"/>
    <s v="NEW"/>
    <s v="Circle"/>
    <s v="DESK"/>
    <s v="COMPLETED"/>
    <n v="225"/>
    <m/>
    <x v="1"/>
  </r>
  <r>
    <s v="T01071"/>
    <x v="16"/>
    <x v="2"/>
    <s v="A034"/>
    <x v="0"/>
    <s v="RENEWAL"/>
    <s v="Circle"/>
    <s v="DESK"/>
    <s v="COMPLETED"/>
    <n v="300"/>
    <m/>
    <x v="0"/>
  </r>
  <r>
    <s v="T01072"/>
    <x v="16"/>
    <x v="2"/>
    <s v="A027"/>
    <x v="0"/>
    <s v="NEW"/>
    <s v="Duo"/>
    <s v="DESK"/>
    <s v="COMPLETED"/>
    <n v="150"/>
    <m/>
    <x v="1"/>
  </r>
  <r>
    <s v="T01073"/>
    <x v="16"/>
    <x v="2"/>
    <s v="A036"/>
    <x v="0"/>
    <s v="RENEWAL"/>
    <s v="Duo"/>
    <s v="DESK"/>
    <s v="COMPLETED"/>
    <n v="200"/>
    <m/>
    <x v="0"/>
  </r>
  <r>
    <s v="T01074"/>
    <x v="16"/>
    <x v="2"/>
    <s v="A025"/>
    <x v="0"/>
    <s v="RENEWAL"/>
    <s v="Duo"/>
    <s v="DESK"/>
    <s v="COMPLETED"/>
    <n v="200"/>
    <m/>
    <x v="0"/>
  </r>
  <r>
    <s v="T01075"/>
    <x v="16"/>
    <x v="2"/>
    <s v="A036"/>
    <x v="0"/>
    <s v="NEW"/>
    <s v="Circle"/>
    <s v="DESK"/>
    <s v="COMPLETED"/>
    <n v="300"/>
    <m/>
    <x v="0"/>
  </r>
  <r>
    <s v="T01076"/>
    <x v="16"/>
    <x v="2"/>
    <s v="A035"/>
    <x v="0"/>
    <s v="RENEWAL"/>
    <s v="Duo"/>
    <s v="DESK"/>
    <s v="COMPLETED"/>
    <n v="150"/>
    <m/>
    <x v="1"/>
  </r>
  <r>
    <s v="T01077"/>
    <x v="16"/>
    <x v="2"/>
    <s v="A031"/>
    <x v="0"/>
    <s v="NEW"/>
    <s v="Circle"/>
    <s v="DESK"/>
    <s v="COMPLETED"/>
    <n v="300"/>
    <m/>
    <x v="0"/>
  </r>
  <r>
    <s v="T01078"/>
    <x v="16"/>
    <x v="3"/>
    <s v="A037"/>
    <x v="0"/>
    <s v="NEW"/>
    <s v="Circle"/>
    <s v="DESK"/>
    <s v="COMPLETED"/>
    <n v="255"/>
    <m/>
    <x v="1"/>
  </r>
  <r>
    <s v="T01079"/>
    <x v="16"/>
    <x v="3"/>
    <s v="A043"/>
    <x v="0"/>
    <s v="RENEWAL"/>
    <s v="Single"/>
    <s v="DESK"/>
    <s v="COMPLETED"/>
    <n v="120"/>
    <m/>
    <x v="0"/>
  </r>
  <r>
    <s v="T01080"/>
    <x v="16"/>
    <x v="3"/>
    <s v="A045"/>
    <x v="0"/>
    <s v="RENEWAL"/>
    <s v="Circle"/>
    <s v="DESK"/>
    <s v="COMPLETED"/>
    <n v="255"/>
    <m/>
    <x v="1"/>
  </r>
  <r>
    <s v="T01081"/>
    <x v="16"/>
    <x v="3"/>
    <s v="A046"/>
    <x v="0"/>
    <s v="NEW"/>
    <s v="Circle"/>
    <s v="DESK"/>
    <s v="COMPLETED"/>
    <n v="300"/>
    <m/>
    <x v="0"/>
  </r>
  <r>
    <s v="T01082"/>
    <x v="16"/>
    <x v="3"/>
    <s v="A039"/>
    <x v="0"/>
    <s v="NEW"/>
    <s v="Circle"/>
    <s v="DESK"/>
    <s v="COMPLETED"/>
    <n v="300"/>
    <m/>
    <x v="0"/>
  </r>
  <r>
    <s v="T01083"/>
    <x v="16"/>
    <x v="3"/>
    <s v="A038"/>
    <x v="0"/>
    <s v="NEW"/>
    <s v="Single"/>
    <s v="DESK"/>
    <s v="COMPLETED"/>
    <n v="120"/>
    <m/>
    <x v="0"/>
  </r>
  <r>
    <s v="T01084"/>
    <x v="16"/>
    <x v="3"/>
    <s v="A045"/>
    <x v="0"/>
    <s v="NEW"/>
    <s v="Single"/>
    <s v="DESK"/>
    <s v="VOID"/>
    <n v="120"/>
    <m/>
    <x v="0"/>
  </r>
  <r>
    <s v="T01085"/>
    <x v="16"/>
    <x v="3"/>
    <s v="A039"/>
    <x v="0"/>
    <s v="NEW"/>
    <s v="Duo"/>
    <s v="DESK"/>
    <s v="COMPLETED"/>
    <n v="200"/>
    <m/>
    <x v="0"/>
  </r>
  <r>
    <s v="T01086"/>
    <x v="16"/>
    <x v="3"/>
    <s v="A044"/>
    <x v="0"/>
    <s v="NEW"/>
    <s v="Duo"/>
    <s v="DESK"/>
    <s v="COMPLETED"/>
    <n v="200"/>
    <m/>
    <x v="0"/>
  </r>
  <r>
    <s v="T01087"/>
    <x v="16"/>
    <x v="3"/>
    <s v="A039"/>
    <x v="0"/>
    <s v="RENEWAL"/>
    <s v="Single"/>
    <s v="DESK"/>
    <s v="COMPLETED"/>
    <n v="120"/>
    <m/>
    <x v="0"/>
  </r>
  <r>
    <s v="T01088"/>
    <x v="16"/>
    <x v="3"/>
    <s v="A045"/>
    <x v="0"/>
    <s v="NEW"/>
    <s v="Single"/>
    <s v="DESK"/>
    <s v="COMPLETED"/>
    <n v="120"/>
    <m/>
    <x v="0"/>
  </r>
  <r>
    <s v="T01089"/>
    <x v="16"/>
    <x v="3"/>
    <s v="A037"/>
    <x v="0"/>
    <s v="NEW"/>
    <s v="Single"/>
    <s v="DESK"/>
    <s v="COMPLETED"/>
    <n v="120"/>
    <m/>
    <x v="0"/>
  </r>
  <r>
    <s v="T01090"/>
    <x v="16"/>
    <x v="3"/>
    <s v="A037"/>
    <x v="0"/>
    <s v="NEW"/>
    <s v="Duo"/>
    <s v="DESK"/>
    <s v="COMPLETED"/>
    <n v="200"/>
    <m/>
    <x v="0"/>
  </r>
  <r>
    <s v="T01091"/>
    <x v="16"/>
    <x v="3"/>
    <s v="A048"/>
    <x v="0"/>
    <s v="NEW"/>
    <s v="Duo"/>
    <s v="DESK"/>
    <s v="COMPLETED"/>
    <n v="200"/>
    <m/>
    <x v="0"/>
  </r>
  <r>
    <s v="T01092"/>
    <x v="16"/>
    <x v="3"/>
    <s v="A037"/>
    <x v="0"/>
    <s v="NEW"/>
    <s v="Circle"/>
    <s v="DESK"/>
    <s v="COMPLETED"/>
    <n v="300"/>
    <m/>
    <x v="0"/>
  </r>
  <r>
    <s v="T01093"/>
    <x v="16"/>
    <x v="3"/>
    <s v="A046"/>
    <x v="0"/>
    <s v="NEW"/>
    <s v="Duo"/>
    <s v="DESK"/>
    <s v="PENDING"/>
    <n v="200"/>
    <m/>
    <x v="0"/>
  </r>
  <r>
    <s v="T01094"/>
    <x v="16"/>
    <x v="3"/>
    <s v="A047"/>
    <x v="0"/>
    <s v="NEW"/>
    <s v="Duo"/>
    <s v="DESK"/>
    <s v="COMPLETED"/>
    <n v="200"/>
    <m/>
    <x v="0"/>
  </r>
  <r>
    <s v="T01095"/>
    <x v="16"/>
    <x v="3"/>
    <s v="A040"/>
    <x v="0"/>
    <s v="RENEWAL"/>
    <s v="Single"/>
    <s v="DESK"/>
    <s v="PENDING"/>
    <n v="120"/>
    <m/>
    <x v="0"/>
  </r>
  <r>
    <s v="T01096"/>
    <x v="16"/>
    <x v="3"/>
    <s v="A038"/>
    <x v="0"/>
    <s v="NEW"/>
    <s v="Single"/>
    <s v="DESK"/>
    <s v="COMPLETED"/>
    <n v="120"/>
    <m/>
    <x v="0"/>
  </r>
  <r>
    <s v="T02099"/>
    <x v="16"/>
    <x v="1"/>
    <s v="A014"/>
    <x v="1"/>
    <s v="NEW"/>
    <s v="Duo"/>
    <s v="DESK"/>
    <s v="COMPLETED"/>
    <n v="200"/>
    <s v="T00981"/>
    <x v="0"/>
  </r>
  <r>
    <s v="T01097"/>
    <x v="17"/>
    <x v="0"/>
    <s v="A003"/>
    <x v="0"/>
    <s v="NEW"/>
    <s v="Duo"/>
    <s v="DESK"/>
    <s v="COMPLETED"/>
    <n v="200"/>
    <m/>
    <x v="0"/>
  </r>
  <r>
    <s v="T01098"/>
    <x v="17"/>
    <x v="0"/>
    <s v="A007"/>
    <x v="0"/>
    <s v="RENEWAL"/>
    <s v="Single"/>
    <s v="DESK"/>
    <s v="COMPLETED"/>
    <n v="120"/>
    <m/>
    <x v="0"/>
  </r>
  <r>
    <s v="T01099"/>
    <x v="17"/>
    <x v="0"/>
    <s v="A010"/>
    <x v="0"/>
    <s v="NEW"/>
    <s v="Single"/>
    <s v="DESK"/>
    <s v="COMPLETED"/>
    <n v="120"/>
    <m/>
    <x v="0"/>
  </r>
  <r>
    <s v="T01100"/>
    <x v="17"/>
    <x v="0"/>
    <s v="A007"/>
    <x v="0"/>
    <s v="NEW"/>
    <s v="Single"/>
    <s v="DESK"/>
    <s v="COMPLETED"/>
    <n v="120"/>
    <m/>
    <x v="0"/>
  </r>
  <r>
    <s v="T01101"/>
    <x v="17"/>
    <x v="0"/>
    <s v="A003"/>
    <x v="0"/>
    <s v="NEW"/>
    <s v="Circle"/>
    <s v="ONLINE"/>
    <s v="COMPLETED"/>
    <n v="300"/>
    <m/>
    <x v="0"/>
  </r>
  <r>
    <s v="T01102"/>
    <x v="17"/>
    <x v="0"/>
    <s v="A008"/>
    <x v="0"/>
    <s v="NEW"/>
    <s v="Duo"/>
    <s v="DESK"/>
    <s v="COMPLETED"/>
    <n v="200"/>
    <m/>
    <x v="0"/>
  </r>
  <r>
    <s v="T01103"/>
    <x v="17"/>
    <x v="0"/>
    <s v="A012"/>
    <x v="0"/>
    <s v="NEW"/>
    <s v="Duo"/>
    <s v="DESK"/>
    <s v="COMPLETED"/>
    <n v="200"/>
    <m/>
    <x v="0"/>
  </r>
  <r>
    <s v="T01104"/>
    <x v="17"/>
    <x v="0"/>
    <s v="A010"/>
    <x v="0"/>
    <s v="RENEWAL"/>
    <s v="Duo"/>
    <s v="DESK"/>
    <s v="COMPLETED"/>
    <n v="200"/>
    <m/>
    <x v="0"/>
  </r>
  <r>
    <s v="T01105"/>
    <x v="17"/>
    <x v="0"/>
    <s v="A001"/>
    <x v="0"/>
    <s v="NEW"/>
    <s v="Circle"/>
    <s v="DESK"/>
    <s v="COMPLETED"/>
    <n v="300"/>
    <m/>
    <x v="0"/>
  </r>
  <r>
    <s v="T01106"/>
    <x v="17"/>
    <x v="0"/>
    <s v="A008"/>
    <x v="0"/>
    <s v="NEW"/>
    <s v="Single"/>
    <s v="DESK"/>
    <s v="COMPLETED"/>
    <n v="102"/>
    <m/>
    <x v="1"/>
  </r>
  <r>
    <s v="T01107"/>
    <x v="17"/>
    <x v="0"/>
    <s v="A001"/>
    <x v="0"/>
    <s v="NEW"/>
    <s v="Single"/>
    <s v="DESK"/>
    <s v="COMPLETED"/>
    <n v="120"/>
    <m/>
    <x v="0"/>
  </r>
  <r>
    <s v="T01108"/>
    <x v="17"/>
    <x v="0"/>
    <s v="A009"/>
    <x v="0"/>
    <s v="NEW"/>
    <s v="Circle"/>
    <s v="DESK"/>
    <s v="COMPLETED"/>
    <n v="300"/>
    <m/>
    <x v="0"/>
  </r>
  <r>
    <s v="T01109"/>
    <x v="17"/>
    <x v="0"/>
    <s v="A010"/>
    <x v="0"/>
    <s v="RENEWAL"/>
    <s v="Circle"/>
    <s v="DESK"/>
    <s v="COMPLETED"/>
    <n v="300"/>
    <m/>
    <x v="0"/>
  </r>
  <r>
    <s v="T01110"/>
    <x v="17"/>
    <x v="0"/>
    <s v="A010"/>
    <x v="0"/>
    <s v="NEW"/>
    <s v="Single"/>
    <s v="DESK"/>
    <s v="COMPLETED"/>
    <n v="120"/>
    <m/>
    <x v="0"/>
  </r>
  <r>
    <s v="T01111"/>
    <x v="17"/>
    <x v="0"/>
    <s v="A005"/>
    <x v="0"/>
    <s v="NEW"/>
    <s v="Circle"/>
    <s v="DESK"/>
    <s v="COMPLETED"/>
    <n v="300"/>
    <m/>
    <x v="0"/>
  </r>
  <r>
    <s v="T01112"/>
    <x v="17"/>
    <x v="0"/>
    <s v="A004"/>
    <x v="0"/>
    <s v="NEW"/>
    <s v="Single"/>
    <s v="DESK"/>
    <s v="COMPLETED"/>
    <n v="120"/>
    <m/>
    <x v="0"/>
  </r>
  <r>
    <s v="T01113"/>
    <x v="17"/>
    <x v="0"/>
    <s v="A012"/>
    <x v="0"/>
    <s v="NEW"/>
    <s v="Duo"/>
    <s v="DESK"/>
    <s v="COMPLETED"/>
    <n v="150"/>
    <m/>
    <x v="1"/>
  </r>
  <r>
    <s v="T01114"/>
    <x v="17"/>
    <x v="0"/>
    <s v="A004"/>
    <x v="0"/>
    <s v="NEW"/>
    <s v="Duo"/>
    <s v="DESK"/>
    <s v="COMPLETED"/>
    <n v="200"/>
    <m/>
    <x v="0"/>
  </r>
  <r>
    <s v="T01115"/>
    <x v="17"/>
    <x v="0"/>
    <s v="A009"/>
    <x v="0"/>
    <s v="NEW"/>
    <s v="Single"/>
    <s v="DESK"/>
    <s v="COMPLETED"/>
    <n v="120"/>
    <m/>
    <x v="0"/>
  </r>
  <r>
    <s v="T01116"/>
    <x v="17"/>
    <x v="1"/>
    <s v="A013"/>
    <x v="0"/>
    <s v="RENEWAL"/>
    <s v="Circle"/>
    <s v="DESK"/>
    <s v="COMPLETED"/>
    <n v="300"/>
    <m/>
    <x v="0"/>
  </r>
  <r>
    <s v="T01117"/>
    <x v="17"/>
    <x v="1"/>
    <s v="A022"/>
    <x v="0"/>
    <s v="NEW"/>
    <s v="Single"/>
    <s v="DESK"/>
    <s v="COMPLETED"/>
    <n v="120"/>
    <m/>
    <x v="0"/>
  </r>
  <r>
    <s v="T01118"/>
    <x v="17"/>
    <x v="1"/>
    <s v="A015"/>
    <x v="0"/>
    <s v="NEW"/>
    <s v="Circle"/>
    <s v="DESK"/>
    <s v="COMPLETED"/>
    <n v="300"/>
    <m/>
    <x v="0"/>
  </r>
  <r>
    <s v="T01119"/>
    <x v="17"/>
    <x v="1"/>
    <s v="A020"/>
    <x v="0"/>
    <s v="NEW"/>
    <s v="Circle"/>
    <s v="DESK"/>
    <s v="COMPLETED"/>
    <n v="300"/>
    <m/>
    <x v="0"/>
  </r>
  <r>
    <s v="T01120"/>
    <x v="17"/>
    <x v="1"/>
    <s v="A017"/>
    <x v="0"/>
    <s v="NEW"/>
    <s v="Duo"/>
    <s v="ONLINE"/>
    <s v="VOID"/>
    <n v="200"/>
    <m/>
    <x v="0"/>
  </r>
  <r>
    <s v="T01121"/>
    <x v="17"/>
    <x v="1"/>
    <s v="A022"/>
    <x v="0"/>
    <s v="NEW"/>
    <s v="Duo"/>
    <s v="DESK"/>
    <s v="COMPLETED"/>
    <n v="170"/>
    <m/>
    <x v="1"/>
  </r>
  <r>
    <s v="T01122"/>
    <x v="17"/>
    <x v="1"/>
    <s v="A022"/>
    <x v="0"/>
    <s v="NEW"/>
    <s v="Circle"/>
    <s v="DESK"/>
    <s v="COMPLETED"/>
    <n v="300"/>
    <m/>
    <x v="0"/>
  </r>
  <r>
    <s v="T01123"/>
    <x v="17"/>
    <x v="1"/>
    <s v="A015"/>
    <x v="0"/>
    <s v="NEW"/>
    <s v="Duo"/>
    <s v="DESK"/>
    <s v="COMPLETED"/>
    <n v="200"/>
    <m/>
    <x v="0"/>
  </r>
  <r>
    <s v="T01124"/>
    <x v="17"/>
    <x v="1"/>
    <s v="A018"/>
    <x v="0"/>
    <s v="NEW"/>
    <s v="Single"/>
    <s v="ONLINE"/>
    <s v="COMPLETED"/>
    <n v="120"/>
    <m/>
    <x v="0"/>
  </r>
  <r>
    <s v="T01125"/>
    <x v="17"/>
    <x v="1"/>
    <s v="A022"/>
    <x v="0"/>
    <s v="NEW"/>
    <s v="Duo"/>
    <s v="DESK"/>
    <s v="COMPLETED"/>
    <n v="200"/>
    <m/>
    <x v="0"/>
  </r>
  <r>
    <s v="T01126"/>
    <x v="17"/>
    <x v="1"/>
    <s v="A024"/>
    <x v="0"/>
    <s v="NEW"/>
    <s v="Circle"/>
    <s v="DESK"/>
    <s v="COMPLETED"/>
    <n v="300"/>
    <m/>
    <x v="0"/>
  </r>
  <r>
    <s v="T01127"/>
    <x v="17"/>
    <x v="1"/>
    <s v="A013"/>
    <x v="0"/>
    <s v="NEW"/>
    <s v="Single"/>
    <s v="DESK"/>
    <s v="COMPLETED"/>
    <n v="120"/>
    <m/>
    <x v="0"/>
  </r>
  <r>
    <s v="T01128"/>
    <x v="17"/>
    <x v="1"/>
    <s v="A023"/>
    <x v="0"/>
    <s v="NEW"/>
    <s v="Circle"/>
    <s v="DESK"/>
    <s v="COMPLETED"/>
    <n v="300"/>
    <m/>
    <x v="0"/>
  </r>
  <r>
    <s v="T01129"/>
    <x v="17"/>
    <x v="1"/>
    <s v="A014"/>
    <x v="0"/>
    <s v="NEW"/>
    <s v="Duo"/>
    <s v="DESK"/>
    <s v="COMPLETED"/>
    <n v="200"/>
    <m/>
    <x v="0"/>
  </r>
  <r>
    <s v="T01130"/>
    <x v="17"/>
    <x v="1"/>
    <s v="A014"/>
    <x v="0"/>
    <s v="NEW"/>
    <s v="Circle"/>
    <s v="DESK"/>
    <s v="COMPLETED"/>
    <n v="255"/>
    <m/>
    <x v="1"/>
  </r>
  <r>
    <s v="T01131"/>
    <x v="17"/>
    <x v="2"/>
    <s v="A030"/>
    <x v="0"/>
    <s v="NEW"/>
    <s v="Circle"/>
    <s v="DESK"/>
    <s v="COMPLETED"/>
    <n v="300"/>
    <m/>
    <x v="0"/>
  </r>
  <r>
    <s v="T01132"/>
    <x v="17"/>
    <x v="2"/>
    <s v="A027"/>
    <x v="0"/>
    <s v="NEW"/>
    <s v="Circle"/>
    <s v="DESK"/>
    <s v="COMPLETED"/>
    <n v="300"/>
    <m/>
    <x v="0"/>
  </r>
  <r>
    <s v="T01133"/>
    <x v="17"/>
    <x v="2"/>
    <s v="A028"/>
    <x v="0"/>
    <s v="NEW"/>
    <s v="Circle"/>
    <s v="DESK"/>
    <s v="COMPLETED"/>
    <n v="300"/>
    <m/>
    <x v="0"/>
  </r>
  <r>
    <s v="T01134"/>
    <x v="17"/>
    <x v="2"/>
    <s v="A030"/>
    <x v="0"/>
    <s v="NEW"/>
    <s v="Duo"/>
    <s v="DESK"/>
    <s v="COMPLETED"/>
    <n v="200"/>
    <m/>
    <x v="0"/>
  </r>
  <r>
    <s v="T01135"/>
    <x v="17"/>
    <x v="2"/>
    <s v="A027"/>
    <x v="0"/>
    <s v="NEW"/>
    <s v="Duo"/>
    <s v="DESK"/>
    <s v="COMPLETED"/>
    <n v="200"/>
    <m/>
    <x v="0"/>
  </r>
  <r>
    <s v="T01136"/>
    <x v="17"/>
    <x v="2"/>
    <s v="A030"/>
    <x v="0"/>
    <s v="RENEWAL"/>
    <s v="Circle"/>
    <s v="DESK"/>
    <s v="COMPLETED"/>
    <n v="300"/>
    <m/>
    <x v="0"/>
  </r>
  <r>
    <s v="T01137"/>
    <x v="17"/>
    <x v="2"/>
    <s v="A032"/>
    <x v="0"/>
    <s v="NEW"/>
    <s v="Duo"/>
    <s v="DESK"/>
    <s v="COMPLETED"/>
    <n v="200"/>
    <m/>
    <x v="0"/>
  </r>
  <r>
    <s v="T01138"/>
    <x v="17"/>
    <x v="2"/>
    <s v="A035"/>
    <x v="0"/>
    <s v="NEW"/>
    <s v="Single"/>
    <s v="DESK"/>
    <s v="COMPLETED"/>
    <n v="120"/>
    <m/>
    <x v="0"/>
  </r>
  <r>
    <s v="T01139"/>
    <x v="17"/>
    <x v="2"/>
    <s v="A034"/>
    <x v="0"/>
    <s v="NEW"/>
    <s v="Duo"/>
    <s v="DESK"/>
    <s v="COMPLETED"/>
    <n v="200"/>
    <m/>
    <x v="0"/>
  </r>
  <r>
    <s v="T01140"/>
    <x v="17"/>
    <x v="2"/>
    <s v="A025"/>
    <x v="0"/>
    <s v="RENEWAL"/>
    <s v="Single"/>
    <s v="DESK"/>
    <s v="COMPLETED"/>
    <n v="120"/>
    <m/>
    <x v="0"/>
  </r>
  <r>
    <s v="T01141"/>
    <x v="17"/>
    <x v="2"/>
    <s v="A033"/>
    <x v="0"/>
    <s v="NEW"/>
    <s v="Single"/>
    <s v="DESK"/>
    <s v="COMPLETED"/>
    <n v="120"/>
    <m/>
    <x v="0"/>
  </r>
  <r>
    <s v="T01142"/>
    <x v="17"/>
    <x v="2"/>
    <s v="A028"/>
    <x v="0"/>
    <s v="NEW"/>
    <s v="Circle"/>
    <s v="DESK"/>
    <s v="COMPLETED"/>
    <n v="300"/>
    <m/>
    <x v="0"/>
  </r>
  <r>
    <s v="T01143"/>
    <x v="17"/>
    <x v="2"/>
    <s v="A036"/>
    <x v="0"/>
    <s v="NEW"/>
    <s v="Single"/>
    <s v="DESK"/>
    <s v="COMPLETED"/>
    <n v="120"/>
    <m/>
    <x v="0"/>
  </r>
  <r>
    <s v="T01144"/>
    <x v="17"/>
    <x v="2"/>
    <s v="A032"/>
    <x v="0"/>
    <s v="NEW"/>
    <s v="Circle"/>
    <s v="DESK"/>
    <s v="COMPLETED"/>
    <n v="300"/>
    <m/>
    <x v="0"/>
  </r>
  <r>
    <s v="T01145"/>
    <x v="17"/>
    <x v="2"/>
    <s v="A027"/>
    <x v="0"/>
    <s v="RENEWAL"/>
    <s v="Single"/>
    <s v="DESK"/>
    <s v="COMPLETED"/>
    <n v="120"/>
    <m/>
    <x v="0"/>
  </r>
  <r>
    <s v="T01146"/>
    <x v="17"/>
    <x v="2"/>
    <s v="A029"/>
    <x v="0"/>
    <s v="NEW"/>
    <s v="Duo"/>
    <s v="ONLINE"/>
    <s v="COMPLETED"/>
    <n v="200"/>
    <m/>
    <x v="0"/>
  </r>
  <r>
    <s v="T01147"/>
    <x v="17"/>
    <x v="2"/>
    <s v="A032"/>
    <x v="0"/>
    <s v="RENEWAL"/>
    <s v="Circle"/>
    <s v="ONLINE"/>
    <s v="COMPLETED"/>
    <n v="300"/>
    <m/>
    <x v="0"/>
  </r>
  <r>
    <s v="T01148"/>
    <x v="17"/>
    <x v="2"/>
    <s v="A029"/>
    <x v="0"/>
    <s v="RENEWAL"/>
    <s v="Single"/>
    <s v="DESK"/>
    <s v="COMPLETED"/>
    <n v="120"/>
    <m/>
    <x v="0"/>
  </r>
  <r>
    <s v="T01149"/>
    <x v="17"/>
    <x v="2"/>
    <s v="A028"/>
    <x v="0"/>
    <s v="NEW"/>
    <s v="Circle"/>
    <s v="DESK"/>
    <s v="COMPLETED"/>
    <n v="225"/>
    <m/>
    <x v="2"/>
  </r>
  <r>
    <s v="T01150"/>
    <x v="17"/>
    <x v="2"/>
    <s v="A035"/>
    <x v="0"/>
    <s v="NEW"/>
    <s v="Circle"/>
    <s v="DESK"/>
    <s v="COMPLETED"/>
    <n v="225"/>
    <m/>
    <x v="2"/>
  </r>
  <r>
    <s v="T01151"/>
    <x v="17"/>
    <x v="2"/>
    <s v="A028"/>
    <x v="0"/>
    <s v="NEW"/>
    <s v="Circle"/>
    <s v="DESK"/>
    <s v="COMPLETED"/>
    <n v="225"/>
    <m/>
    <x v="2"/>
  </r>
  <r>
    <s v="T01152"/>
    <x v="17"/>
    <x v="2"/>
    <s v="A035"/>
    <x v="0"/>
    <s v="NEW"/>
    <s v="Circle"/>
    <s v="DESK"/>
    <s v="COMPLETED"/>
    <n v="225"/>
    <m/>
    <x v="2"/>
  </r>
  <r>
    <s v="T01153"/>
    <x v="17"/>
    <x v="2"/>
    <s v="A033"/>
    <x v="0"/>
    <s v="NEW"/>
    <s v="Circle"/>
    <s v="DESK"/>
    <s v="COMPLETED"/>
    <n v="225"/>
    <m/>
    <x v="2"/>
  </r>
  <r>
    <s v="T01154"/>
    <x v="17"/>
    <x v="2"/>
    <s v="A025"/>
    <x v="0"/>
    <s v="NEW"/>
    <s v="Circle"/>
    <s v="DESK"/>
    <s v="COMPLETED"/>
    <n v="225"/>
    <m/>
    <x v="2"/>
  </r>
  <r>
    <s v="T01155"/>
    <x v="17"/>
    <x v="2"/>
    <s v="A036"/>
    <x v="0"/>
    <s v="NEW"/>
    <s v="Circle"/>
    <s v="DESK"/>
    <s v="COMPLETED"/>
    <n v="225"/>
    <m/>
    <x v="2"/>
  </r>
  <r>
    <s v="T01156"/>
    <x v="17"/>
    <x v="2"/>
    <s v="A033"/>
    <x v="0"/>
    <s v="NEW"/>
    <s v="Circle"/>
    <s v="DESK"/>
    <s v="COMPLETED"/>
    <n v="225"/>
    <m/>
    <x v="2"/>
  </r>
  <r>
    <s v="T01157"/>
    <x v="17"/>
    <x v="2"/>
    <s v="A030"/>
    <x v="0"/>
    <s v="NEW"/>
    <s v="Circle"/>
    <s v="DESK"/>
    <s v="COMPLETED"/>
    <n v="225"/>
    <m/>
    <x v="2"/>
  </r>
  <r>
    <s v="T01158"/>
    <x v="17"/>
    <x v="2"/>
    <s v="A032"/>
    <x v="0"/>
    <s v="NEW"/>
    <s v="Circle"/>
    <s v="DESK"/>
    <s v="COMPLETED"/>
    <n v="225"/>
    <m/>
    <x v="2"/>
  </r>
  <r>
    <s v="T01159"/>
    <x v="17"/>
    <x v="2"/>
    <s v="A034"/>
    <x v="0"/>
    <s v="NEW"/>
    <s v="Circle"/>
    <s v="DESK"/>
    <s v="COMPLETED"/>
    <n v="225"/>
    <m/>
    <x v="2"/>
  </r>
  <r>
    <s v="T01160"/>
    <x v="17"/>
    <x v="2"/>
    <s v="A031"/>
    <x v="0"/>
    <s v="NEW"/>
    <s v="Circle"/>
    <s v="DESK"/>
    <s v="COMPLETED"/>
    <n v="225"/>
    <m/>
    <x v="2"/>
  </r>
  <r>
    <s v="T01161"/>
    <x v="17"/>
    <x v="2"/>
    <s v="A033"/>
    <x v="0"/>
    <s v="NEW"/>
    <s v="Circle"/>
    <s v="DESK"/>
    <s v="COMPLETED"/>
    <n v="225"/>
    <m/>
    <x v="2"/>
  </r>
  <r>
    <s v="T01162"/>
    <x v="17"/>
    <x v="2"/>
    <s v="A027"/>
    <x v="0"/>
    <s v="NEW"/>
    <s v="Circle"/>
    <s v="DESK"/>
    <s v="COMPLETED"/>
    <n v="225"/>
    <m/>
    <x v="2"/>
  </r>
  <r>
    <s v="T01163"/>
    <x v="17"/>
    <x v="2"/>
    <s v="A030"/>
    <x v="0"/>
    <s v="NEW"/>
    <s v="Circle"/>
    <s v="DESK"/>
    <s v="COMPLETED"/>
    <n v="225"/>
    <m/>
    <x v="2"/>
  </r>
  <r>
    <s v="T01164"/>
    <x v="17"/>
    <x v="2"/>
    <s v="A025"/>
    <x v="0"/>
    <s v="NEW"/>
    <s v="Circle"/>
    <s v="DESK"/>
    <s v="COMPLETED"/>
    <n v="225"/>
    <m/>
    <x v="2"/>
  </r>
  <r>
    <s v="T01165"/>
    <x v="17"/>
    <x v="2"/>
    <s v="A025"/>
    <x v="0"/>
    <s v="NEW"/>
    <s v="Circle"/>
    <s v="DESK"/>
    <s v="COMPLETED"/>
    <n v="225"/>
    <m/>
    <x v="2"/>
  </r>
  <r>
    <s v="T01166"/>
    <x v="17"/>
    <x v="2"/>
    <s v="A025"/>
    <x v="0"/>
    <s v="NEW"/>
    <s v="Circle"/>
    <s v="DESK"/>
    <s v="COMPLETED"/>
    <n v="225"/>
    <m/>
    <x v="2"/>
  </r>
  <r>
    <s v="T01167"/>
    <x v="17"/>
    <x v="2"/>
    <s v="A027"/>
    <x v="0"/>
    <s v="NEW"/>
    <s v="Circle"/>
    <s v="DESK"/>
    <s v="COMPLETED"/>
    <n v="225"/>
    <m/>
    <x v="2"/>
  </r>
  <r>
    <s v="T01168"/>
    <x v="17"/>
    <x v="3"/>
    <s v="A044"/>
    <x v="0"/>
    <s v="NEW"/>
    <s v="Circle"/>
    <s v="DESK"/>
    <s v="COMPLETED"/>
    <n v="300"/>
    <m/>
    <x v="0"/>
  </r>
  <r>
    <s v="T01169"/>
    <x v="17"/>
    <x v="3"/>
    <s v="A048"/>
    <x v="0"/>
    <s v="NEW"/>
    <s v="Circle"/>
    <s v="DESK"/>
    <s v="COMPLETED"/>
    <n v="255"/>
    <m/>
    <x v="1"/>
  </r>
  <r>
    <s v="T01170"/>
    <x v="17"/>
    <x v="3"/>
    <s v="A046"/>
    <x v="0"/>
    <s v="NEW"/>
    <s v="Circle"/>
    <s v="DESK"/>
    <s v="COMPLETED"/>
    <n v="300"/>
    <m/>
    <x v="0"/>
  </r>
  <r>
    <s v="T01171"/>
    <x v="17"/>
    <x v="3"/>
    <s v="A044"/>
    <x v="0"/>
    <s v="RENEWAL"/>
    <s v="Single"/>
    <s v="DESK"/>
    <s v="COMPLETED"/>
    <n v="102"/>
    <m/>
    <x v="1"/>
  </r>
  <r>
    <s v="T01172"/>
    <x v="17"/>
    <x v="3"/>
    <s v="A043"/>
    <x v="0"/>
    <s v="NEW"/>
    <s v="Circle"/>
    <s v="DESK"/>
    <s v="COMPLETED"/>
    <n v="300"/>
    <m/>
    <x v="0"/>
  </r>
  <r>
    <s v="T01173"/>
    <x v="17"/>
    <x v="3"/>
    <s v="A042"/>
    <x v="0"/>
    <s v="NEW"/>
    <s v="Circle"/>
    <s v="DESK"/>
    <s v="COMPLETED"/>
    <n v="300"/>
    <m/>
    <x v="0"/>
  </r>
  <r>
    <s v="T01174"/>
    <x v="17"/>
    <x v="3"/>
    <s v="A039"/>
    <x v="0"/>
    <s v="NEW"/>
    <s v="Single"/>
    <s v="DESK"/>
    <s v="COMPLETED"/>
    <n v="120"/>
    <m/>
    <x v="0"/>
  </r>
  <r>
    <s v="T01175"/>
    <x v="17"/>
    <x v="3"/>
    <s v="A043"/>
    <x v="0"/>
    <s v="NEW"/>
    <s v="Single"/>
    <s v="DESK"/>
    <s v="COMPLETED"/>
    <n v="102"/>
    <m/>
    <x v="1"/>
  </r>
  <r>
    <s v="T01176"/>
    <x v="17"/>
    <x v="3"/>
    <s v="A038"/>
    <x v="0"/>
    <s v="RENEWAL"/>
    <s v="Single"/>
    <s v="DESK"/>
    <s v="COMPLETED"/>
    <n v="120"/>
    <m/>
    <x v="0"/>
  </r>
  <r>
    <s v="T01177"/>
    <x v="17"/>
    <x v="3"/>
    <s v="A042"/>
    <x v="0"/>
    <s v="NEW"/>
    <s v="Duo"/>
    <s v="DESK"/>
    <s v="PENDING"/>
    <n v="170"/>
    <m/>
    <x v="1"/>
  </r>
  <r>
    <s v="T01178"/>
    <x v="17"/>
    <x v="3"/>
    <s v="A046"/>
    <x v="0"/>
    <s v="RENEWAL"/>
    <s v="Circle"/>
    <s v="DESK"/>
    <s v="COMPLETED"/>
    <n v="300"/>
    <m/>
    <x v="0"/>
  </r>
  <r>
    <s v="T01179"/>
    <x v="17"/>
    <x v="3"/>
    <s v="A045"/>
    <x v="0"/>
    <s v="NEW"/>
    <s v="Circle"/>
    <s v="DESK"/>
    <s v="COMPLETED"/>
    <n v="300"/>
    <m/>
    <x v="0"/>
  </r>
  <r>
    <s v="T01180"/>
    <x v="17"/>
    <x v="3"/>
    <s v="A039"/>
    <x v="0"/>
    <s v="NEW"/>
    <s v="Single"/>
    <s v="DESK"/>
    <s v="COMPLETED"/>
    <n v="120"/>
    <m/>
    <x v="0"/>
  </r>
  <r>
    <s v="T01181"/>
    <x v="17"/>
    <x v="3"/>
    <s v="A037"/>
    <x v="0"/>
    <s v="NEW"/>
    <s v="Duo"/>
    <s v="DESK"/>
    <s v="COMPLETED"/>
    <n v="200"/>
    <m/>
    <x v="0"/>
  </r>
  <r>
    <s v="T01182"/>
    <x v="17"/>
    <x v="3"/>
    <s v="A039"/>
    <x v="0"/>
    <s v="NEW"/>
    <s v="Duo"/>
    <s v="DESK"/>
    <s v="COMPLETED"/>
    <n v="200"/>
    <m/>
    <x v="0"/>
  </r>
  <r>
    <s v="T01183"/>
    <x v="17"/>
    <x v="3"/>
    <s v="A037"/>
    <x v="0"/>
    <s v="NEW"/>
    <s v="Circle"/>
    <s v="DESK"/>
    <s v="COMPLETED"/>
    <n v="300"/>
    <m/>
    <x v="0"/>
  </r>
  <r>
    <s v="T01184"/>
    <x v="17"/>
    <x v="3"/>
    <s v="A042"/>
    <x v="0"/>
    <s v="NEW"/>
    <s v="Single"/>
    <s v="DESK"/>
    <s v="VOID"/>
    <n v="120"/>
    <m/>
    <x v="0"/>
  </r>
  <r>
    <s v="T01185"/>
    <x v="17"/>
    <x v="3"/>
    <s v="A039"/>
    <x v="0"/>
    <s v="NEW"/>
    <s v="Circle"/>
    <s v="DESK"/>
    <s v="COMPLETED"/>
    <n v="300"/>
    <m/>
    <x v="0"/>
  </r>
  <r>
    <s v="T01186"/>
    <x v="17"/>
    <x v="3"/>
    <s v="A037"/>
    <x v="0"/>
    <s v="NEW"/>
    <s v="Circle"/>
    <s v="DESK"/>
    <s v="COMPLETED"/>
    <n v="300"/>
    <m/>
    <x v="0"/>
  </r>
  <r>
    <s v="T02064"/>
    <x v="17"/>
    <x v="3"/>
    <s v="A044"/>
    <x v="1"/>
    <s v="NEW"/>
    <s v="Single"/>
    <s v="DESK"/>
    <s v="COMPLETED"/>
    <n v="120"/>
    <s v="T01096"/>
    <x v="0"/>
  </r>
  <r>
    <s v="T02065"/>
    <x v="17"/>
    <x v="1"/>
    <s v="A013"/>
    <x v="1"/>
    <s v="NEW"/>
    <s v="Circle"/>
    <s v="DESK"/>
    <s v="COMPLETED"/>
    <n v="300"/>
    <s v="T00976"/>
    <x v="0"/>
  </r>
  <r>
    <s v="T02070"/>
    <x v="17"/>
    <x v="3"/>
    <s v="A048"/>
    <x v="1"/>
    <s v="NEW"/>
    <s v="Circle"/>
    <s v="DESK"/>
    <s v="COMPLETED"/>
    <n v="300"/>
    <s v="T00886"/>
    <x v="0"/>
  </r>
  <r>
    <s v="T02080"/>
    <x v="17"/>
    <x v="1"/>
    <s v="A016"/>
    <x v="1"/>
    <s v="NEW"/>
    <s v="Circle"/>
    <s v="DESK"/>
    <s v="COMPLETED"/>
    <n v="300"/>
    <s v="T01052"/>
    <x v="0"/>
  </r>
  <r>
    <s v="T01187"/>
    <x v="18"/>
    <x v="0"/>
    <s v="A009"/>
    <x v="0"/>
    <s v="NEW"/>
    <s v="Single"/>
    <s v="DESK"/>
    <s v="COMPLETED"/>
    <n v="120"/>
    <m/>
    <x v="0"/>
  </r>
  <r>
    <s v="T01188"/>
    <x v="18"/>
    <x v="0"/>
    <s v="A009"/>
    <x v="0"/>
    <s v="RENEWAL"/>
    <s v="Duo"/>
    <s v="DESK"/>
    <s v="COMPLETED"/>
    <n v="200"/>
    <m/>
    <x v="0"/>
  </r>
  <r>
    <s v="T01189"/>
    <x v="18"/>
    <x v="0"/>
    <s v="A007"/>
    <x v="0"/>
    <s v="NEW"/>
    <s v="Single"/>
    <s v="DESK"/>
    <s v="COMPLETED"/>
    <n v="120"/>
    <m/>
    <x v="0"/>
  </r>
  <r>
    <s v="T01190"/>
    <x v="18"/>
    <x v="0"/>
    <s v="A004"/>
    <x v="0"/>
    <s v="NEW"/>
    <s v="Circle"/>
    <s v="DESK"/>
    <s v="PENDING"/>
    <n v="300"/>
    <m/>
    <x v="0"/>
  </r>
  <r>
    <s v="T01191"/>
    <x v="18"/>
    <x v="0"/>
    <s v="A002"/>
    <x v="0"/>
    <s v="NEW"/>
    <s v="Single"/>
    <s v="DESK"/>
    <s v="COMPLETED"/>
    <n v="120"/>
    <m/>
    <x v="0"/>
  </r>
  <r>
    <s v="T01192"/>
    <x v="18"/>
    <x v="0"/>
    <s v="A001"/>
    <x v="0"/>
    <s v="NEW"/>
    <s v="Circle"/>
    <s v="DESK"/>
    <s v="COMPLETED"/>
    <n v="300"/>
    <m/>
    <x v="0"/>
  </r>
  <r>
    <s v="T01193"/>
    <x v="18"/>
    <x v="0"/>
    <s v="A012"/>
    <x v="0"/>
    <s v="RENEWAL"/>
    <s v="Circle"/>
    <s v="ONLINE"/>
    <s v="COMPLETED"/>
    <n v="255"/>
    <m/>
    <x v="1"/>
  </r>
  <r>
    <s v="T01194"/>
    <x v="18"/>
    <x v="0"/>
    <s v="A008"/>
    <x v="0"/>
    <s v="NEW"/>
    <s v="Single"/>
    <s v="DESK"/>
    <s v="COMPLETED"/>
    <n v="90"/>
    <m/>
    <x v="1"/>
  </r>
  <r>
    <s v="T01195"/>
    <x v="18"/>
    <x v="0"/>
    <s v="A010"/>
    <x v="0"/>
    <s v="NEW"/>
    <s v="Single"/>
    <s v="DESK"/>
    <s v="COMPLETED"/>
    <n v="120"/>
    <m/>
    <x v="0"/>
  </r>
  <r>
    <s v="T01196"/>
    <x v="18"/>
    <x v="0"/>
    <s v="A004"/>
    <x v="0"/>
    <s v="NEW"/>
    <s v="Circle"/>
    <s v="DESK"/>
    <s v="COMPLETED"/>
    <n v="300"/>
    <m/>
    <x v="0"/>
  </r>
  <r>
    <s v="T01197"/>
    <x v="18"/>
    <x v="0"/>
    <s v="A011"/>
    <x v="0"/>
    <s v="NEW"/>
    <s v="Circle"/>
    <s v="DESK"/>
    <s v="COMPLETED"/>
    <n v="300"/>
    <m/>
    <x v="0"/>
  </r>
  <r>
    <s v="T01198"/>
    <x v="18"/>
    <x v="0"/>
    <s v="A012"/>
    <x v="0"/>
    <s v="RENEWAL"/>
    <s v="Duo"/>
    <s v="DESK"/>
    <s v="COMPLETED"/>
    <n v="200"/>
    <m/>
    <x v="0"/>
  </r>
  <r>
    <s v="T01199"/>
    <x v="18"/>
    <x v="0"/>
    <s v="A010"/>
    <x v="0"/>
    <s v="NEW"/>
    <s v="Single"/>
    <s v="ONLINE"/>
    <s v="COMPLETED"/>
    <n v="120"/>
    <m/>
    <x v="0"/>
  </r>
  <r>
    <s v="T01200"/>
    <x v="18"/>
    <x v="0"/>
    <s v="A011"/>
    <x v="0"/>
    <s v="NEW"/>
    <s v="Circle"/>
    <s v="DESK"/>
    <s v="COMPLETED"/>
    <n v="300"/>
    <m/>
    <x v="0"/>
  </r>
  <r>
    <s v="T01201"/>
    <x v="18"/>
    <x v="0"/>
    <s v="A005"/>
    <x v="0"/>
    <s v="NEW"/>
    <s v="Single"/>
    <s v="DESK"/>
    <s v="COMPLETED"/>
    <n v="120"/>
    <m/>
    <x v="0"/>
  </r>
  <r>
    <s v="T01202"/>
    <x v="18"/>
    <x v="0"/>
    <s v="A005"/>
    <x v="0"/>
    <s v="NEW"/>
    <s v="Single"/>
    <s v="DESK"/>
    <s v="COMPLETED"/>
    <n v="120"/>
    <m/>
    <x v="0"/>
  </r>
  <r>
    <s v="T01203"/>
    <x v="18"/>
    <x v="0"/>
    <s v="A005"/>
    <x v="0"/>
    <s v="NEW"/>
    <s v="Circle"/>
    <s v="ONLINE"/>
    <s v="COMPLETED"/>
    <n v="300"/>
    <m/>
    <x v="0"/>
  </r>
  <r>
    <s v="T01204"/>
    <x v="18"/>
    <x v="0"/>
    <s v="A012"/>
    <x v="0"/>
    <s v="NEW"/>
    <s v="Circle"/>
    <s v="DESK"/>
    <s v="COMPLETED"/>
    <n v="225"/>
    <m/>
    <x v="1"/>
  </r>
  <r>
    <s v="T01205"/>
    <x v="18"/>
    <x v="0"/>
    <s v="A004"/>
    <x v="0"/>
    <s v="NEW"/>
    <s v="Duo"/>
    <s v="DESK"/>
    <s v="COMPLETED"/>
    <n v="200"/>
    <m/>
    <x v="0"/>
  </r>
  <r>
    <s v="T01206"/>
    <x v="18"/>
    <x v="1"/>
    <s v="A019"/>
    <x v="0"/>
    <s v="NEW"/>
    <s v="Duo"/>
    <s v="DESK"/>
    <s v="COMPLETED"/>
    <n v="200"/>
    <m/>
    <x v="0"/>
  </r>
  <r>
    <s v="T01207"/>
    <x v="18"/>
    <x v="1"/>
    <s v="A015"/>
    <x v="0"/>
    <s v="NEW"/>
    <s v="Single"/>
    <s v="DESK"/>
    <s v="COMPLETED"/>
    <n v="120"/>
    <m/>
    <x v="0"/>
  </r>
  <r>
    <s v="T01208"/>
    <x v="18"/>
    <x v="1"/>
    <s v="A019"/>
    <x v="0"/>
    <s v="NEW"/>
    <s v="Circle"/>
    <s v="ONLINE"/>
    <s v="COMPLETED"/>
    <n v="300"/>
    <m/>
    <x v="0"/>
  </r>
  <r>
    <s v="T01209"/>
    <x v="18"/>
    <x v="1"/>
    <s v="A022"/>
    <x v="0"/>
    <s v="NEW"/>
    <s v="Circle"/>
    <s v="DESK"/>
    <s v="COMPLETED"/>
    <n v="300"/>
    <m/>
    <x v="0"/>
  </r>
  <r>
    <s v="T01210"/>
    <x v="18"/>
    <x v="1"/>
    <s v="A018"/>
    <x v="0"/>
    <s v="NEW"/>
    <s v="Duo"/>
    <s v="DESK"/>
    <s v="COMPLETED"/>
    <n v="170"/>
    <m/>
    <x v="1"/>
  </r>
  <r>
    <s v="T01211"/>
    <x v="18"/>
    <x v="1"/>
    <s v="A023"/>
    <x v="0"/>
    <s v="RENEWAL"/>
    <s v="Single"/>
    <s v="DESK"/>
    <s v="COMPLETED"/>
    <n v="102"/>
    <m/>
    <x v="1"/>
  </r>
  <r>
    <s v="T01212"/>
    <x v="18"/>
    <x v="1"/>
    <s v="A020"/>
    <x v="0"/>
    <s v="NEW"/>
    <s v="Duo"/>
    <s v="DESK"/>
    <s v="COMPLETED"/>
    <n v="200"/>
    <m/>
    <x v="0"/>
  </r>
  <r>
    <s v="T01213"/>
    <x v="18"/>
    <x v="1"/>
    <s v="A024"/>
    <x v="0"/>
    <s v="NEW"/>
    <s v="Circle"/>
    <s v="ONLINE"/>
    <s v="COMPLETED"/>
    <n v="300"/>
    <m/>
    <x v="0"/>
  </r>
  <r>
    <s v="T01214"/>
    <x v="18"/>
    <x v="1"/>
    <s v="A016"/>
    <x v="0"/>
    <s v="RENEWAL"/>
    <s v="Single"/>
    <s v="DESK"/>
    <s v="COMPLETED"/>
    <n v="120"/>
    <m/>
    <x v="0"/>
  </r>
  <r>
    <s v="T01215"/>
    <x v="18"/>
    <x v="1"/>
    <s v="A019"/>
    <x v="0"/>
    <s v="NEW"/>
    <s v="Circle"/>
    <s v="DESK"/>
    <s v="COMPLETED"/>
    <n v="300"/>
    <m/>
    <x v="0"/>
  </r>
  <r>
    <s v="T01216"/>
    <x v="18"/>
    <x v="1"/>
    <s v="A016"/>
    <x v="0"/>
    <s v="NEW"/>
    <s v="Single"/>
    <s v="DESK"/>
    <s v="COMPLETED"/>
    <n v="120"/>
    <m/>
    <x v="0"/>
  </r>
  <r>
    <s v="T01217"/>
    <x v="18"/>
    <x v="1"/>
    <s v="A023"/>
    <x v="0"/>
    <s v="NEW"/>
    <s v="Single"/>
    <s v="DESK"/>
    <s v="PENDING"/>
    <n v="120"/>
    <m/>
    <x v="0"/>
  </r>
  <r>
    <s v="T01218"/>
    <x v="18"/>
    <x v="1"/>
    <s v="A016"/>
    <x v="0"/>
    <s v="NEW"/>
    <s v="Circle"/>
    <s v="DESK"/>
    <s v="COMPLETED"/>
    <n v="300"/>
    <m/>
    <x v="0"/>
  </r>
  <r>
    <s v="T01219"/>
    <x v="18"/>
    <x v="1"/>
    <s v="A021"/>
    <x v="0"/>
    <s v="RENEWAL"/>
    <s v="Single"/>
    <s v="DESK"/>
    <s v="COMPLETED"/>
    <n v="120"/>
    <m/>
    <x v="0"/>
  </r>
  <r>
    <s v="T01220"/>
    <x v="18"/>
    <x v="2"/>
    <s v="A031"/>
    <x v="0"/>
    <s v="NEW"/>
    <s v="Circle"/>
    <s v="DESK"/>
    <s v="COMPLETED"/>
    <n v="300"/>
    <m/>
    <x v="0"/>
  </r>
  <r>
    <s v="T01221"/>
    <x v="18"/>
    <x v="2"/>
    <s v="A025"/>
    <x v="0"/>
    <s v="NEW"/>
    <s v="Single"/>
    <s v="DESK"/>
    <s v="COMPLETED"/>
    <n v="120"/>
    <m/>
    <x v="0"/>
  </r>
  <r>
    <s v="T01222"/>
    <x v="18"/>
    <x v="2"/>
    <s v="A030"/>
    <x v="0"/>
    <s v="NEW"/>
    <s v="Single"/>
    <s v="DESK"/>
    <s v="COMPLETED"/>
    <n v="120"/>
    <m/>
    <x v="0"/>
  </r>
  <r>
    <s v="T01223"/>
    <x v="18"/>
    <x v="2"/>
    <s v="A028"/>
    <x v="0"/>
    <s v="NEW"/>
    <s v="Single"/>
    <s v="DESK"/>
    <s v="COMPLETED"/>
    <n v="90"/>
    <m/>
    <x v="1"/>
  </r>
  <r>
    <s v="T01224"/>
    <x v="18"/>
    <x v="2"/>
    <s v="A031"/>
    <x v="0"/>
    <s v="NEW"/>
    <s v="Circle"/>
    <s v="DESK"/>
    <s v="COMPLETED"/>
    <n v="225"/>
    <m/>
    <x v="1"/>
  </r>
  <r>
    <s v="T01225"/>
    <x v="18"/>
    <x v="2"/>
    <s v="A034"/>
    <x v="0"/>
    <s v="NEW"/>
    <s v="Circle"/>
    <s v="DESK"/>
    <s v="COMPLETED"/>
    <n v="300"/>
    <m/>
    <x v="0"/>
  </r>
  <r>
    <s v="T01226"/>
    <x v="18"/>
    <x v="2"/>
    <s v="A025"/>
    <x v="0"/>
    <s v="NEW"/>
    <s v="Circle"/>
    <s v="DESK"/>
    <s v="COMPLETED"/>
    <n v="300"/>
    <m/>
    <x v="0"/>
  </r>
  <r>
    <s v="T01227"/>
    <x v="18"/>
    <x v="2"/>
    <s v="A035"/>
    <x v="0"/>
    <s v="RENEWAL"/>
    <s v="Duo"/>
    <s v="DESK"/>
    <s v="COMPLETED"/>
    <n v="200"/>
    <m/>
    <x v="0"/>
  </r>
  <r>
    <s v="T01228"/>
    <x v="18"/>
    <x v="2"/>
    <s v="A036"/>
    <x v="0"/>
    <s v="NEW"/>
    <s v="Duo"/>
    <s v="DESK"/>
    <s v="COMPLETED"/>
    <n v="200"/>
    <m/>
    <x v="0"/>
  </r>
  <r>
    <s v="T01229"/>
    <x v="18"/>
    <x v="2"/>
    <s v="A028"/>
    <x v="0"/>
    <s v="RENEWAL"/>
    <s v="Duo"/>
    <s v="DESK"/>
    <s v="PENDING"/>
    <n v="200"/>
    <m/>
    <x v="0"/>
  </r>
  <r>
    <s v="T01230"/>
    <x v="18"/>
    <x v="2"/>
    <s v="A032"/>
    <x v="0"/>
    <s v="NEW"/>
    <s v="Duo"/>
    <s v="DESK"/>
    <s v="COMPLETED"/>
    <n v="200"/>
    <m/>
    <x v="0"/>
  </r>
  <r>
    <s v="T01231"/>
    <x v="18"/>
    <x v="2"/>
    <s v="A033"/>
    <x v="0"/>
    <s v="RENEWAL"/>
    <s v="Duo"/>
    <s v="ONLINE"/>
    <s v="COMPLETED"/>
    <n v="200"/>
    <m/>
    <x v="0"/>
  </r>
  <r>
    <s v="T01232"/>
    <x v="18"/>
    <x v="2"/>
    <s v="A031"/>
    <x v="0"/>
    <s v="NEW"/>
    <s v="Single"/>
    <s v="DESK"/>
    <s v="COMPLETED"/>
    <n v="120"/>
    <m/>
    <x v="0"/>
  </r>
  <r>
    <s v="T01233"/>
    <x v="18"/>
    <x v="2"/>
    <s v="A035"/>
    <x v="0"/>
    <s v="NEW"/>
    <s v="Single"/>
    <s v="DESK"/>
    <s v="COMPLETED"/>
    <n v="120"/>
    <m/>
    <x v="0"/>
  </r>
  <r>
    <s v="T01234"/>
    <x v="18"/>
    <x v="2"/>
    <s v="A027"/>
    <x v="0"/>
    <s v="NEW"/>
    <s v="Circle"/>
    <s v="DESK"/>
    <s v="COMPLETED"/>
    <n v="225"/>
    <m/>
    <x v="2"/>
  </r>
  <r>
    <s v="T01235"/>
    <x v="18"/>
    <x v="2"/>
    <s v="A031"/>
    <x v="0"/>
    <s v="NEW"/>
    <s v="Circle"/>
    <s v="DESK"/>
    <s v="COMPLETED"/>
    <n v="225"/>
    <m/>
    <x v="2"/>
  </r>
  <r>
    <s v="T01236"/>
    <x v="18"/>
    <x v="2"/>
    <s v="A030"/>
    <x v="0"/>
    <s v="NEW"/>
    <s v="Circle"/>
    <s v="DESK"/>
    <s v="COMPLETED"/>
    <n v="225"/>
    <m/>
    <x v="2"/>
  </r>
  <r>
    <s v="T01237"/>
    <x v="18"/>
    <x v="2"/>
    <s v="A036"/>
    <x v="0"/>
    <s v="NEW"/>
    <s v="Circle"/>
    <s v="DESK"/>
    <s v="COMPLETED"/>
    <n v="225"/>
    <m/>
    <x v="2"/>
  </r>
  <r>
    <s v="T01238"/>
    <x v="18"/>
    <x v="2"/>
    <s v="A027"/>
    <x v="0"/>
    <s v="NEW"/>
    <s v="Circle"/>
    <s v="DESK"/>
    <s v="COMPLETED"/>
    <n v="225"/>
    <m/>
    <x v="2"/>
  </r>
  <r>
    <s v="T01239"/>
    <x v="18"/>
    <x v="2"/>
    <s v="A034"/>
    <x v="0"/>
    <s v="NEW"/>
    <s v="Circle"/>
    <s v="DESK"/>
    <s v="COMPLETED"/>
    <n v="225"/>
    <m/>
    <x v="2"/>
  </r>
  <r>
    <s v="T01240"/>
    <x v="18"/>
    <x v="2"/>
    <s v="A035"/>
    <x v="0"/>
    <s v="NEW"/>
    <s v="Circle"/>
    <s v="DESK"/>
    <s v="COMPLETED"/>
    <n v="225"/>
    <m/>
    <x v="2"/>
  </r>
  <r>
    <s v="T01241"/>
    <x v="18"/>
    <x v="2"/>
    <s v="A029"/>
    <x v="0"/>
    <s v="NEW"/>
    <s v="Circle"/>
    <s v="DESK"/>
    <s v="COMPLETED"/>
    <n v="225"/>
    <m/>
    <x v="2"/>
  </r>
  <r>
    <s v="T01242"/>
    <x v="18"/>
    <x v="2"/>
    <s v="A028"/>
    <x v="0"/>
    <s v="NEW"/>
    <s v="Circle"/>
    <s v="DESK"/>
    <s v="COMPLETED"/>
    <n v="225"/>
    <m/>
    <x v="2"/>
  </r>
  <r>
    <s v="T01243"/>
    <x v="18"/>
    <x v="2"/>
    <s v="A036"/>
    <x v="0"/>
    <s v="NEW"/>
    <s v="Circle"/>
    <s v="DESK"/>
    <s v="COMPLETED"/>
    <n v="225"/>
    <m/>
    <x v="2"/>
  </r>
  <r>
    <s v="T01244"/>
    <x v="18"/>
    <x v="2"/>
    <s v="A032"/>
    <x v="0"/>
    <s v="NEW"/>
    <s v="Circle"/>
    <s v="DESK"/>
    <s v="COMPLETED"/>
    <n v="225"/>
    <m/>
    <x v="2"/>
  </r>
  <r>
    <s v="T01245"/>
    <x v="18"/>
    <x v="2"/>
    <s v="A035"/>
    <x v="0"/>
    <s v="NEW"/>
    <s v="Circle"/>
    <s v="DESK"/>
    <s v="COMPLETED"/>
    <n v="225"/>
    <m/>
    <x v="2"/>
  </r>
  <r>
    <s v="T01246"/>
    <x v="18"/>
    <x v="2"/>
    <s v="A029"/>
    <x v="0"/>
    <s v="NEW"/>
    <s v="Circle"/>
    <s v="DESK"/>
    <s v="COMPLETED"/>
    <n v="225"/>
    <m/>
    <x v="2"/>
  </r>
  <r>
    <s v="T01247"/>
    <x v="18"/>
    <x v="2"/>
    <s v="A033"/>
    <x v="0"/>
    <s v="NEW"/>
    <s v="Circle"/>
    <s v="DESK"/>
    <s v="COMPLETED"/>
    <n v="225"/>
    <m/>
    <x v="2"/>
  </r>
  <r>
    <s v="T01248"/>
    <x v="18"/>
    <x v="2"/>
    <s v="A032"/>
    <x v="0"/>
    <s v="NEW"/>
    <s v="Circle"/>
    <s v="DESK"/>
    <s v="COMPLETED"/>
    <n v="225"/>
    <m/>
    <x v="2"/>
  </r>
  <r>
    <s v="T01249"/>
    <x v="18"/>
    <x v="2"/>
    <s v="A030"/>
    <x v="0"/>
    <s v="NEW"/>
    <s v="Circle"/>
    <s v="DESK"/>
    <s v="COMPLETED"/>
    <n v="225"/>
    <m/>
    <x v="2"/>
  </r>
  <r>
    <s v="T01250"/>
    <x v="18"/>
    <x v="2"/>
    <s v="A029"/>
    <x v="0"/>
    <s v="NEW"/>
    <s v="Circle"/>
    <s v="DESK"/>
    <s v="COMPLETED"/>
    <n v="225"/>
    <m/>
    <x v="2"/>
  </r>
  <r>
    <s v="T01251"/>
    <x v="18"/>
    <x v="2"/>
    <s v="A032"/>
    <x v="0"/>
    <s v="NEW"/>
    <s v="Circle"/>
    <s v="DESK"/>
    <s v="COMPLETED"/>
    <n v="225"/>
    <m/>
    <x v="2"/>
  </r>
  <r>
    <s v="T01252"/>
    <x v="18"/>
    <x v="2"/>
    <s v="A030"/>
    <x v="0"/>
    <s v="NEW"/>
    <s v="Circle"/>
    <s v="DESK"/>
    <s v="COMPLETED"/>
    <n v="225"/>
    <m/>
    <x v="2"/>
  </r>
  <r>
    <s v="T01253"/>
    <x v="18"/>
    <x v="3"/>
    <s v="A038"/>
    <x v="0"/>
    <s v="RENEWAL"/>
    <s v="Single"/>
    <s v="DESK"/>
    <s v="COMPLETED"/>
    <n v="120"/>
    <m/>
    <x v="0"/>
  </r>
  <r>
    <s v="T01254"/>
    <x v="18"/>
    <x v="3"/>
    <s v="A040"/>
    <x v="0"/>
    <s v="NEW"/>
    <s v="Circle"/>
    <s v="DESK"/>
    <s v="COMPLETED"/>
    <n v="300"/>
    <m/>
    <x v="0"/>
  </r>
  <r>
    <s v="T01255"/>
    <x v="18"/>
    <x v="3"/>
    <s v="A045"/>
    <x v="0"/>
    <s v="RENEWAL"/>
    <s v="Single"/>
    <s v="DESK"/>
    <s v="COMPLETED"/>
    <n v="120"/>
    <m/>
    <x v="0"/>
  </r>
  <r>
    <s v="T01256"/>
    <x v="18"/>
    <x v="3"/>
    <s v="A040"/>
    <x v="0"/>
    <s v="RENEWAL"/>
    <s v="Duo"/>
    <s v="DESK"/>
    <s v="COMPLETED"/>
    <n v="150"/>
    <m/>
    <x v="1"/>
  </r>
  <r>
    <s v="T01257"/>
    <x v="18"/>
    <x v="3"/>
    <s v="A047"/>
    <x v="0"/>
    <s v="NEW"/>
    <s v="Duo"/>
    <s v="DESK"/>
    <s v="COMPLETED"/>
    <n v="200"/>
    <m/>
    <x v="0"/>
  </r>
  <r>
    <s v="T01258"/>
    <x v="18"/>
    <x v="3"/>
    <s v="A043"/>
    <x v="0"/>
    <s v="RENEWAL"/>
    <s v="Single"/>
    <s v="DESK"/>
    <s v="COMPLETED"/>
    <n v="120"/>
    <m/>
    <x v="0"/>
  </r>
  <r>
    <s v="T01259"/>
    <x v="18"/>
    <x v="3"/>
    <s v="A046"/>
    <x v="0"/>
    <s v="NEW"/>
    <s v="Duo"/>
    <s v="DESK"/>
    <s v="COMPLETED"/>
    <n v="200"/>
    <m/>
    <x v="0"/>
  </r>
  <r>
    <s v="T01260"/>
    <x v="18"/>
    <x v="3"/>
    <s v="A045"/>
    <x v="0"/>
    <s v="NEW"/>
    <s v="Circle"/>
    <s v="ONLINE"/>
    <s v="COMPLETED"/>
    <n v="300"/>
    <m/>
    <x v="0"/>
  </r>
  <r>
    <s v="T01261"/>
    <x v="18"/>
    <x v="3"/>
    <s v="A038"/>
    <x v="0"/>
    <s v="NEW"/>
    <s v="Single"/>
    <s v="ONLINE"/>
    <s v="COMPLETED"/>
    <n v="120"/>
    <m/>
    <x v="0"/>
  </r>
  <r>
    <s v="T01262"/>
    <x v="18"/>
    <x v="3"/>
    <s v="A045"/>
    <x v="0"/>
    <s v="NEW"/>
    <s v="Circle"/>
    <s v="DESK"/>
    <s v="COMPLETED"/>
    <n v="300"/>
    <m/>
    <x v="0"/>
  </r>
  <r>
    <s v="T01263"/>
    <x v="18"/>
    <x v="3"/>
    <s v="A045"/>
    <x v="0"/>
    <s v="NEW"/>
    <s v="Circle"/>
    <s v="DESK"/>
    <s v="COMPLETED"/>
    <n v="300"/>
    <m/>
    <x v="0"/>
  </r>
  <r>
    <s v="T01264"/>
    <x v="18"/>
    <x v="3"/>
    <s v="A042"/>
    <x v="0"/>
    <s v="NEW"/>
    <s v="Circle"/>
    <s v="DESK"/>
    <s v="COMPLETED"/>
    <n v="225"/>
    <m/>
    <x v="1"/>
  </r>
  <r>
    <s v="T01265"/>
    <x v="18"/>
    <x v="3"/>
    <s v="A037"/>
    <x v="0"/>
    <s v="RENEWAL"/>
    <s v="Single"/>
    <s v="DESK"/>
    <s v="COMPLETED"/>
    <n v="120"/>
    <m/>
    <x v="0"/>
  </r>
  <r>
    <s v="T01266"/>
    <x v="18"/>
    <x v="3"/>
    <s v="A041"/>
    <x v="0"/>
    <s v="NEW"/>
    <s v="Duo"/>
    <s v="DESK"/>
    <s v="COMPLETED"/>
    <n v="200"/>
    <m/>
    <x v="0"/>
  </r>
  <r>
    <s v="T01267"/>
    <x v="18"/>
    <x v="3"/>
    <s v="A041"/>
    <x v="0"/>
    <s v="NEW"/>
    <s v="Single"/>
    <s v="DESK"/>
    <s v="COMPLETED"/>
    <n v="120"/>
    <m/>
    <x v="0"/>
  </r>
  <r>
    <s v="T01268"/>
    <x v="18"/>
    <x v="3"/>
    <s v="A038"/>
    <x v="0"/>
    <s v="NEW"/>
    <s v="Single"/>
    <s v="DESK"/>
    <s v="COMPLETED"/>
    <n v="120"/>
    <m/>
    <x v="0"/>
  </r>
  <r>
    <s v="T01269"/>
    <x v="18"/>
    <x v="3"/>
    <s v="A045"/>
    <x v="0"/>
    <s v="RENEWAL"/>
    <s v="Single"/>
    <s v="ONLINE"/>
    <s v="COMPLETED"/>
    <n v="120"/>
    <m/>
    <x v="0"/>
  </r>
  <r>
    <s v="T01270"/>
    <x v="18"/>
    <x v="3"/>
    <s v="A044"/>
    <x v="0"/>
    <s v="NEW"/>
    <s v="Circle"/>
    <s v="DESK"/>
    <s v="COMPLETED"/>
    <n v="300"/>
    <m/>
    <x v="0"/>
  </r>
  <r>
    <s v="T02089"/>
    <x v="18"/>
    <x v="1"/>
    <s v="A014"/>
    <x v="1"/>
    <s v="NEW"/>
    <s v="Single"/>
    <s v="DESK"/>
    <s v="COMPLETED"/>
    <n v="120"/>
    <s v="T01047"/>
    <x v="0"/>
  </r>
  <r>
    <s v="T01271"/>
    <x v="19"/>
    <x v="0"/>
    <s v="A010"/>
    <x v="0"/>
    <s v="NEW"/>
    <s v="Circle"/>
    <s v="DESK"/>
    <s v="COMPLETED"/>
    <n v="300"/>
    <m/>
    <x v="0"/>
  </r>
  <r>
    <s v="T01272"/>
    <x v="19"/>
    <x v="0"/>
    <s v="A009"/>
    <x v="0"/>
    <s v="NEW"/>
    <s v="Single"/>
    <s v="DESK"/>
    <s v="COMPLETED"/>
    <n v="120"/>
    <m/>
    <x v="0"/>
  </r>
  <r>
    <s v="T01273"/>
    <x v="19"/>
    <x v="0"/>
    <s v="A003"/>
    <x v="0"/>
    <s v="NEW"/>
    <s v="Single"/>
    <s v="DESK"/>
    <s v="COMPLETED"/>
    <n v="120"/>
    <m/>
    <x v="0"/>
  </r>
  <r>
    <s v="T01274"/>
    <x v="19"/>
    <x v="0"/>
    <s v="A004"/>
    <x v="0"/>
    <s v="NEW"/>
    <s v="Duo"/>
    <s v="DESK"/>
    <s v="COMPLETED"/>
    <n v="200"/>
    <m/>
    <x v="0"/>
  </r>
  <r>
    <s v="T01275"/>
    <x v="19"/>
    <x v="0"/>
    <s v="A001"/>
    <x v="0"/>
    <s v="NEW"/>
    <s v="Single"/>
    <s v="DESK"/>
    <s v="COMPLETED"/>
    <n v="120"/>
    <m/>
    <x v="0"/>
  </r>
  <r>
    <s v="T01276"/>
    <x v="19"/>
    <x v="0"/>
    <s v="A009"/>
    <x v="0"/>
    <s v="NEW"/>
    <s v="Circle"/>
    <s v="DESK"/>
    <s v="COMPLETED"/>
    <n v="300"/>
    <m/>
    <x v="0"/>
  </r>
  <r>
    <s v="T01277"/>
    <x v="19"/>
    <x v="0"/>
    <s v="A001"/>
    <x v="0"/>
    <s v="NEW"/>
    <s v="Circle"/>
    <s v="DESK"/>
    <s v="COMPLETED"/>
    <n v="300"/>
    <m/>
    <x v="0"/>
  </r>
  <r>
    <s v="T01278"/>
    <x v="19"/>
    <x v="0"/>
    <s v="A008"/>
    <x v="0"/>
    <s v="NEW"/>
    <s v="Circle"/>
    <s v="DESK"/>
    <s v="COMPLETED"/>
    <n v="300"/>
    <m/>
    <x v="0"/>
  </r>
  <r>
    <s v="T01279"/>
    <x v="19"/>
    <x v="0"/>
    <s v="A007"/>
    <x v="0"/>
    <s v="NEW"/>
    <s v="Single"/>
    <s v="DESK"/>
    <s v="COMPLETED"/>
    <n v="120"/>
    <m/>
    <x v="0"/>
  </r>
  <r>
    <s v="T01280"/>
    <x v="19"/>
    <x v="0"/>
    <s v="A002"/>
    <x v="0"/>
    <s v="NEW"/>
    <s v="Circle"/>
    <s v="DESK"/>
    <s v="COMPLETED"/>
    <n v="300"/>
    <m/>
    <x v="0"/>
  </r>
  <r>
    <s v="T01281"/>
    <x v="19"/>
    <x v="0"/>
    <s v="A005"/>
    <x v="0"/>
    <s v="NEW"/>
    <s v="Single"/>
    <s v="DESK"/>
    <s v="COMPLETED"/>
    <n v="102"/>
    <m/>
    <x v="1"/>
  </r>
  <r>
    <s v="T01282"/>
    <x v="19"/>
    <x v="0"/>
    <s v="A010"/>
    <x v="0"/>
    <s v="NEW"/>
    <s v="Circle"/>
    <s v="DESK"/>
    <s v="COMPLETED"/>
    <n v="300"/>
    <m/>
    <x v="0"/>
  </r>
  <r>
    <s v="T01283"/>
    <x v="19"/>
    <x v="0"/>
    <s v="A007"/>
    <x v="0"/>
    <s v="NEW"/>
    <s v="Circle"/>
    <s v="DESK"/>
    <s v="COMPLETED"/>
    <n v="300"/>
    <m/>
    <x v="0"/>
  </r>
  <r>
    <s v="T01284"/>
    <x v="19"/>
    <x v="0"/>
    <s v="A004"/>
    <x v="0"/>
    <s v="RENEWAL"/>
    <s v="Single"/>
    <s v="DESK"/>
    <s v="COMPLETED"/>
    <n v="120"/>
    <m/>
    <x v="0"/>
  </r>
  <r>
    <s v="T01285"/>
    <x v="19"/>
    <x v="0"/>
    <s v="A005"/>
    <x v="0"/>
    <s v="NEW"/>
    <s v="Circle"/>
    <s v="DESK"/>
    <s v="COMPLETED"/>
    <n v="300"/>
    <m/>
    <x v="0"/>
  </r>
  <r>
    <s v="T01286"/>
    <x v="19"/>
    <x v="0"/>
    <s v="A010"/>
    <x v="0"/>
    <s v="NEW"/>
    <s v="Single"/>
    <s v="DESK"/>
    <s v="COMPLETED"/>
    <n v="120"/>
    <m/>
    <x v="0"/>
  </r>
  <r>
    <s v="T01287"/>
    <x v="19"/>
    <x v="0"/>
    <s v="A011"/>
    <x v="0"/>
    <s v="NEW"/>
    <s v="Single"/>
    <s v="DESK"/>
    <s v="COMPLETED"/>
    <n v="120"/>
    <m/>
    <x v="0"/>
  </r>
  <r>
    <s v="T01288"/>
    <x v="19"/>
    <x v="1"/>
    <s v="A021"/>
    <x v="0"/>
    <s v="NEW"/>
    <s v="Duo"/>
    <s v="DESK"/>
    <s v="COMPLETED"/>
    <n v="200"/>
    <m/>
    <x v="0"/>
  </r>
  <r>
    <s v="T01289"/>
    <x v="19"/>
    <x v="1"/>
    <s v="A018"/>
    <x v="0"/>
    <s v="NEW"/>
    <s v="Circle"/>
    <s v="DESK"/>
    <s v="COMPLETED"/>
    <n v="300"/>
    <m/>
    <x v="0"/>
  </r>
  <r>
    <s v="T01290"/>
    <x v="19"/>
    <x v="1"/>
    <s v="A016"/>
    <x v="0"/>
    <s v="NEW"/>
    <s v="Circle"/>
    <s v="DESK"/>
    <s v="COMPLETED"/>
    <n v="225"/>
    <m/>
    <x v="1"/>
  </r>
  <r>
    <s v="T01291"/>
    <x v="19"/>
    <x v="1"/>
    <s v="A022"/>
    <x v="0"/>
    <s v="NEW"/>
    <s v="Duo"/>
    <s v="DESK"/>
    <s v="COMPLETED"/>
    <n v="200"/>
    <m/>
    <x v="0"/>
  </r>
  <r>
    <s v="T01292"/>
    <x v="19"/>
    <x v="1"/>
    <s v="A016"/>
    <x v="0"/>
    <s v="NEW"/>
    <s v="Single"/>
    <s v="DESK"/>
    <s v="COMPLETED"/>
    <n v="120"/>
    <m/>
    <x v="0"/>
  </r>
  <r>
    <s v="T01293"/>
    <x v="19"/>
    <x v="1"/>
    <s v="A013"/>
    <x v="0"/>
    <s v="NEW"/>
    <s v="Circle"/>
    <s v="DESK"/>
    <s v="COMPLETED"/>
    <n v="300"/>
    <m/>
    <x v="0"/>
  </r>
  <r>
    <s v="T01294"/>
    <x v="19"/>
    <x v="1"/>
    <s v="A014"/>
    <x v="0"/>
    <s v="NEW"/>
    <s v="Circle"/>
    <s v="DESK"/>
    <s v="COMPLETED"/>
    <n v="300"/>
    <m/>
    <x v="0"/>
  </r>
  <r>
    <s v="T01295"/>
    <x v="19"/>
    <x v="1"/>
    <s v="A019"/>
    <x v="0"/>
    <s v="NEW"/>
    <s v="Duo"/>
    <s v="DESK"/>
    <s v="COMPLETED"/>
    <n v="200"/>
    <m/>
    <x v="0"/>
  </r>
  <r>
    <s v="T01296"/>
    <x v="19"/>
    <x v="1"/>
    <s v="A023"/>
    <x v="0"/>
    <s v="NEW"/>
    <s v="Single"/>
    <s v="DESK"/>
    <s v="COMPLETED"/>
    <n v="120"/>
    <m/>
    <x v="0"/>
  </r>
  <r>
    <s v="T01297"/>
    <x v="19"/>
    <x v="1"/>
    <s v="A024"/>
    <x v="0"/>
    <s v="NEW"/>
    <s v="Circle"/>
    <s v="DESK"/>
    <s v="COMPLETED"/>
    <n v="300"/>
    <m/>
    <x v="0"/>
  </r>
  <r>
    <s v="T01298"/>
    <x v="19"/>
    <x v="1"/>
    <s v="A016"/>
    <x v="0"/>
    <s v="NEW"/>
    <s v="Circle"/>
    <s v="ONLINE"/>
    <s v="COMPLETED"/>
    <n v="300"/>
    <m/>
    <x v="0"/>
  </r>
  <r>
    <s v="T01299"/>
    <x v="19"/>
    <x v="1"/>
    <s v="A018"/>
    <x v="0"/>
    <s v="NEW"/>
    <s v="Circle"/>
    <s v="DESK"/>
    <s v="COMPLETED"/>
    <n v="300"/>
    <m/>
    <x v="0"/>
  </r>
  <r>
    <s v="T01300"/>
    <x v="19"/>
    <x v="1"/>
    <s v="A022"/>
    <x v="0"/>
    <s v="NEW"/>
    <s v="Duo"/>
    <s v="DESK"/>
    <s v="COMPLETED"/>
    <n v="200"/>
    <m/>
    <x v="0"/>
  </r>
  <r>
    <s v="T01301"/>
    <x v="19"/>
    <x v="1"/>
    <s v="A017"/>
    <x v="0"/>
    <s v="NEW"/>
    <s v="Duo"/>
    <s v="DESK"/>
    <s v="COMPLETED"/>
    <n v="200"/>
    <m/>
    <x v="0"/>
  </r>
  <r>
    <s v="T01302"/>
    <x v="19"/>
    <x v="1"/>
    <s v="A013"/>
    <x v="0"/>
    <s v="NEW"/>
    <s v="Duo"/>
    <s v="DESK"/>
    <s v="COMPLETED"/>
    <n v="200"/>
    <m/>
    <x v="0"/>
  </r>
  <r>
    <s v="T01303"/>
    <x v="19"/>
    <x v="2"/>
    <s v="A026"/>
    <x v="0"/>
    <s v="NEW"/>
    <s v="Single"/>
    <s v="DESK"/>
    <s v="COMPLETED"/>
    <n v="102"/>
    <m/>
    <x v="1"/>
  </r>
  <r>
    <s v="T01304"/>
    <x v="19"/>
    <x v="2"/>
    <s v="A030"/>
    <x v="0"/>
    <s v="NEW"/>
    <s v="Single"/>
    <s v="DESK"/>
    <s v="COMPLETED"/>
    <n v="120"/>
    <m/>
    <x v="0"/>
  </r>
  <r>
    <s v="T01305"/>
    <x v="19"/>
    <x v="2"/>
    <s v="A033"/>
    <x v="0"/>
    <s v="NEW"/>
    <s v="Single"/>
    <s v="DESK"/>
    <s v="COMPLETED"/>
    <n v="120"/>
    <m/>
    <x v="0"/>
  </r>
  <r>
    <s v="T01306"/>
    <x v="19"/>
    <x v="2"/>
    <s v="A028"/>
    <x v="0"/>
    <s v="NEW"/>
    <s v="Duo"/>
    <s v="DESK"/>
    <s v="COMPLETED"/>
    <n v="200"/>
    <m/>
    <x v="0"/>
  </r>
  <r>
    <s v="T01307"/>
    <x v="19"/>
    <x v="2"/>
    <s v="A025"/>
    <x v="0"/>
    <s v="NEW"/>
    <s v="Circle"/>
    <s v="DESK"/>
    <s v="PENDING"/>
    <n v="300"/>
    <m/>
    <x v="0"/>
  </r>
  <r>
    <s v="T01308"/>
    <x v="19"/>
    <x v="2"/>
    <s v="A036"/>
    <x v="0"/>
    <s v="NEW"/>
    <s v="Duo"/>
    <s v="DESK"/>
    <s v="COMPLETED"/>
    <n v="200"/>
    <m/>
    <x v="0"/>
  </r>
  <r>
    <s v="T01309"/>
    <x v="19"/>
    <x v="2"/>
    <s v="A027"/>
    <x v="0"/>
    <s v="NEW"/>
    <s v="Circle"/>
    <s v="DESK"/>
    <s v="COMPLETED"/>
    <n v="300"/>
    <m/>
    <x v="0"/>
  </r>
  <r>
    <s v="T01310"/>
    <x v="19"/>
    <x v="2"/>
    <s v="A027"/>
    <x v="0"/>
    <s v="NEW"/>
    <s v="Circle"/>
    <s v="ONLINE"/>
    <s v="COMPLETED"/>
    <n v="300"/>
    <m/>
    <x v="0"/>
  </r>
  <r>
    <s v="T01311"/>
    <x v="19"/>
    <x v="2"/>
    <s v="A033"/>
    <x v="0"/>
    <s v="NEW"/>
    <s v="Duo"/>
    <s v="DESK"/>
    <s v="COMPLETED"/>
    <n v="200"/>
    <m/>
    <x v="0"/>
  </r>
  <r>
    <s v="T01312"/>
    <x v="19"/>
    <x v="2"/>
    <s v="A028"/>
    <x v="0"/>
    <s v="RENEWAL"/>
    <s v="Single"/>
    <s v="DESK"/>
    <s v="COMPLETED"/>
    <n v="120"/>
    <m/>
    <x v="0"/>
  </r>
  <r>
    <s v="T01313"/>
    <x v="19"/>
    <x v="2"/>
    <s v="A025"/>
    <x v="0"/>
    <s v="NEW"/>
    <s v="Circle"/>
    <s v="DESK"/>
    <s v="COMPLETED"/>
    <n v="300"/>
    <m/>
    <x v="0"/>
  </r>
  <r>
    <s v="T01314"/>
    <x v="19"/>
    <x v="2"/>
    <s v="A032"/>
    <x v="0"/>
    <s v="NEW"/>
    <s v="Single"/>
    <s v="DESK"/>
    <s v="COMPLETED"/>
    <n v="120"/>
    <m/>
    <x v="0"/>
  </r>
  <r>
    <s v="T01315"/>
    <x v="19"/>
    <x v="2"/>
    <s v="A036"/>
    <x v="0"/>
    <s v="NEW"/>
    <s v="Duo"/>
    <s v="DESK"/>
    <s v="COMPLETED"/>
    <n v="150"/>
    <m/>
    <x v="1"/>
  </r>
  <r>
    <s v="T01316"/>
    <x v="19"/>
    <x v="2"/>
    <s v="A033"/>
    <x v="0"/>
    <s v="NEW"/>
    <s v="Circle"/>
    <s v="DESK"/>
    <s v="COMPLETED"/>
    <n v="225"/>
    <m/>
    <x v="1"/>
  </r>
  <r>
    <s v="T01317"/>
    <x v="19"/>
    <x v="2"/>
    <s v="A030"/>
    <x v="0"/>
    <s v="NEW"/>
    <s v="Circle"/>
    <s v="DESK"/>
    <s v="COMPLETED"/>
    <n v="300"/>
    <m/>
    <x v="0"/>
  </r>
  <r>
    <s v="T01318"/>
    <x v="19"/>
    <x v="2"/>
    <s v="A034"/>
    <x v="0"/>
    <s v="NEW"/>
    <s v="Circle"/>
    <s v="DESK"/>
    <s v="COMPLETED"/>
    <n v="225"/>
    <m/>
    <x v="2"/>
  </r>
  <r>
    <s v="T01319"/>
    <x v="19"/>
    <x v="2"/>
    <s v="A027"/>
    <x v="0"/>
    <s v="NEW"/>
    <s v="Circle"/>
    <s v="DESK"/>
    <s v="COMPLETED"/>
    <n v="225"/>
    <m/>
    <x v="2"/>
  </r>
  <r>
    <s v="T01320"/>
    <x v="19"/>
    <x v="2"/>
    <s v="A029"/>
    <x v="0"/>
    <s v="NEW"/>
    <s v="Circle"/>
    <s v="DESK"/>
    <s v="COMPLETED"/>
    <n v="225"/>
    <m/>
    <x v="2"/>
  </r>
  <r>
    <s v="T01321"/>
    <x v="19"/>
    <x v="2"/>
    <s v="A028"/>
    <x v="0"/>
    <s v="NEW"/>
    <s v="Circle"/>
    <s v="DESK"/>
    <s v="COMPLETED"/>
    <n v="225"/>
    <m/>
    <x v="2"/>
  </r>
  <r>
    <s v="T01322"/>
    <x v="19"/>
    <x v="2"/>
    <s v="A027"/>
    <x v="0"/>
    <s v="NEW"/>
    <s v="Circle"/>
    <s v="DESK"/>
    <s v="COMPLETED"/>
    <n v="225"/>
    <m/>
    <x v="2"/>
  </r>
  <r>
    <s v="T01323"/>
    <x v="19"/>
    <x v="2"/>
    <s v="A030"/>
    <x v="0"/>
    <s v="NEW"/>
    <s v="Circle"/>
    <s v="DESK"/>
    <s v="COMPLETED"/>
    <n v="225"/>
    <m/>
    <x v="2"/>
  </r>
  <r>
    <s v="T01324"/>
    <x v="19"/>
    <x v="2"/>
    <s v="A030"/>
    <x v="0"/>
    <s v="NEW"/>
    <s v="Circle"/>
    <s v="DESK"/>
    <s v="COMPLETED"/>
    <n v="225"/>
    <m/>
    <x v="2"/>
  </r>
  <r>
    <s v="T01325"/>
    <x v="19"/>
    <x v="2"/>
    <s v="A030"/>
    <x v="0"/>
    <s v="NEW"/>
    <s v="Circle"/>
    <s v="DESK"/>
    <s v="COMPLETED"/>
    <n v="225"/>
    <m/>
    <x v="2"/>
  </r>
  <r>
    <s v="T01326"/>
    <x v="19"/>
    <x v="2"/>
    <s v="A025"/>
    <x v="0"/>
    <s v="NEW"/>
    <s v="Circle"/>
    <s v="DESK"/>
    <s v="COMPLETED"/>
    <n v="225"/>
    <m/>
    <x v="2"/>
  </r>
  <r>
    <s v="T01327"/>
    <x v="19"/>
    <x v="2"/>
    <s v="A034"/>
    <x v="0"/>
    <s v="NEW"/>
    <s v="Circle"/>
    <s v="DESK"/>
    <s v="COMPLETED"/>
    <n v="225"/>
    <m/>
    <x v="2"/>
  </r>
  <r>
    <s v="T01328"/>
    <x v="19"/>
    <x v="2"/>
    <s v="A026"/>
    <x v="0"/>
    <s v="NEW"/>
    <s v="Circle"/>
    <s v="DESK"/>
    <s v="COMPLETED"/>
    <n v="225"/>
    <m/>
    <x v="2"/>
  </r>
  <r>
    <s v="T01329"/>
    <x v="19"/>
    <x v="2"/>
    <s v="A035"/>
    <x v="0"/>
    <s v="NEW"/>
    <s v="Circle"/>
    <s v="DESK"/>
    <s v="COMPLETED"/>
    <n v="225"/>
    <m/>
    <x v="2"/>
  </r>
  <r>
    <s v="T01330"/>
    <x v="19"/>
    <x v="2"/>
    <s v="A027"/>
    <x v="0"/>
    <s v="NEW"/>
    <s v="Circle"/>
    <s v="DESK"/>
    <s v="COMPLETED"/>
    <n v="225"/>
    <m/>
    <x v="2"/>
  </r>
  <r>
    <s v="T01331"/>
    <x v="19"/>
    <x v="2"/>
    <s v="A025"/>
    <x v="0"/>
    <s v="NEW"/>
    <s v="Circle"/>
    <s v="DESK"/>
    <s v="COMPLETED"/>
    <n v="225"/>
    <m/>
    <x v="2"/>
  </r>
  <r>
    <s v="T01332"/>
    <x v="19"/>
    <x v="2"/>
    <s v="A029"/>
    <x v="0"/>
    <s v="NEW"/>
    <s v="Circle"/>
    <s v="DESK"/>
    <s v="COMPLETED"/>
    <n v="225"/>
    <m/>
    <x v="2"/>
  </r>
  <r>
    <s v="T01333"/>
    <x v="19"/>
    <x v="2"/>
    <s v="A029"/>
    <x v="0"/>
    <s v="NEW"/>
    <s v="Circle"/>
    <s v="DESK"/>
    <s v="COMPLETED"/>
    <n v="225"/>
    <m/>
    <x v="2"/>
  </r>
  <r>
    <s v="T01334"/>
    <x v="19"/>
    <x v="2"/>
    <s v="A032"/>
    <x v="0"/>
    <s v="NEW"/>
    <s v="Circle"/>
    <s v="DESK"/>
    <s v="COMPLETED"/>
    <n v="225"/>
    <m/>
    <x v="2"/>
  </r>
  <r>
    <s v="T01335"/>
    <x v="19"/>
    <x v="2"/>
    <s v="A031"/>
    <x v="0"/>
    <s v="NEW"/>
    <s v="Circle"/>
    <s v="DESK"/>
    <s v="COMPLETED"/>
    <n v="225"/>
    <m/>
    <x v="2"/>
  </r>
  <r>
    <s v="T01336"/>
    <x v="19"/>
    <x v="2"/>
    <s v="A032"/>
    <x v="0"/>
    <s v="NEW"/>
    <s v="Circle"/>
    <s v="DESK"/>
    <s v="COMPLETED"/>
    <n v="225"/>
    <m/>
    <x v="2"/>
  </r>
  <r>
    <s v="T01337"/>
    <x v="19"/>
    <x v="3"/>
    <s v="A037"/>
    <x v="0"/>
    <s v="RENEWAL"/>
    <s v="Duo"/>
    <s v="DESK"/>
    <s v="COMPLETED"/>
    <n v="200"/>
    <m/>
    <x v="0"/>
  </r>
  <r>
    <s v="T01338"/>
    <x v="19"/>
    <x v="3"/>
    <s v="A047"/>
    <x v="0"/>
    <s v="NEW"/>
    <s v="Duo"/>
    <s v="ONLINE"/>
    <s v="COMPLETED"/>
    <n v="200"/>
    <m/>
    <x v="0"/>
  </r>
  <r>
    <s v="T01339"/>
    <x v="19"/>
    <x v="3"/>
    <s v="A045"/>
    <x v="0"/>
    <s v="NEW"/>
    <s v="Duo"/>
    <s v="DESK"/>
    <s v="COMPLETED"/>
    <n v="200"/>
    <m/>
    <x v="0"/>
  </r>
  <r>
    <s v="T01340"/>
    <x v="19"/>
    <x v="3"/>
    <s v="A040"/>
    <x v="0"/>
    <s v="NEW"/>
    <s v="Single"/>
    <s v="DESK"/>
    <s v="COMPLETED"/>
    <n v="120"/>
    <m/>
    <x v="0"/>
  </r>
  <r>
    <s v="T01341"/>
    <x v="19"/>
    <x v="3"/>
    <s v="A039"/>
    <x v="0"/>
    <s v="NEW"/>
    <s v="Circle"/>
    <s v="DESK"/>
    <s v="COMPLETED"/>
    <n v="300"/>
    <m/>
    <x v="0"/>
  </r>
  <r>
    <s v="T01342"/>
    <x v="19"/>
    <x v="3"/>
    <s v="A039"/>
    <x v="0"/>
    <s v="RENEWAL"/>
    <s v="Single"/>
    <s v="DESK"/>
    <s v="COMPLETED"/>
    <n v="120"/>
    <m/>
    <x v="0"/>
  </r>
  <r>
    <s v="T01343"/>
    <x v="19"/>
    <x v="3"/>
    <s v="A038"/>
    <x v="0"/>
    <s v="NEW"/>
    <s v="Duo"/>
    <s v="DESK"/>
    <s v="COMPLETED"/>
    <n v="200"/>
    <m/>
    <x v="0"/>
  </r>
  <r>
    <s v="T01344"/>
    <x v="19"/>
    <x v="3"/>
    <s v="A048"/>
    <x v="0"/>
    <s v="RENEWAL"/>
    <s v="Duo"/>
    <s v="ONLINE"/>
    <s v="COMPLETED"/>
    <n v="200"/>
    <m/>
    <x v="0"/>
  </r>
  <r>
    <s v="T01345"/>
    <x v="19"/>
    <x v="3"/>
    <s v="A046"/>
    <x v="0"/>
    <s v="NEW"/>
    <s v="Circle"/>
    <s v="DESK"/>
    <s v="COMPLETED"/>
    <n v="300"/>
    <m/>
    <x v="0"/>
  </r>
  <r>
    <s v="T01346"/>
    <x v="19"/>
    <x v="3"/>
    <s v="A039"/>
    <x v="0"/>
    <s v="NEW"/>
    <s v="Single"/>
    <s v="DESK"/>
    <s v="COMPLETED"/>
    <n v="120"/>
    <m/>
    <x v="0"/>
  </r>
  <r>
    <s v="T01347"/>
    <x v="19"/>
    <x v="3"/>
    <s v="A047"/>
    <x v="0"/>
    <s v="NEW"/>
    <s v="Duo"/>
    <s v="DESK"/>
    <s v="COMPLETED"/>
    <n v="200"/>
    <m/>
    <x v="0"/>
  </r>
  <r>
    <s v="T01348"/>
    <x v="19"/>
    <x v="3"/>
    <s v="A047"/>
    <x v="0"/>
    <s v="NEW"/>
    <s v="Circle"/>
    <s v="DESK"/>
    <s v="COMPLETED"/>
    <n v="300"/>
    <m/>
    <x v="0"/>
  </r>
  <r>
    <s v="T01349"/>
    <x v="19"/>
    <x v="3"/>
    <s v="A043"/>
    <x v="0"/>
    <s v="NEW"/>
    <s v="Single"/>
    <s v="DESK"/>
    <s v="COMPLETED"/>
    <n v="102"/>
    <m/>
    <x v="1"/>
  </r>
  <r>
    <s v="T01350"/>
    <x v="19"/>
    <x v="3"/>
    <s v="A039"/>
    <x v="0"/>
    <s v="NEW"/>
    <s v="Duo"/>
    <s v="DESK"/>
    <s v="COMPLETED"/>
    <n v="200"/>
    <m/>
    <x v="0"/>
  </r>
  <r>
    <s v="T02073"/>
    <x v="19"/>
    <x v="2"/>
    <s v="A032"/>
    <x v="1"/>
    <s v="NEW"/>
    <s v="Duo"/>
    <s v="DESK"/>
    <s v="COMPLETED"/>
    <n v="200"/>
    <s v="T00806"/>
    <x v="0"/>
  </r>
  <r>
    <s v="T02084"/>
    <x v="19"/>
    <x v="3"/>
    <s v="A042"/>
    <x v="1"/>
    <s v="NEW"/>
    <s v="Single"/>
    <s v="DESK"/>
    <s v="COMPLETED"/>
    <n v="120"/>
    <s v="T00825"/>
    <x v="0"/>
  </r>
  <r>
    <s v="T02087"/>
    <x v="19"/>
    <x v="2"/>
    <s v="A034"/>
    <x v="1"/>
    <s v="NEW"/>
    <s v="Single"/>
    <s v="DESK"/>
    <s v="COMPLETED"/>
    <n v="120"/>
    <s v="T00816"/>
    <x v="0"/>
  </r>
  <r>
    <s v="T01351"/>
    <x v="20"/>
    <x v="0"/>
    <s v="A003"/>
    <x v="0"/>
    <s v="NEW"/>
    <s v="Circle"/>
    <s v="DESK"/>
    <s v="COMPLETED"/>
    <n v="225"/>
    <m/>
    <x v="1"/>
  </r>
  <r>
    <s v="T01352"/>
    <x v="20"/>
    <x v="0"/>
    <s v="A010"/>
    <x v="0"/>
    <s v="NEW"/>
    <s v="Circle"/>
    <s v="DESK"/>
    <s v="COMPLETED"/>
    <n v="300"/>
    <m/>
    <x v="0"/>
  </r>
  <r>
    <s v="T01353"/>
    <x v="20"/>
    <x v="0"/>
    <s v="A003"/>
    <x v="0"/>
    <s v="NEW"/>
    <s v="Circle"/>
    <s v="DESK"/>
    <s v="COMPLETED"/>
    <n v="300"/>
    <m/>
    <x v="0"/>
  </r>
  <r>
    <s v="T01354"/>
    <x v="20"/>
    <x v="0"/>
    <s v="A003"/>
    <x v="0"/>
    <s v="NEW"/>
    <s v="Duo"/>
    <s v="DESK"/>
    <s v="COMPLETED"/>
    <n v="200"/>
    <m/>
    <x v="0"/>
  </r>
  <r>
    <s v="T01355"/>
    <x v="20"/>
    <x v="0"/>
    <s v="A006"/>
    <x v="0"/>
    <s v="NEW"/>
    <s v="Single"/>
    <s v="ONLINE"/>
    <s v="COMPLETED"/>
    <n v="120"/>
    <m/>
    <x v="0"/>
  </r>
  <r>
    <s v="T01356"/>
    <x v="20"/>
    <x v="0"/>
    <s v="A007"/>
    <x v="0"/>
    <s v="RENEWAL"/>
    <s v="Circle"/>
    <s v="ONLINE"/>
    <s v="COMPLETED"/>
    <n v="300"/>
    <m/>
    <x v="0"/>
  </r>
  <r>
    <s v="T01357"/>
    <x v="20"/>
    <x v="0"/>
    <s v="A002"/>
    <x v="0"/>
    <s v="NEW"/>
    <s v="Single"/>
    <s v="DESK"/>
    <s v="COMPLETED"/>
    <n v="120"/>
    <m/>
    <x v="0"/>
  </r>
  <r>
    <s v="T01358"/>
    <x v="20"/>
    <x v="0"/>
    <s v="A009"/>
    <x v="0"/>
    <s v="NEW"/>
    <s v="Duo"/>
    <s v="DESK"/>
    <s v="COMPLETED"/>
    <n v="200"/>
    <m/>
    <x v="0"/>
  </r>
  <r>
    <s v="T01359"/>
    <x v="20"/>
    <x v="0"/>
    <s v="A007"/>
    <x v="0"/>
    <s v="NEW"/>
    <s v="Circle"/>
    <s v="DESK"/>
    <s v="COMPLETED"/>
    <n v="300"/>
    <m/>
    <x v="0"/>
  </r>
  <r>
    <s v="T01360"/>
    <x v="20"/>
    <x v="0"/>
    <s v="A003"/>
    <x v="0"/>
    <s v="NEW"/>
    <s v="Circle"/>
    <s v="DESK"/>
    <s v="COMPLETED"/>
    <n v="255"/>
    <m/>
    <x v="1"/>
  </r>
  <r>
    <s v="T01361"/>
    <x v="20"/>
    <x v="0"/>
    <s v="A003"/>
    <x v="0"/>
    <s v="RENEWAL"/>
    <s v="Single"/>
    <s v="DESK"/>
    <s v="PENDING"/>
    <n v="120"/>
    <m/>
    <x v="0"/>
  </r>
  <r>
    <s v="T01362"/>
    <x v="20"/>
    <x v="0"/>
    <s v="A008"/>
    <x v="0"/>
    <s v="RENEWAL"/>
    <s v="Single"/>
    <s v="DESK"/>
    <s v="COMPLETED"/>
    <n v="120"/>
    <m/>
    <x v="0"/>
  </r>
  <r>
    <s v="T01363"/>
    <x v="20"/>
    <x v="0"/>
    <s v="A001"/>
    <x v="0"/>
    <s v="RENEWAL"/>
    <s v="Single"/>
    <s v="DESK"/>
    <s v="COMPLETED"/>
    <n v="120"/>
    <m/>
    <x v="0"/>
  </r>
  <r>
    <s v="T01364"/>
    <x v="20"/>
    <x v="0"/>
    <s v="A002"/>
    <x v="0"/>
    <s v="NEW"/>
    <s v="Duo"/>
    <s v="DESK"/>
    <s v="COMPLETED"/>
    <n v="200"/>
    <m/>
    <x v="0"/>
  </r>
  <r>
    <s v="T01365"/>
    <x v="20"/>
    <x v="0"/>
    <s v="A006"/>
    <x v="0"/>
    <s v="NEW"/>
    <s v="Duo"/>
    <s v="ONLINE"/>
    <s v="COMPLETED"/>
    <n v="200"/>
    <m/>
    <x v="0"/>
  </r>
  <r>
    <s v="T01366"/>
    <x v="20"/>
    <x v="0"/>
    <s v="A010"/>
    <x v="0"/>
    <s v="NEW"/>
    <s v="Duo"/>
    <s v="DESK"/>
    <s v="COMPLETED"/>
    <n v="200"/>
    <m/>
    <x v="0"/>
  </r>
  <r>
    <s v="T01367"/>
    <x v="20"/>
    <x v="0"/>
    <s v="A007"/>
    <x v="0"/>
    <s v="NEW"/>
    <s v="Single"/>
    <s v="ONLINE"/>
    <s v="COMPLETED"/>
    <n v="120"/>
    <m/>
    <x v="0"/>
  </r>
  <r>
    <s v="T01368"/>
    <x v="20"/>
    <x v="0"/>
    <s v="A006"/>
    <x v="0"/>
    <s v="NEW"/>
    <s v="Circle"/>
    <s v="DESK"/>
    <s v="VOID"/>
    <n v="300"/>
    <m/>
    <x v="0"/>
  </r>
  <r>
    <s v="T01369"/>
    <x v="20"/>
    <x v="0"/>
    <s v="A011"/>
    <x v="0"/>
    <s v="RENEWAL"/>
    <s v="Circle"/>
    <s v="DESK"/>
    <s v="COMPLETED"/>
    <n v="300"/>
    <m/>
    <x v="0"/>
  </r>
  <r>
    <s v="T01370"/>
    <x v="20"/>
    <x v="1"/>
    <s v="A021"/>
    <x v="0"/>
    <s v="NEW"/>
    <s v="Single"/>
    <s v="ONLINE"/>
    <s v="COMPLETED"/>
    <n v="120"/>
    <m/>
    <x v="0"/>
  </r>
  <r>
    <s v="T01371"/>
    <x v="20"/>
    <x v="1"/>
    <s v="A020"/>
    <x v="0"/>
    <s v="NEW"/>
    <s v="Circle"/>
    <s v="DESK"/>
    <s v="COMPLETED"/>
    <n v="255"/>
    <m/>
    <x v="1"/>
  </r>
  <r>
    <s v="T01372"/>
    <x v="20"/>
    <x v="1"/>
    <s v="A018"/>
    <x v="0"/>
    <s v="NEW"/>
    <s v="Circle"/>
    <s v="DESK"/>
    <s v="COMPLETED"/>
    <n v="300"/>
    <m/>
    <x v="0"/>
  </r>
  <r>
    <s v="T01373"/>
    <x v="20"/>
    <x v="1"/>
    <s v="A013"/>
    <x v="0"/>
    <s v="NEW"/>
    <s v="Single"/>
    <s v="DESK"/>
    <s v="COMPLETED"/>
    <n v="120"/>
    <m/>
    <x v="0"/>
  </r>
  <r>
    <s v="T01374"/>
    <x v="20"/>
    <x v="1"/>
    <s v="A020"/>
    <x v="0"/>
    <s v="NEW"/>
    <s v="Duo"/>
    <s v="DESK"/>
    <s v="COMPLETED"/>
    <n v="200"/>
    <m/>
    <x v="0"/>
  </r>
  <r>
    <s v="T01375"/>
    <x v="20"/>
    <x v="1"/>
    <s v="A019"/>
    <x v="0"/>
    <s v="NEW"/>
    <s v="Duo"/>
    <s v="DESK"/>
    <s v="COMPLETED"/>
    <n v="200"/>
    <m/>
    <x v="0"/>
  </r>
  <r>
    <s v="T01376"/>
    <x v="20"/>
    <x v="1"/>
    <s v="A014"/>
    <x v="0"/>
    <s v="NEW"/>
    <s v="Duo"/>
    <s v="DESK"/>
    <s v="COMPLETED"/>
    <n v="200"/>
    <m/>
    <x v="0"/>
  </r>
  <r>
    <s v="T01377"/>
    <x v="20"/>
    <x v="1"/>
    <s v="A016"/>
    <x v="0"/>
    <s v="NEW"/>
    <s v="Circle"/>
    <s v="DESK"/>
    <s v="COMPLETED"/>
    <n v="300"/>
    <m/>
    <x v="0"/>
  </r>
  <r>
    <s v="T01378"/>
    <x v="20"/>
    <x v="1"/>
    <s v="A021"/>
    <x v="0"/>
    <s v="NEW"/>
    <s v="Single"/>
    <s v="DESK"/>
    <s v="COMPLETED"/>
    <n v="120"/>
    <m/>
    <x v="0"/>
  </r>
  <r>
    <s v="T01379"/>
    <x v="20"/>
    <x v="1"/>
    <s v="A020"/>
    <x v="0"/>
    <s v="NEW"/>
    <s v="Duo"/>
    <s v="ONLINE"/>
    <s v="COMPLETED"/>
    <n v="200"/>
    <m/>
    <x v="0"/>
  </r>
  <r>
    <s v="T01380"/>
    <x v="20"/>
    <x v="1"/>
    <s v="A013"/>
    <x v="0"/>
    <s v="NEW"/>
    <s v="Single"/>
    <s v="DESK"/>
    <s v="COMPLETED"/>
    <n v="120"/>
    <m/>
    <x v="0"/>
  </r>
  <r>
    <s v="T01381"/>
    <x v="20"/>
    <x v="1"/>
    <s v="A014"/>
    <x v="0"/>
    <s v="NEW"/>
    <s v="Single"/>
    <s v="DESK"/>
    <s v="COMPLETED"/>
    <n v="120"/>
    <m/>
    <x v="0"/>
  </r>
  <r>
    <s v="T01382"/>
    <x v="20"/>
    <x v="1"/>
    <s v="A014"/>
    <x v="0"/>
    <s v="NEW"/>
    <s v="Duo"/>
    <s v="DESK"/>
    <s v="COMPLETED"/>
    <n v="150"/>
    <m/>
    <x v="1"/>
  </r>
  <r>
    <s v="T01383"/>
    <x v="20"/>
    <x v="2"/>
    <s v="A036"/>
    <x v="0"/>
    <s v="RENEWAL"/>
    <s v="Circle"/>
    <s v="ONLINE"/>
    <s v="COMPLETED"/>
    <n v="300"/>
    <m/>
    <x v="0"/>
  </r>
  <r>
    <s v="T01384"/>
    <x v="20"/>
    <x v="2"/>
    <s v="A028"/>
    <x v="0"/>
    <s v="NEW"/>
    <s v="Single"/>
    <s v="DESK"/>
    <s v="COMPLETED"/>
    <n v="120"/>
    <m/>
    <x v="0"/>
  </r>
  <r>
    <s v="T01385"/>
    <x v="20"/>
    <x v="2"/>
    <s v="A025"/>
    <x v="0"/>
    <s v="NEW"/>
    <s v="Single"/>
    <s v="DESK"/>
    <s v="PENDING"/>
    <n v="120"/>
    <m/>
    <x v="0"/>
  </r>
  <r>
    <s v="T01386"/>
    <x v="20"/>
    <x v="2"/>
    <s v="A030"/>
    <x v="0"/>
    <s v="NEW"/>
    <s v="Duo"/>
    <s v="DESK"/>
    <s v="COMPLETED"/>
    <n v="200"/>
    <m/>
    <x v="0"/>
  </r>
  <r>
    <s v="T01387"/>
    <x v="20"/>
    <x v="2"/>
    <s v="A027"/>
    <x v="0"/>
    <s v="NEW"/>
    <s v="Duo"/>
    <s v="DESK"/>
    <s v="COMPLETED"/>
    <n v="200"/>
    <m/>
    <x v="0"/>
  </r>
  <r>
    <s v="T01388"/>
    <x v="20"/>
    <x v="2"/>
    <s v="A026"/>
    <x v="0"/>
    <s v="NEW"/>
    <s v="Single"/>
    <s v="DESK"/>
    <s v="COMPLETED"/>
    <n v="120"/>
    <m/>
    <x v="0"/>
  </r>
  <r>
    <s v="T01389"/>
    <x v="20"/>
    <x v="2"/>
    <s v="A033"/>
    <x v="0"/>
    <s v="NEW"/>
    <s v="Single"/>
    <s v="DESK"/>
    <s v="COMPLETED"/>
    <n v="120"/>
    <m/>
    <x v="0"/>
  </r>
  <r>
    <s v="T01390"/>
    <x v="20"/>
    <x v="2"/>
    <s v="A032"/>
    <x v="0"/>
    <s v="NEW"/>
    <s v="Single"/>
    <s v="DESK"/>
    <s v="COMPLETED"/>
    <n v="120"/>
    <m/>
    <x v="0"/>
  </r>
  <r>
    <s v="T01391"/>
    <x v="20"/>
    <x v="2"/>
    <s v="A028"/>
    <x v="0"/>
    <s v="NEW"/>
    <s v="Circle"/>
    <s v="DESK"/>
    <s v="COMPLETED"/>
    <n v="300"/>
    <m/>
    <x v="0"/>
  </r>
  <r>
    <s v="T01392"/>
    <x v="20"/>
    <x v="2"/>
    <s v="A025"/>
    <x v="0"/>
    <s v="NEW"/>
    <s v="Single"/>
    <s v="DESK"/>
    <s v="COMPLETED"/>
    <n v="120"/>
    <m/>
    <x v="0"/>
  </r>
  <r>
    <s v="T01393"/>
    <x v="20"/>
    <x v="2"/>
    <s v="A027"/>
    <x v="0"/>
    <s v="NEW"/>
    <s v="Duo"/>
    <s v="DESK"/>
    <s v="COMPLETED"/>
    <n v="200"/>
    <m/>
    <x v="0"/>
  </r>
  <r>
    <s v="T01394"/>
    <x v="20"/>
    <x v="2"/>
    <s v="A035"/>
    <x v="0"/>
    <s v="NEW"/>
    <s v="Single"/>
    <s v="DESK"/>
    <s v="COMPLETED"/>
    <n v="120"/>
    <m/>
    <x v="0"/>
  </r>
  <r>
    <s v="T01395"/>
    <x v="20"/>
    <x v="2"/>
    <s v="A033"/>
    <x v="0"/>
    <s v="NEW"/>
    <s v="Circle"/>
    <s v="DESK"/>
    <s v="COMPLETED"/>
    <n v="300"/>
    <m/>
    <x v="0"/>
  </r>
  <r>
    <s v="T01396"/>
    <x v="20"/>
    <x v="2"/>
    <s v="A029"/>
    <x v="0"/>
    <s v="NEW"/>
    <s v="Single"/>
    <s v="DESK"/>
    <s v="COMPLETED"/>
    <n v="120"/>
    <m/>
    <x v="0"/>
  </r>
  <r>
    <s v="T01397"/>
    <x v="20"/>
    <x v="2"/>
    <s v="A027"/>
    <x v="0"/>
    <s v="NEW"/>
    <s v="Duo"/>
    <s v="DESK"/>
    <s v="COMPLETED"/>
    <n v="200"/>
    <m/>
    <x v="0"/>
  </r>
  <r>
    <s v="T01398"/>
    <x v="20"/>
    <x v="2"/>
    <s v="A028"/>
    <x v="0"/>
    <s v="NEW"/>
    <s v="Single"/>
    <s v="DESK"/>
    <s v="COMPLETED"/>
    <n v="102"/>
    <m/>
    <x v="1"/>
  </r>
  <r>
    <s v="T01399"/>
    <x v="20"/>
    <x v="2"/>
    <s v="A026"/>
    <x v="0"/>
    <s v="NEW"/>
    <s v="Circle"/>
    <s v="DESK"/>
    <s v="COMPLETED"/>
    <n v="300"/>
    <m/>
    <x v="0"/>
  </r>
  <r>
    <s v="T01400"/>
    <x v="20"/>
    <x v="2"/>
    <s v="A028"/>
    <x v="0"/>
    <s v="NEW"/>
    <s v="Circle"/>
    <s v="DESK"/>
    <s v="COMPLETED"/>
    <n v="225"/>
    <m/>
    <x v="2"/>
  </r>
  <r>
    <s v="T01401"/>
    <x v="20"/>
    <x v="2"/>
    <s v="A033"/>
    <x v="0"/>
    <s v="NEW"/>
    <s v="Circle"/>
    <s v="DESK"/>
    <s v="COMPLETED"/>
    <n v="225"/>
    <m/>
    <x v="2"/>
  </r>
  <r>
    <s v="T01402"/>
    <x v="20"/>
    <x v="2"/>
    <s v="A027"/>
    <x v="0"/>
    <s v="NEW"/>
    <s v="Circle"/>
    <s v="DESK"/>
    <s v="COMPLETED"/>
    <n v="225"/>
    <m/>
    <x v="2"/>
  </r>
  <r>
    <s v="T01403"/>
    <x v="20"/>
    <x v="2"/>
    <s v="A035"/>
    <x v="0"/>
    <s v="NEW"/>
    <s v="Circle"/>
    <s v="DESK"/>
    <s v="COMPLETED"/>
    <n v="225"/>
    <m/>
    <x v="2"/>
  </r>
  <r>
    <s v="T01404"/>
    <x v="20"/>
    <x v="2"/>
    <s v="A029"/>
    <x v="0"/>
    <s v="NEW"/>
    <s v="Circle"/>
    <s v="DESK"/>
    <s v="COMPLETED"/>
    <n v="225"/>
    <m/>
    <x v="2"/>
  </r>
  <r>
    <s v="T01405"/>
    <x v="20"/>
    <x v="2"/>
    <s v="A030"/>
    <x v="0"/>
    <s v="NEW"/>
    <s v="Circle"/>
    <s v="DESK"/>
    <s v="COMPLETED"/>
    <n v="225"/>
    <m/>
    <x v="2"/>
  </r>
  <r>
    <s v="T01406"/>
    <x v="20"/>
    <x v="2"/>
    <s v="A034"/>
    <x v="0"/>
    <s v="NEW"/>
    <s v="Circle"/>
    <s v="DESK"/>
    <s v="COMPLETED"/>
    <n v="225"/>
    <m/>
    <x v="2"/>
  </r>
  <r>
    <s v="T01407"/>
    <x v="20"/>
    <x v="2"/>
    <s v="A034"/>
    <x v="0"/>
    <s v="NEW"/>
    <s v="Circle"/>
    <s v="DESK"/>
    <s v="COMPLETED"/>
    <n v="225"/>
    <m/>
    <x v="2"/>
  </r>
  <r>
    <s v="T01408"/>
    <x v="20"/>
    <x v="2"/>
    <s v="A025"/>
    <x v="0"/>
    <s v="NEW"/>
    <s v="Circle"/>
    <s v="DESK"/>
    <s v="COMPLETED"/>
    <n v="225"/>
    <m/>
    <x v="2"/>
  </r>
  <r>
    <s v="T01409"/>
    <x v="20"/>
    <x v="2"/>
    <s v="A029"/>
    <x v="0"/>
    <s v="NEW"/>
    <s v="Circle"/>
    <s v="DESK"/>
    <s v="COMPLETED"/>
    <n v="225"/>
    <m/>
    <x v="2"/>
  </r>
  <r>
    <s v="T01410"/>
    <x v="20"/>
    <x v="2"/>
    <s v="A028"/>
    <x v="0"/>
    <s v="NEW"/>
    <s v="Circle"/>
    <s v="DESK"/>
    <s v="COMPLETED"/>
    <n v="225"/>
    <m/>
    <x v="2"/>
  </r>
  <r>
    <s v="T01411"/>
    <x v="20"/>
    <x v="2"/>
    <s v="A032"/>
    <x v="0"/>
    <s v="NEW"/>
    <s v="Circle"/>
    <s v="DESK"/>
    <s v="COMPLETED"/>
    <n v="225"/>
    <m/>
    <x v="2"/>
  </r>
  <r>
    <s v="T01412"/>
    <x v="20"/>
    <x v="2"/>
    <s v="A034"/>
    <x v="0"/>
    <s v="NEW"/>
    <s v="Circle"/>
    <s v="DESK"/>
    <s v="COMPLETED"/>
    <n v="225"/>
    <m/>
    <x v="2"/>
  </r>
  <r>
    <s v="T01413"/>
    <x v="20"/>
    <x v="2"/>
    <s v="A036"/>
    <x v="0"/>
    <s v="NEW"/>
    <s v="Circle"/>
    <s v="DESK"/>
    <s v="COMPLETED"/>
    <n v="225"/>
    <m/>
    <x v="2"/>
  </r>
  <r>
    <s v="T01414"/>
    <x v="20"/>
    <x v="2"/>
    <s v="A035"/>
    <x v="0"/>
    <s v="NEW"/>
    <s v="Circle"/>
    <s v="DESK"/>
    <s v="COMPLETED"/>
    <n v="225"/>
    <m/>
    <x v="2"/>
  </r>
  <r>
    <s v="T01415"/>
    <x v="20"/>
    <x v="2"/>
    <s v="A029"/>
    <x v="0"/>
    <s v="NEW"/>
    <s v="Circle"/>
    <s v="DESK"/>
    <s v="COMPLETED"/>
    <n v="225"/>
    <m/>
    <x v="2"/>
  </r>
  <r>
    <s v="T01416"/>
    <x v="20"/>
    <x v="2"/>
    <s v="A034"/>
    <x v="0"/>
    <s v="NEW"/>
    <s v="Circle"/>
    <s v="DESK"/>
    <s v="COMPLETED"/>
    <n v="225"/>
    <m/>
    <x v="2"/>
  </r>
  <r>
    <s v="T01417"/>
    <x v="20"/>
    <x v="2"/>
    <s v="A035"/>
    <x v="0"/>
    <s v="NEW"/>
    <s v="Circle"/>
    <s v="DESK"/>
    <s v="COMPLETED"/>
    <n v="225"/>
    <m/>
    <x v="2"/>
  </r>
  <r>
    <s v="T01418"/>
    <x v="20"/>
    <x v="2"/>
    <s v="A033"/>
    <x v="0"/>
    <s v="NEW"/>
    <s v="Circle"/>
    <s v="DESK"/>
    <s v="COMPLETED"/>
    <n v="225"/>
    <m/>
    <x v="2"/>
  </r>
  <r>
    <s v="T01419"/>
    <x v="20"/>
    <x v="3"/>
    <s v="A037"/>
    <x v="0"/>
    <s v="NEW"/>
    <s v="Circle"/>
    <s v="DESK"/>
    <s v="COMPLETED"/>
    <n v="300"/>
    <m/>
    <x v="0"/>
  </r>
  <r>
    <s v="T01420"/>
    <x v="20"/>
    <x v="3"/>
    <s v="A037"/>
    <x v="0"/>
    <s v="NEW"/>
    <s v="Duo"/>
    <s v="DESK"/>
    <s v="COMPLETED"/>
    <n v="170"/>
    <m/>
    <x v="1"/>
  </r>
  <r>
    <s v="T01421"/>
    <x v="20"/>
    <x v="3"/>
    <s v="A039"/>
    <x v="0"/>
    <s v="NEW"/>
    <s v="Duo"/>
    <s v="DESK"/>
    <s v="COMPLETED"/>
    <n v="200"/>
    <m/>
    <x v="0"/>
  </r>
  <r>
    <s v="T01422"/>
    <x v="20"/>
    <x v="3"/>
    <s v="A045"/>
    <x v="0"/>
    <s v="NEW"/>
    <s v="Circle"/>
    <s v="DESK"/>
    <s v="COMPLETED"/>
    <n v="300"/>
    <m/>
    <x v="0"/>
  </r>
  <r>
    <s v="T01423"/>
    <x v="20"/>
    <x v="3"/>
    <s v="A045"/>
    <x v="0"/>
    <s v="NEW"/>
    <s v="Single"/>
    <s v="DESK"/>
    <s v="COMPLETED"/>
    <n v="102"/>
    <m/>
    <x v="1"/>
  </r>
  <r>
    <s v="T01424"/>
    <x v="20"/>
    <x v="3"/>
    <s v="A045"/>
    <x v="0"/>
    <s v="NEW"/>
    <s v="Duo"/>
    <s v="DESK"/>
    <s v="COMPLETED"/>
    <n v="200"/>
    <m/>
    <x v="0"/>
  </r>
  <r>
    <s v="T01425"/>
    <x v="20"/>
    <x v="3"/>
    <s v="A042"/>
    <x v="0"/>
    <s v="NEW"/>
    <s v="Circle"/>
    <s v="ONLINE"/>
    <s v="COMPLETED"/>
    <n v="300"/>
    <m/>
    <x v="0"/>
  </r>
  <r>
    <s v="T01426"/>
    <x v="20"/>
    <x v="3"/>
    <s v="A037"/>
    <x v="0"/>
    <s v="NEW"/>
    <s v="Duo"/>
    <s v="DESK"/>
    <s v="COMPLETED"/>
    <n v="200"/>
    <m/>
    <x v="0"/>
  </r>
  <r>
    <s v="T01427"/>
    <x v="20"/>
    <x v="3"/>
    <s v="A043"/>
    <x v="0"/>
    <s v="NEW"/>
    <s v="Circle"/>
    <s v="ONLINE"/>
    <s v="COMPLETED"/>
    <n v="225"/>
    <m/>
    <x v="1"/>
  </r>
  <r>
    <s v="T01428"/>
    <x v="20"/>
    <x v="3"/>
    <s v="A045"/>
    <x v="0"/>
    <s v="NEW"/>
    <s v="Single"/>
    <s v="DESK"/>
    <s v="COMPLETED"/>
    <n v="102"/>
    <m/>
    <x v="1"/>
  </r>
  <r>
    <s v="T01429"/>
    <x v="20"/>
    <x v="3"/>
    <s v="A043"/>
    <x v="0"/>
    <s v="NEW"/>
    <s v="Single"/>
    <s v="DESK"/>
    <s v="COMPLETED"/>
    <n v="120"/>
    <m/>
    <x v="0"/>
  </r>
  <r>
    <s v="T01430"/>
    <x v="20"/>
    <x v="3"/>
    <s v="A047"/>
    <x v="0"/>
    <s v="NEW"/>
    <s v="Duo"/>
    <s v="DESK"/>
    <s v="COMPLETED"/>
    <n v="200"/>
    <m/>
    <x v="0"/>
  </r>
  <r>
    <s v="T01431"/>
    <x v="20"/>
    <x v="3"/>
    <s v="A037"/>
    <x v="0"/>
    <s v="NEW"/>
    <s v="Single"/>
    <s v="DESK"/>
    <s v="COMPLETED"/>
    <n v="120"/>
    <m/>
    <x v="0"/>
  </r>
  <r>
    <s v="T01432"/>
    <x v="20"/>
    <x v="3"/>
    <s v="A045"/>
    <x v="0"/>
    <s v="RENEWAL"/>
    <s v="Single"/>
    <s v="DESK"/>
    <s v="COMPLETED"/>
    <n v="120"/>
    <m/>
    <x v="0"/>
  </r>
  <r>
    <s v="T01433"/>
    <x v="21"/>
    <x v="0"/>
    <s v="A009"/>
    <x v="0"/>
    <s v="NEW"/>
    <s v="Circle"/>
    <s v="DESK"/>
    <s v="COMPLETED"/>
    <n v="300"/>
    <m/>
    <x v="0"/>
  </r>
  <r>
    <s v="T01434"/>
    <x v="21"/>
    <x v="0"/>
    <s v="A007"/>
    <x v="0"/>
    <s v="NEW"/>
    <s v="Single"/>
    <s v="DESK"/>
    <s v="COMPLETED"/>
    <n v="120"/>
    <m/>
    <x v="0"/>
  </r>
  <r>
    <s v="T01435"/>
    <x v="21"/>
    <x v="0"/>
    <s v="A011"/>
    <x v="0"/>
    <s v="NEW"/>
    <s v="Single"/>
    <s v="DESK"/>
    <s v="COMPLETED"/>
    <n v="120"/>
    <m/>
    <x v="0"/>
  </r>
  <r>
    <s v="T01436"/>
    <x v="21"/>
    <x v="0"/>
    <s v="A009"/>
    <x v="0"/>
    <s v="RENEWAL"/>
    <s v="Circle"/>
    <s v="DESK"/>
    <s v="COMPLETED"/>
    <n v="225"/>
    <m/>
    <x v="1"/>
  </r>
  <r>
    <s v="T01437"/>
    <x v="21"/>
    <x v="0"/>
    <s v="A009"/>
    <x v="0"/>
    <s v="NEW"/>
    <s v="Single"/>
    <s v="DESK"/>
    <s v="COMPLETED"/>
    <n v="120"/>
    <m/>
    <x v="0"/>
  </r>
  <r>
    <s v="T01438"/>
    <x v="21"/>
    <x v="0"/>
    <s v="A012"/>
    <x v="0"/>
    <s v="RENEWAL"/>
    <s v="Duo"/>
    <s v="DESK"/>
    <s v="COMPLETED"/>
    <n v="200"/>
    <m/>
    <x v="0"/>
  </r>
  <r>
    <s v="T01439"/>
    <x v="21"/>
    <x v="0"/>
    <s v="A005"/>
    <x v="0"/>
    <s v="NEW"/>
    <s v="Circle"/>
    <s v="DESK"/>
    <s v="COMPLETED"/>
    <n v="300"/>
    <m/>
    <x v="0"/>
  </r>
  <r>
    <s v="T01440"/>
    <x v="21"/>
    <x v="0"/>
    <s v="A007"/>
    <x v="0"/>
    <s v="NEW"/>
    <s v="Circle"/>
    <s v="DESK"/>
    <s v="COMPLETED"/>
    <n v="300"/>
    <m/>
    <x v="0"/>
  </r>
  <r>
    <s v="T01441"/>
    <x v="21"/>
    <x v="0"/>
    <s v="A012"/>
    <x v="0"/>
    <s v="NEW"/>
    <s v="Duo"/>
    <s v="DESK"/>
    <s v="COMPLETED"/>
    <n v="200"/>
    <m/>
    <x v="0"/>
  </r>
  <r>
    <s v="T01442"/>
    <x v="21"/>
    <x v="0"/>
    <s v="A004"/>
    <x v="0"/>
    <s v="NEW"/>
    <s v="Circle"/>
    <s v="DESK"/>
    <s v="COMPLETED"/>
    <n v="300"/>
    <m/>
    <x v="0"/>
  </r>
  <r>
    <s v="T01443"/>
    <x v="21"/>
    <x v="0"/>
    <s v="A006"/>
    <x v="0"/>
    <s v="NEW"/>
    <s v="Single"/>
    <s v="DESK"/>
    <s v="COMPLETED"/>
    <n v="120"/>
    <m/>
    <x v="0"/>
  </r>
  <r>
    <s v="T01444"/>
    <x v="21"/>
    <x v="0"/>
    <s v="A008"/>
    <x v="0"/>
    <s v="NEW"/>
    <s v="Duo"/>
    <s v="DESK"/>
    <s v="COMPLETED"/>
    <n v="200"/>
    <m/>
    <x v="0"/>
  </r>
  <r>
    <s v="T01445"/>
    <x v="21"/>
    <x v="0"/>
    <s v="A003"/>
    <x v="0"/>
    <s v="NEW"/>
    <s v="Duo"/>
    <s v="DESK"/>
    <s v="COMPLETED"/>
    <n v="200"/>
    <m/>
    <x v="0"/>
  </r>
  <r>
    <s v="T01446"/>
    <x v="21"/>
    <x v="0"/>
    <s v="A007"/>
    <x v="0"/>
    <s v="RENEWAL"/>
    <s v="Circle"/>
    <s v="DESK"/>
    <s v="COMPLETED"/>
    <n v="300"/>
    <m/>
    <x v="0"/>
  </r>
  <r>
    <s v="T01447"/>
    <x v="21"/>
    <x v="0"/>
    <s v="A007"/>
    <x v="0"/>
    <s v="NEW"/>
    <s v="Duo"/>
    <s v="DESK"/>
    <s v="COMPLETED"/>
    <n v="200"/>
    <m/>
    <x v="0"/>
  </r>
  <r>
    <s v="T01448"/>
    <x v="21"/>
    <x v="0"/>
    <s v="A007"/>
    <x v="0"/>
    <s v="NEW"/>
    <s v="Single"/>
    <s v="DESK"/>
    <s v="COMPLETED"/>
    <n v="90"/>
    <m/>
    <x v="1"/>
  </r>
  <r>
    <s v="T01449"/>
    <x v="21"/>
    <x v="0"/>
    <s v="A008"/>
    <x v="0"/>
    <s v="NEW"/>
    <s v="Circle"/>
    <s v="DESK"/>
    <s v="COMPLETED"/>
    <n v="255"/>
    <m/>
    <x v="1"/>
  </r>
  <r>
    <s v="T01450"/>
    <x v="21"/>
    <x v="0"/>
    <s v="A002"/>
    <x v="0"/>
    <s v="RENEWAL"/>
    <s v="Duo"/>
    <s v="DESK"/>
    <s v="COMPLETED"/>
    <n v="170"/>
    <m/>
    <x v="1"/>
  </r>
  <r>
    <s v="T01451"/>
    <x v="21"/>
    <x v="1"/>
    <s v="A024"/>
    <x v="0"/>
    <s v="NEW"/>
    <s v="Circle"/>
    <s v="DESK"/>
    <s v="COMPLETED"/>
    <n v="300"/>
    <m/>
    <x v="0"/>
  </r>
  <r>
    <s v="T01452"/>
    <x v="21"/>
    <x v="1"/>
    <s v="A022"/>
    <x v="0"/>
    <s v="NEW"/>
    <s v="Single"/>
    <s v="DESK"/>
    <s v="COMPLETED"/>
    <n v="120"/>
    <m/>
    <x v="0"/>
  </r>
  <r>
    <s v="T01453"/>
    <x v="21"/>
    <x v="1"/>
    <s v="A013"/>
    <x v="0"/>
    <s v="RENEWAL"/>
    <s v="Single"/>
    <s v="ONLINE"/>
    <s v="COMPLETED"/>
    <n v="120"/>
    <m/>
    <x v="0"/>
  </r>
  <r>
    <s v="T01454"/>
    <x v="21"/>
    <x v="1"/>
    <s v="A021"/>
    <x v="0"/>
    <s v="NEW"/>
    <s v="Circle"/>
    <s v="DESK"/>
    <s v="COMPLETED"/>
    <n v="300"/>
    <m/>
    <x v="0"/>
  </r>
  <r>
    <s v="T01455"/>
    <x v="21"/>
    <x v="1"/>
    <s v="A017"/>
    <x v="0"/>
    <s v="NEW"/>
    <s v="Circle"/>
    <s v="DESK"/>
    <s v="COMPLETED"/>
    <n v="300"/>
    <m/>
    <x v="0"/>
  </r>
  <r>
    <s v="T01456"/>
    <x v="21"/>
    <x v="1"/>
    <s v="A021"/>
    <x v="0"/>
    <s v="RENEWAL"/>
    <s v="Circle"/>
    <s v="DESK"/>
    <s v="COMPLETED"/>
    <n v="300"/>
    <m/>
    <x v="0"/>
  </r>
  <r>
    <s v="T01457"/>
    <x v="21"/>
    <x v="1"/>
    <s v="A018"/>
    <x v="0"/>
    <s v="NEW"/>
    <s v="Single"/>
    <s v="DESK"/>
    <s v="COMPLETED"/>
    <n v="90"/>
    <m/>
    <x v="1"/>
  </r>
  <r>
    <s v="T01458"/>
    <x v="21"/>
    <x v="1"/>
    <s v="A014"/>
    <x v="0"/>
    <s v="NEW"/>
    <s v="Single"/>
    <s v="DESK"/>
    <s v="COMPLETED"/>
    <n v="120"/>
    <m/>
    <x v="0"/>
  </r>
  <r>
    <s v="T01459"/>
    <x v="21"/>
    <x v="1"/>
    <s v="A020"/>
    <x v="0"/>
    <s v="NEW"/>
    <s v="Circle"/>
    <s v="DESK"/>
    <s v="COMPLETED"/>
    <n v="300"/>
    <m/>
    <x v="0"/>
  </r>
  <r>
    <s v="T01460"/>
    <x v="21"/>
    <x v="1"/>
    <s v="A018"/>
    <x v="0"/>
    <s v="NEW"/>
    <s v="Duo"/>
    <s v="DESK"/>
    <s v="COMPLETED"/>
    <n v="170"/>
    <m/>
    <x v="1"/>
  </r>
  <r>
    <s v="T01461"/>
    <x v="21"/>
    <x v="1"/>
    <s v="A014"/>
    <x v="0"/>
    <s v="NEW"/>
    <s v="Single"/>
    <s v="DESK"/>
    <s v="COMPLETED"/>
    <n v="120"/>
    <m/>
    <x v="0"/>
  </r>
  <r>
    <s v="T01462"/>
    <x v="21"/>
    <x v="1"/>
    <s v="A015"/>
    <x v="0"/>
    <s v="NEW"/>
    <s v="Single"/>
    <s v="DESK"/>
    <s v="COMPLETED"/>
    <n v="120"/>
    <m/>
    <x v="0"/>
  </r>
  <r>
    <s v="T01463"/>
    <x v="21"/>
    <x v="1"/>
    <s v="A018"/>
    <x v="0"/>
    <s v="NEW"/>
    <s v="Single"/>
    <s v="DESK"/>
    <s v="COMPLETED"/>
    <n v="120"/>
    <m/>
    <x v="0"/>
  </r>
  <r>
    <s v="T01464"/>
    <x v="21"/>
    <x v="1"/>
    <s v="A017"/>
    <x v="0"/>
    <s v="NEW"/>
    <s v="Single"/>
    <s v="DESK"/>
    <s v="COMPLETED"/>
    <n v="102"/>
    <m/>
    <x v="1"/>
  </r>
  <r>
    <s v="T01465"/>
    <x v="21"/>
    <x v="1"/>
    <s v="A023"/>
    <x v="0"/>
    <s v="NEW"/>
    <s v="Duo"/>
    <s v="DESK"/>
    <s v="COMPLETED"/>
    <n v="200"/>
    <m/>
    <x v="0"/>
  </r>
  <r>
    <s v="T01466"/>
    <x v="21"/>
    <x v="1"/>
    <s v="A023"/>
    <x v="0"/>
    <s v="NEW"/>
    <s v="Single"/>
    <s v="DESK"/>
    <s v="COMPLETED"/>
    <n v="102"/>
    <m/>
    <x v="1"/>
  </r>
  <r>
    <s v="T01467"/>
    <x v="21"/>
    <x v="1"/>
    <s v="A014"/>
    <x v="0"/>
    <s v="NEW"/>
    <s v="Circle"/>
    <s v="DESK"/>
    <s v="COMPLETED"/>
    <n v="300"/>
    <m/>
    <x v="0"/>
  </r>
  <r>
    <s v="T01468"/>
    <x v="21"/>
    <x v="1"/>
    <s v="A020"/>
    <x v="0"/>
    <s v="NEW"/>
    <s v="Circle"/>
    <s v="DESK"/>
    <s v="COMPLETED"/>
    <n v="300"/>
    <m/>
    <x v="0"/>
  </r>
  <r>
    <s v="T01469"/>
    <x v="21"/>
    <x v="2"/>
    <s v="A032"/>
    <x v="0"/>
    <s v="NEW"/>
    <s v="Single"/>
    <s v="ONLINE"/>
    <s v="COMPLETED"/>
    <n v="120"/>
    <m/>
    <x v="0"/>
  </r>
  <r>
    <s v="T01470"/>
    <x v="21"/>
    <x v="2"/>
    <s v="A029"/>
    <x v="0"/>
    <s v="NEW"/>
    <s v="Duo"/>
    <s v="DESK"/>
    <s v="COMPLETED"/>
    <n v="200"/>
    <m/>
    <x v="0"/>
  </r>
  <r>
    <s v="T01471"/>
    <x v="21"/>
    <x v="2"/>
    <s v="A035"/>
    <x v="0"/>
    <s v="RENEWAL"/>
    <s v="Circle"/>
    <s v="DESK"/>
    <s v="COMPLETED"/>
    <n v="300"/>
    <m/>
    <x v="0"/>
  </r>
  <r>
    <s v="T01472"/>
    <x v="21"/>
    <x v="2"/>
    <s v="A032"/>
    <x v="0"/>
    <s v="RENEWAL"/>
    <s v="Single"/>
    <s v="DESK"/>
    <s v="VOID"/>
    <n v="120"/>
    <m/>
    <x v="0"/>
  </r>
  <r>
    <s v="T01473"/>
    <x v="21"/>
    <x v="2"/>
    <s v="A027"/>
    <x v="0"/>
    <s v="NEW"/>
    <s v="Circle"/>
    <s v="DESK"/>
    <s v="COMPLETED"/>
    <n v="300"/>
    <m/>
    <x v="0"/>
  </r>
  <r>
    <s v="T01474"/>
    <x v="21"/>
    <x v="2"/>
    <s v="A031"/>
    <x v="0"/>
    <s v="NEW"/>
    <s v="Single"/>
    <s v="ONLINE"/>
    <s v="COMPLETED"/>
    <n v="120"/>
    <m/>
    <x v="0"/>
  </r>
  <r>
    <s v="T01475"/>
    <x v="21"/>
    <x v="2"/>
    <s v="A031"/>
    <x v="0"/>
    <s v="NEW"/>
    <s v="Circle"/>
    <s v="DESK"/>
    <s v="COMPLETED"/>
    <n v="300"/>
    <m/>
    <x v="0"/>
  </r>
  <r>
    <s v="T01476"/>
    <x v="21"/>
    <x v="2"/>
    <s v="A032"/>
    <x v="0"/>
    <s v="NEW"/>
    <s v="Duo"/>
    <s v="DESK"/>
    <s v="COMPLETED"/>
    <n v="200"/>
    <m/>
    <x v="0"/>
  </r>
  <r>
    <s v="T01477"/>
    <x v="21"/>
    <x v="2"/>
    <s v="A031"/>
    <x v="0"/>
    <s v="NEW"/>
    <s v="Circle"/>
    <s v="DESK"/>
    <s v="COMPLETED"/>
    <n v="225"/>
    <m/>
    <x v="1"/>
  </r>
  <r>
    <s v="T01478"/>
    <x v="21"/>
    <x v="2"/>
    <s v="A033"/>
    <x v="0"/>
    <s v="NEW"/>
    <s v="Single"/>
    <s v="ONLINE"/>
    <s v="COMPLETED"/>
    <n v="102"/>
    <m/>
    <x v="1"/>
  </r>
  <r>
    <s v="T01479"/>
    <x v="21"/>
    <x v="2"/>
    <s v="A027"/>
    <x v="0"/>
    <s v="RENEWAL"/>
    <s v="Duo"/>
    <s v="DESK"/>
    <s v="COMPLETED"/>
    <n v="200"/>
    <m/>
    <x v="0"/>
  </r>
  <r>
    <s v="T01480"/>
    <x v="21"/>
    <x v="2"/>
    <s v="A035"/>
    <x v="0"/>
    <s v="NEW"/>
    <s v="Duo"/>
    <s v="DESK"/>
    <s v="COMPLETED"/>
    <n v="200"/>
    <m/>
    <x v="0"/>
  </r>
  <r>
    <s v="T01481"/>
    <x v="21"/>
    <x v="2"/>
    <s v="A032"/>
    <x v="0"/>
    <s v="NEW"/>
    <s v="Circle"/>
    <s v="DESK"/>
    <s v="COMPLETED"/>
    <n v="300"/>
    <m/>
    <x v="0"/>
  </r>
  <r>
    <s v="T01482"/>
    <x v="21"/>
    <x v="2"/>
    <s v="A032"/>
    <x v="0"/>
    <s v="NEW"/>
    <s v="Single"/>
    <s v="DESK"/>
    <s v="COMPLETED"/>
    <n v="120"/>
    <m/>
    <x v="0"/>
  </r>
  <r>
    <s v="T01483"/>
    <x v="21"/>
    <x v="2"/>
    <s v="A025"/>
    <x v="0"/>
    <s v="NEW"/>
    <s v="Circle"/>
    <s v="DESK"/>
    <s v="COMPLETED"/>
    <n v="300"/>
    <m/>
    <x v="0"/>
  </r>
  <r>
    <s v="T01484"/>
    <x v="21"/>
    <x v="3"/>
    <s v="A043"/>
    <x v="0"/>
    <s v="NEW"/>
    <s v="Circle"/>
    <s v="DESK"/>
    <s v="PENDING"/>
    <n v="225"/>
    <m/>
    <x v="1"/>
  </r>
  <r>
    <s v="T01485"/>
    <x v="21"/>
    <x v="3"/>
    <s v="A040"/>
    <x v="0"/>
    <s v="RENEWAL"/>
    <s v="Single"/>
    <s v="DESK"/>
    <s v="COMPLETED"/>
    <n v="120"/>
    <m/>
    <x v="0"/>
  </r>
  <r>
    <s v="T01486"/>
    <x v="21"/>
    <x v="3"/>
    <s v="A044"/>
    <x v="0"/>
    <s v="RENEWAL"/>
    <s v="Duo"/>
    <s v="DESK"/>
    <s v="COMPLETED"/>
    <n v="200"/>
    <m/>
    <x v="0"/>
  </r>
  <r>
    <s v="T01487"/>
    <x v="21"/>
    <x v="3"/>
    <s v="A045"/>
    <x v="0"/>
    <s v="NEW"/>
    <s v="Single"/>
    <s v="DESK"/>
    <s v="COMPLETED"/>
    <n v="120"/>
    <m/>
    <x v="0"/>
  </r>
  <r>
    <s v="T01488"/>
    <x v="21"/>
    <x v="3"/>
    <s v="A043"/>
    <x v="0"/>
    <s v="NEW"/>
    <s v="Single"/>
    <s v="DESK"/>
    <s v="COMPLETED"/>
    <n v="120"/>
    <m/>
    <x v="0"/>
  </r>
  <r>
    <s v="T01489"/>
    <x v="21"/>
    <x v="3"/>
    <s v="A039"/>
    <x v="0"/>
    <s v="NEW"/>
    <s v="Duo"/>
    <s v="DESK"/>
    <s v="COMPLETED"/>
    <n v="200"/>
    <m/>
    <x v="0"/>
  </r>
  <r>
    <s v="T01490"/>
    <x v="21"/>
    <x v="3"/>
    <s v="A048"/>
    <x v="0"/>
    <s v="NEW"/>
    <s v="Duo"/>
    <s v="DESK"/>
    <s v="COMPLETED"/>
    <n v="170"/>
    <m/>
    <x v="1"/>
  </r>
  <r>
    <s v="T01491"/>
    <x v="21"/>
    <x v="3"/>
    <s v="A039"/>
    <x v="0"/>
    <s v="RENEWAL"/>
    <s v="Duo"/>
    <s v="DESK"/>
    <s v="COMPLETED"/>
    <n v="150"/>
    <m/>
    <x v="1"/>
  </r>
  <r>
    <s v="T01492"/>
    <x v="21"/>
    <x v="3"/>
    <s v="A046"/>
    <x v="0"/>
    <s v="RENEWAL"/>
    <s v="Circle"/>
    <s v="DESK"/>
    <s v="COMPLETED"/>
    <n v="300"/>
    <m/>
    <x v="0"/>
  </r>
  <r>
    <s v="T01493"/>
    <x v="21"/>
    <x v="3"/>
    <s v="A045"/>
    <x v="0"/>
    <s v="NEW"/>
    <s v="Circle"/>
    <s v="DESK"/>
    <s v="COMPLETED"/>
    <n v="300"/>
    <m/>
    <x v="0"/>
  </r>
  <r>
    <s v="T01494"/>
    <x v="21"/>
    <x v="3"/>
    <s v="A040"/>
    <x v="0"/>
    <s v="RENEWAL"/>
    <s v="Duo"/>
    <s v="DESK"/>
    <s v="COMPLETED"/>
    <n v="200"/>
    <m/>
    <x v="0"/>
  </r>
  <r>
    <s v="T01495"/>
    <x v="21"/>
    <x v="3"/>
    <s v="A042"/>
    <x v="0"/>
    <s v="RENEWAL"/>
    <s v="Single"/>
    <s v="DESK"/>
    <s v="COMPLETED"/>
    <n v="120"/>
    <m/>
    <x v="0"/>
  </r>
  <r>
    <s v="T01496"/>
    <x v="21"/>
    <x v="3"/>
    <s v="A047"/>
    <x v="0"/>
    <s v="NEW"/>
    <s v="Single"/>
    <s v="DESK"/>
    <s v="COMPLETED"/>
    <n v="120"/>
    <m/>
    <x v="0"/>
  </r>
  <r>
    <s v="T01497"/>
    <x v="21"/>
    <x v="3"/>
    <s v="A039"/>
    <x v="0"/>
    <s v="NEW"/>
    <s v="Duo"/>
    <s v="DESK"/>
    <s v="COMPLETED"/>
    <n v="200"/>
    <m/>
    <x v="0"/>
  </r>
  <r>
    <s v="T01498"/>
    <x v="21"/>
    <x v="3"/>
    <s v="A048"/>
    <x v="0"/>
    <s v="NEW"/>
    <s v="Duo"/>
    <s v="DESK"/>
    <s v="COMPLETED"/>
    <n v="200"/>
    <m/>
    <x v="0"/>
  </r>
  <r>
    <s v="T01499"/>
    <x v="21"/>
    <x v="3"/>
    <s v="A045"/>
    <x v="0"/>
    <s v="NEW"/>
    <s v="Circle"/>
    <s v="DESK"/>
    <s v="COMPLETED"/>
    <n v="300"/>
    <m/>
    <x v="0"/>
  </r>
  <r>
    <s v="T01500"/>
    <x v="21"/>
    <x v="3"/>
    <s v="A043"/>
    <x v="0"/>
    <s v="RENEWAL"/>
    <s v="Single"/>
    <s v="DESK"/>
    <s v="COMPLETED"/>
    <n v="120"/>
    <m/>
    <x v="0"/>
  </r>
  <r>
    <s v="T01501"/>
    <x v="21"/>
    <x v="3"/>
    <s v="A040"/>
    <x v="0"/>
    <s v="NEW"/>
    <s v="Duo"/>
    <s v="DESK"/>
    <s v="COMPLETED"/>
    <n v="200"/>
    <m/>
    <x v="0"/>
  </r>
  <r>
    <s v="T01502"/>
    <x v="21"/>
    <x v="3"/>
    <s v="A047"/>
    <x v="0"/>
    <s v="NEW"/>
    <s v="Circle"/>
    <s v="DESK"/>
    <s v="COMPLETED"/>
    <n v="300"/>
    <m/>
    <x v="0"/>
  </r>
  <r>
    <s v="T02106"/>
    <x v="21"/>
    <x v="1"/>
    <s v="A015"/>
    <x v="1"/>
    <s v="NEW"/>
    <s v="Single"/>
    <s v="DESK"/>
    <s v="COMPLETED"/>
    <n v="120"/>
    <s v="T01373"/>
    <x v="0"/>
  </r>
  <r>
    <s v="T02108"/>
    <x v="21"/>
    <x v="3"/>
    <s v="A042"/>
    <x v="1"/>
    <s v="NEW"/>
    <s v="Circle"/>
    <s v="DESK"/>
    <s v="COMPLETED"/>
    <n v="300"/>
    <s v="T01419"/>
    <x v="0"/>
  </r>
  <r>
    <s v="T01503"/>
    <x v="22"/>
    <x v="0"/>
    <s v="A002"/>
    <x v="0"/>
    <s v="NEW"/>
    <s v="Single"/>
    <s v="DESK"/>
    <s v="COMPLETED"/>
    <n v="120"/>
    <m/>
    <x v="0"/>
  </r>
  <r>
    <s v="T01504"/>
    <x v="22"/>
    <x v="0"/>
    <s v="A006"/>
    <x v="0"/>
    <s v="RENEWAL"/>
    <s v="Duo"/>
    <s v="DESK"/>
    <s v="COMPLETED"/>
    <n v="200"/>
    <m/>
    <x v="0"/>
  </r>
  <r>
    <s v="T01505"/>
    <x v="22"/>
    <x v="0"/>
    <s v="A011"/>
    <x v="0"/>
    <s v="RENEWAL"/>
    <s v="Circle"/>
    <s v="DESK"/>
    <s v="COMPLETED"/>
    <n v="300"/>
    <m/>
    <x v="0"/>
  </r>
  <r>
    <s v="T01506"/>
    <x v="22"/>
    <x v="0"/>
    <s v="A011"/>
    <x v="0"/>
    <s v="NEW"/>
    <s v="Single"/>
    <s v="DESK"/>
    <s v="COMPLETED"/>
    <n v="120"/>
    <m/>
    <x v="0"/>
  </r>
  <r>
    <s v="T01507"/>
    <x v="22"/>
    <x v="0"/>
    <s v="A012"/>
    <x v="0"/>
    <s v="NEW"/>
    <s v="Duo"/>
    <s v="DESK"/>
    <s v="COMPLETED"/>
    <n v="200"/>
    <m/>
    <x v="0"/>
  </r>
  <r>
    <s v="T01508"/>
    <x v="22"/>
    <x v="0"/>
    <s v="A004"/>
    <x v="0"/>
    <s v="NEW"/>
    <s v="Circle"/>
    <s v="DESK"/>
    <s v="COMPLETED"/>
    <n v="300"/>
    <m/>
    <x v="0"/>
  </r>
  <r>
    <s v="T01509"/>
    <x v="22"/>
    <x v="0"/>
    <s v="A003"/>
    <x v="0"/>
    <s v="NEW"/>
    <s v="Circle"/>
    <s v="DESK"/>
    <s v="COMPLETED"/>
    <n v="300"/>
    <m/>
    <x v="0"/>
  </r>
  <r>
    <s v="T01510"/>
    <x v="22"/>
    <x v="0"/>
    <s v="A006"/>
    <x v="0"/>
    <s v="NEW"/>
    <s v="Circle"/>
    <s v="DESK"/>
    <s v="COMPLETED"/>
    <n v="300"/>
    <m/>
    <x v="0"/>
  </r>
  <r>
    <s v="T01511"/>
    <x v="22"/>
    <x v="0"/>
    <s v="A009"/>
    <x v="0"/>
    <s v="NEW"/>
    <s v="Circle"/>
    <s v="DESK"/>
    <s v="COMPLETED"/>
    <n v="255"/>
    <m/>
    <x v="1"/>
  </r>
  <r>
    <s v="T01512"/>
    <x v="22"/>
    <x v="0"/>
    <s v="A005"/>
    <x v="0"/>
    <s v="NEW"/>
    <s v="Circle"/>
    <s v="DESK"/>
    <s v="COMPLETED"/>
    <n v="300"/>
    <m/>
    <x v="0"/>
  </r>
  <r>
    <s v="T01513"/>
    <x v="22"/>
    <x v="0"/>
    <s v="A010"/>
    <x v="0"/>
    <s v="NEW"/>
    <s v="Circle"/>
    <s v="DESK"/>
    <s v="COMPLETED"/>
    <n v="300"/>
    <m/>
    <x v="0"/>
  </r>
  <r>
    <s v="T01514"/>
    <x v="22"/>
    <x v="0"/>
    <s v="A006"/>
    <x v="0"/>
    <s v="NEW"/>
    <s v="Single"/>
    <s v="DESK"/>
    <s v="COMPLETED"/>
    <n v="90"/>
    <m/>
    <x v="1"/>
  </r>
  <r>
    <s v="T01515"/>
    <x v="22"/>
    <x v="0"/>
    <s v="A008"/>
    <x v="0"/>
    <s v="NEW"/>
    <s v="Circle"/>
    <s v="DESK"/>
    <s v="COMPLETED"/>
    <n v="300"/>
    <m/>
    <x v="0"/>
  </r>
  <r>
    <s v="T01516"/>
    <x v="22"/>
    <x v="0"/>
    <s v="A003"/>
    <x v="0"/>
    <s v="NEW"/>
    <s v="Single"/>
    <s v="DESK"/>
    <s v="COMPLETED"/>
    <n v="120"/>
    <m/>
    <x v="0"/>
  </r>
  <r>
    <s v="T01517"/>
    <x v="22"/>
    <x v="1"/>
    <s v="A016"/>
    <x v="0"/>
    <s v="NEW"/>
    <s v="Single"/>
    <s v="DESK"/>
    <s v="COMPLETED"/>
    <n v="120"/>
    <m/>
    <x v="0"/>
  </r>
  <r>
    <s v="T01518"/>
    <x v="22"/>
    <x v="1"/>
    <s v="A014"/>
    <x v="0"/>
    <s v="RENEWAL"/>
    <s v="Duo"/>
    <s v="DESK"/>
    <s v="COMPLETED"/>
    <n v="200"/>
    <m/>
    <x v="0"/>
  </r>
  <r>
    <s v="T01519"/>
    <x v="22"/>
    <x v="1"/>
    <s v="A017"/>
    <x v="0"/>
    <s v="NEW"/>
    <s v="Duo"/>
    <s v="DESK"/>
    <s v="COMPLETED"/>
    <n v="150"/>
    <m/>
    <x v="1"/>
  </r>
  <r>
    <s v="T01520"/>
    <x v="22"/>
    <x v="1"/>
    <s v="A017"/>
    <x v="0"/>
    <s v="NEW"/>
    <s v="Single"/>
    <s v="DESK"/>
    <s v="COMPLETED"/>
    <n v="120"/>
    <m/>
    <x v="0"/>
  </r>
  <r>
    <s v="T01521"/>
    <x v="22"/>
    <x v="1"/>
    <s v="A023"/>
    <x v="0"/>
    <s v="NEW"/>
    <s v="Single"/>
    <s v="DESK"/>
    <s v="COMPLETED"/>
    <n v="90"/>
    <m/>
    <x v="1"/>
  </r>
  <r>
    <s v="T01522"/>
    <x v="22"/>
    <x v="1"/>
    <s v="A021"/>
    <x v="0"/>
    <s v="RENEWAL"/>
    <s v="Circle"/>
    <s v="DESK"/>
    <s v="VOID"/>
    <n v="300"/>
    <m/>
    <x v="0"/>
  </r>
  <r>
    <s v="T01523"/>
    <x v="22"/>
    <x v="1"/>
    <s v="A016"/>
    <x v="0"/>
    <s v="NEW"/>
    <s v="Single"/>
    <s v="DESK"/>
    <s v="COMPLETED"/>
    <n v="120"/>
    <m/>
    <x v="0"/>
  </r>
  <r>
    <s v="T01524"/>
    <x v="22"/>
    <x v="1"/>
    <s v="A015"/>
    <x v="0"/>
    <s v="NEW"/>
    <s v="Duo"/>
    <s v="DESK"/>
    <s v="COMPLETED"/>
    <n v="200"/>
    <m/>
    <x v="0"/>
  </r>
  <r>
    <s v="T01525"/>
    <x v="22"/>
    <x v="1"/>
    <s v="A018"/>
    <x v="0"/>
    <s v="NEW"/>
    <s v="Duo"/>
    <s v="DESK"/>
    <s v="COMPLETED"/>
    <n v="200"/>
    <m/>
    <x v="0"/>
  </r>
  <r>
    <s v="T01526"/>
    <x v="22"/>
    <x v="1"/>
    <s v="A018"/>
    <x v="0"/>
    <s v="NEW"/>
    <s v="Circle"/>
    <s v="DESK"/>
    <s v="PENDING"/>
    <n v="225"/>
    <m/>
    <x v="1"/>
  </r>
  <r>
    <s v="T01527"/>
    <x v="22"/>
    <x v="1"/>
    <s v="A020"/>
    <x v="0"/>
    <s v="NEW"/>
    <s v="Duo"/>
    <s v="DESK"/>
    <s v="PENDING"/>
    <n v="200"/>
    <m/>
    <x v="0"/>
  </r>
  <r>
    <s v="T01528"/>
    <x v="22"/>
    <x v="1"/>
    <s v="A015"/>
    <x v="0"/>
    <s v="NEW"/>
    <s v="Duo"/>
    <s v="DESK"/>
    <s v="COMPLETED"/>
    <n v="200"/>
    <m/>
    <x v="0"/>
  </r>
  <r>
    <s v="T01529"/>
    <x v="22"/>
    <x v="1"/>
    <s v="A017"/>
    <x v="0"/>
    <s v="NEW"/>
    <s v="Circle"/>
    <s v="DESK"/>
    <s v="COMPLETED"/>
    <n v="225"/>
    <m/>
    <x v="1"/>
  </r>
  <r>
    <s v="T01530"/>
    <x v="22"/>
    <x v="1"/>
    <s v="A022"/>
    <x v="0"/>
    <s v="NEW"/>
    <s v="Duo"/>
    <s v="DESK"/>
    <s v="COMPLETED"/>
    <n v="200"/>
    <m/>
    <x v="0"/>
  </r>
  <r>
    <s v="T01531"/>
    <x v="22"/>
    <x v="1"/>
    <s v="A017"/>
    <x v="0"/>
    <s v="NEW"/>
    <s v="Single"/>
    <s v="DESK"/>
    <s v="COMPLETED"/>
    <n v="120"/>
    <m/>
    <x v="0"/>
  </r>
  <r>
    <s v="T01532"/>
    <x v="22"/>
    <x v="1"/>
    <s v="A016"/>
    <x v="0"/>
    <s v="RENEWAL"/>
    <s v="Duo"/>
    <s v="DESK"/>
    <s v="COMPLETED"/>
    <n v="200"/>
    <m/>
    <x v="0"/>
  </r>
  <r>
    <s v="T01533"/>
    <x v="22"/>
    <x v="1"/>
    <s v="A022"/>
    <x v="0"/>
    <s v="NEW"/>
    <s v="Duo"/>
    <s v="DESK"/>
    <s v="COMPLETED"/>
    <n v="200"/>
    <m/>
    <x v="0"/>
  </r>
  <r>
    <s v="T01534"/>
    <x v="22"/>
    <x v="1"/>
    <s v="A020"/>
    <x v="0"/>
    <s v="NEW"/>
    <s v="Circle"/>
    <s v="DESK"/>
    <s v="COMPLETED"/>
    <n v="300"/>
    <m/>
    <x v="0"/>
  </r>
  <r>
    <s v="T01535"/>
    <x v="22"/>
    <x v="1"/>
    <s v="A019"/>
    <x v="0"/>
    <s v="NEW"/>
    <s v="Circle"/>
    <s v="DESK"/>
    <s v="COMPLETED"/>
    <n v="300"/>
    <m/>
    <x v="0"/>
  </r>
  <r>
    <s v="T01536"/>
    <x v="22"/>
    <x v="2"/>
    <s v="A026"/>
    <x v="0"/>
    <s v="RENEWAL"/>
    <s v="Circle"/>
    <s v="ONLINE"/>
    <s v="COMPLETED"/>
    <n v="300"/>
    <m/>
    <x v="0"/>
  </r>
  <r>
    <s v="T01537"/>
    <x v="22"/>
    <x v="2"/>
    <s v="A032"/>
    <x v="0"/>
    <s v="NEW"/>
    <s v="Duo"/>
    <s v="DESK"/>
    <s v="COMPLETED"/>
    <n v="200"/>
    <m/>
    <x v="0"/>
  </r>
  <r>
    <s v="T01538"/>
    <x v="22"/>
    <x v="2"/>
    <s v="A029"/>
    <x v="0"/>
    <s v="NEW"/>
    <s v="Circle"/>
    <s v="DESK"/>
    <s v="COMPLETED"/>
    <n v="300"/>
    <m/>
    <x v="0"/>
  </r>
  <r>
    <s v="T01539"/>
    <x v="22"/>
    <x v="2"/>
    <s v="A033"/>
    <x v="0"/>
    <s v="NEW"/>
    <s v="Single"/>
    <s v="DESK"/>
    <s v="PENDING"/>
    <n v="102"/>
    <m/>
    <x v="1"/>
  </r>
  <r>
    <s v="T01540"/>
    <x v="22"/>
    <x v="2"/>
    <s v="A036"/>
    <x v="0"/>
    <s v="NEW"/>
    <s v="Circle"/>
    <s v="DESK"/>
    <s v="COMPLETED"/>
    <n v="300"/>
    <m/>
    <x v="0"/>
  </r>
  <r>
    <s v="T01541"/>
    <x v="22"/>
    <x v="2"/>
    <s v="A033"/>
    <x v="0"/>
    <s v="NEW"/>
    <s v="Duo"/>
    <s v="DESK"/>
    <s v="COMPLETED"/>
    <n v="200"/>
    <m/>
    <x v="0"/>
  </r>
  <r>
    <s v="T01542"/>
    <x v="22"/>
    <x v="2"/>
    <s v="A033"/>
    <x v="0"/>
    <s v="RENEWAL"/>
    <s v="Single"/>
    <s v="DESK"/>
    <s v="PENDING"/>
    <n v="120"/>
    <m/>
    <x v="0"/>
  </r>
  <r>
    <s v="T01543"/>
    <x v="22"/>
    <x v="2"/>
    <s v="A025"/>
    <x v="0"/>
    <s v="NEW"/>
    <s v="Circle"/>
    <s v="DESK"/>
    <s v="COMPLETED"/>
    <n v="300"/>
    <m/>
    <x v="0"/>
  </r>
  <r>
    <s v="T01544"/>
    <x v="22"/>
    <x v="2"/>
    <s v="A028"/>
    <x v="0"/>
    <s v="NEW"/>
    <s v="Circle"/>
    <s v="DESK"/>
    <s v="VOID"/>
    <n v="300"/>
    <m/>
    <x v="0"/>
  </r>
  <r>
    <s v="T01545"/>
    <x v="22"/>
    <x v="2"/>
    <s v="A034"/>
    <x v="0"/>
    <s v="NEW"/>
    <s v="Single"/>
    <s v="DESK"/>
    <s v="COMPLETED"/>
    <n v="120"/>
    <m/>
    <x v="0"/>
  </r>
  <r>
    <s v="T01546"/>
    <x v="22"/>
    <x v="2"/>
    <s v="A027"/>
    <x v="0"/>
    <s v="RENEWAL"/>
    <s v="Duo"/>
    <s v="DESK"/>
    <s v="COMPLETED"/>
    <n v="170"/>
    <m/>
    <x v="1"/>
  </r>
  <r>
    <s v="T01547"/>
    <x v="22"/>
    <x v="2"/>
    <s v="A036"/>
    <x v="0"/>
    <s v="RENEWAL"/>
    <s v="Duo"/>
    <s v="ONLINE"/>
    <s v="COMPLETED"/>
    <n v="200"/>
    <m/>
    <x v="0"/>
  </r>
  <r>
    <s v="T01548"/>
    <x v="22"/>
    <x v="2"/>
    <s v="A027"/>
    <x v="0"/>
    <s v="NEW"/>
    <s v="Duo"/>
    <s v="DESK"/>
    <s v="COMPLETED"/>
    <n v="200"/>
    <m/>
    <x v="0"/>
  </r>
  <r>
    <s v="T01549"/>
    <x v="22"/>
    <x v="3"/>
    <s v="A037"/>
    <x v="0"/>
    <s v="NEW"/>
    <s v="Duo"/>
    <s v="DESK"/>
    <s v="VOID"/>
    <n v="200"/>
    <m/>
    <x v="0"/>
  </r>
  <r>
    <s v="T01550"/>
    <x v="22"/>
    <x v="3"/>
    <s v="A040"/>
    <x v="0"/>
    <s v="NEW"/>
    <s v="Circle"/>
    <s v="DESK"/>
    <s v="COMPLETED"/>
    <n v="300"/>
    <m/>
    <x v="0"/>
  </r>
  <r>
    <s v="T01551"/>
    <x v="22"/>
    <x v="3"/>
    <s v="A039"/>
    <x v="0"/>
    <s v="NEW"/>
    <s v="Single"/>
    <s v="DESK"/>
    <s v="COMPLETED"/>
    <n v="120"/>
    <m/>
    <x v="0"/>
  </r>
  <r>
    <s v="T01552"/>
    <x v="22"/>
    <x v="3"/>
    <s v="A037"/>
    <x v="0"/>
    <s v="NEW"/>
    <s v="Circle"/>
    <s v="DESK"/>
    <s v="COMPLETED"/>
    <n v="300"/>
    <m/>
    <x v="0"/>
  </r>
  <r>
    <s v="T01553"/>
    <x v="22"/>
    <x v="3"/>
    <s v="A039"/>
    <x v="0"/>
    <s v="NEW"/>
    <s v="Duo"/>
    <s v="DESK"/>
    <s v="COMPLETED"/>
    <n v="200"/>
    <m/>
    <x v="0"/>
  </r>
  <r>
    <s v="T01554"/>
    <x v="22"/>
    <x v="3"/>
    <s v="A045"/>
    <x v="0"/>
    <s v="NEW"/>
    <s v="Single"/>
    <s v="DESK"/>
    <s v="COMPLETED"/>
    <n v="120"/>
    <m/>
    <x v="0"/>
  </r>
  <r>
    <s v="T01555"/>
    <x v="22"/>
    <x v="3"/>
    <s v="A043"/>
    <x v="0"/>
    <s v="NEW"/>
    <s v="Single"/>
    <s v="DESK"/>
    <s v="COMPLETED"/>
    <n v="120"/>
    <m/>
    <x v="0"/>
  </r>
  <r>
    <s v="T01556"/>
    <x v="22"/>
    <x v="3"/>
    <s v="A043"/>
    <x v="0"/>
    <s v="RENEWAL"/>
    <s v="Circle"/>
    <s v="DESK"/>
    <s v="COMPLETED"/>
    <n v="300"/>
    <m/>
    <x v="0"/>
  </r>
  <r>
    <s v="T01557"/>
    <x v="22"/>
    <x v="3"/>
    <s v="A045"/>
    <x v="0"/>
    <s v="NEW"/>
    <s v="Duo"/>
    <s v="DESK"/>
    <s v="COMPLETED"/>
    <n v="200"/>
    <m/>
    <x v="0"/>
  </r>
  <r>
    <s v="T01558"/>
    <x v="22"/>
    <x v="3"/>
    <s v="A048"/>
    <x v="0"/>
    <s v="RENEWAL"/>
    <s v="Single"/>
    <s v="DESK"/>
    <s v="COMPLETED"/>
    <n v="120"/>
    <m/>
    <x v="0"/>
  </r>
  <r>
    <s v="T01559"/>
    <x v="22"/>
    <x v="3"/>
    <s v="A039"/>
    <x v="0"/>
    <s v="NEW"/>
    <s v="Single"/>
    <s v="DESK"/>
    <s v="COMPLETED"/>
    <n v="120"/>
    <m/>
    <x v="0"/>
  </r>
  <r>
    <s v="T01560"/>
    <x v="22"/>
    <x v="3"/>
    <s v="A041"/>
    <x v="0"/>
    <s v="RENEWAL"/>
    <s v="Circle"/>
    <s v="ONLINE"/>
    <s v="COMPLETED"/>
    <n v="300"/>
    <m/>
    <x v="0"/>
  </r>
  <r>
    <s v="T01561"/>
    <x v="22"/>
    <x v="3"/>
    <s v="A039"/>
    <x v="0"/>
    <s v="NEW"/>
    <s v="Duo"/>
    <s v="DESK"/>
    <s v="COMPLETED"/>
    <n v="170"/>
    <m/>
    <x v="1"/>
  </r>
  <r>
    <s v="T01562"/>
    <x v="22"/>
    <x v="3"/>
    <s v="A039"/>
    <x v="0"/>
    <s v="NEW"/>
    <s v="Duo"/>
    <s v="DESK"/>
    <s v="COMPLETED"/>
    <n v="200"/>
    <m/>
    <x v="0"/>
  </r>
  <r>
    <s v="T01563"/>
    <x v="22"/>
    <x v="3"/>
    <s v="A041"/>
    <x v="0"/>
    <s v="RENEWAL"/>
    <s v="Single"/>
    <s v="ONLINE"/>
    <s v="COMPLETED"/>
    <n v="120"/>
    <m/>
    <x v="0"/>
  </r>
  <r>
    <s v="T02079"/>
    <x v="22"/>
    <x v="1"/>
    <s v="A013"/>
    <x v="1"/>
    <s v="NEW"/>
    <s v="Single"/>
    <s v="DESK"/>
    <s v="COMPLETED"/>
    <n v="120"/>
    <s v="T01458"/>
    <x v="0"/>
  </r>
  <r>
    <s v="T02090"/>
    <x v="22"/>
    <x v="1"/>
    <s v="A016"/>
    <x v="1"/>
    <s v="NEW"/>
    <s v="Single"/>
    <s v="DESK"/>
    <s v="COMPLETED"/>
    <n v="120"/>
    <s v="T01380"/>
    <x v="0"/>
  </r>
  <r>
    <s v="T02100"/>
    <x v="22"/>
    <x v="2"/>
    <s v="A034"/>
    <x v="1"/>
    <s v="RENEWAL"/>
    <s v="Duo"/>
    <s v="DESK"/>
    <s v="COMPLETED"/>
    <n v="200"/>
    <s v="T01479"/>
    <x v="0"/>
  </r>
  <r>
    <s v="T01564"/>
    <x v="23"/>
    <x v="0"/>
    <s v="A010"/>
    <x v="0"/>
    <s v="RENEWAL"/>
    <s v="Single"/>
    <s v="DESK"/>
    <s v="COMPLETED"/>
    <n v="120"/>
    <m/>
    <x v="0"/>
  </r>
  <r>
    <s v="T01565"/>
    <x v="23"/>
    <x v="0"/>
    <s v="A001"/>
    <x v="0"/>
    <s v="NEW"/>
    <s v="Duo"/>
    <s v="DESK"/>
    <s v="COMPLETED"/>
    <n v="170"/>
    <m/>
    <x v="1"/>
  </r>
  <r>
    <s v="T01566"/>
    <x v="23"/>
    <x v="0"/>
    <s v="A011"/>
    <x v="0"/>
    <s v="NEW"/>
    <s v="Circle"/>
    <s v="DESK"/>
    <s v="COMPLETED"/>
    <n v="300"/>
    <m/>
    <x v="0"/>
  </r>
  <r>
    <s v="T01567"/>
    <x v="23"/>
    <x v="0"/>
    <s v="A010"/>
    <x v="0"/>
    <s v="NEW"/>
    <s v="Duo"/>
    <s v="DESK"/>
    <s v="COMPLETED"/>
    <n v="200"/>
    <m/>
    <x v="0"/>
  </r>
  <r>
    <s v="T01568"/>
    <x v="23"/>
    <x v="0"/>
    <s v="A002"/>
    <x v="0"/>
    <s v="NEW"/>
    <s v="Single"/>
    <s v="DESK"/>
    <s v="COMPLETED"/>
    <n v="120"/>
    <m/>
    <x v="0"/>
  </r>
  <r>
    <s v="T01569"/>
    <x v="23"/>
    <x v="0"/>
    <s v="A006"/>
    <x v="0"/>
    <s v="NEW"/>
    <s v="Single"/>
    <s v="DESK"/>
    <s v="COMPLETED"/>
    <n v="120"/>
    <m/>
    <x v="0"/>
  </r>
  <r>
    <s v="T01570"/>
    <x v="23"/>
    <x v="0"/>
    <s v="A008"/>
    <x v="0"/>
    <s v="NEW"/>
    <s v="Single"/>
    <s v="DESK"/>
    <s v="COMPLETED"/>
    <n v="120"/>
    <m/>
    <x v="0"/>
  </r>
  <r>
    <s v="T01571"/>
    <x v="23"/>
    <x v="0"/>
    <s v="A010"/>
    <x v="0"/>
    <s v="NEW"/>
    <s v="Single"/>
    <s v="ONLINE"/>
    <s v="COMPLETED"/>
    <n v="102"/>
    <m/>
    <x v="1"/>
  </r>
  <r>
    <s v="T01572"/>
    <x v="23"/>
    <x v="0"/>
    <s v="A011"/>
    <x v="0"/>
    <s v="RENEWAL"/>
    <s v="Circle"/>
    <s v="DESK"/>
    <s v="COMPLETED"/>
    <n v="300"/>
    <m/>
    <x v="0"/>
  </r>
  <r>
    <s v="T01573"/>
    <x v="23"/>
    <x v="0"/>
    <s v="A002"/>
    <x v="0"/>
    <s v="NEW"/>
    <s v="Duo"/>
    <s v="DESK"/>
    <s v="PENDING"/>
    <n v="200"/>
    <m/>
    <x v="0"/>
  </r>
  <r>
    <s v="T01574"/>
    <x v="23"/>
    <x v="0"/>
    <s v="A004"/>
    <x v="0"/>
    <s v="NEW"/>
    <s v="Duo"/>
    <s v="DESK"/>
    <s v="COMPLETED"/>
    <n v="200"/>
    <m/>
    <x v="0"/>
  </r>
  <r>
    <s v="T01575"/>
    <x v="23"/>
    <x v="0"/>
    <s v="A004"/>
    <x v="0"/>
    <s v="NEW"/>
    <s v="Single"/>
    <s v="ONLINE"/>
    <s v="COMPLETED"/>
    <n v="120"/>
    <m/>
    <x v="0"/>
  </r>
  <r>
    <s v="T01576"/>
    <x v="23"/>
    <x v="0"/>
    <s v="A005"/>
    <x v="0"/>
    <s v="RENEWAL"/>
    <s v="Duo"/>
    <s v="DESK"/>
    <s v="COMPLETED"/>
    <n v="200"/>
    <m/>
    <x v="0"/>
  </r>
  <r>
    <s v="T01577"/>
    <x v="23"/>
    <x v="0"/>
    <s v="A008"/>
    <x v="0"/>
    <s v="NEW"/>
    <s v="Single"/>
    <s v="ONLINE"/>
    <s v="COMPLETED"/>
    <n v="120"/>
    <m/>
    <x v="0"/>
  </r>
  <r>
    <s v="T01578"/>
    <x v="23"/>
    <x v="0"/>
    <s v="A010"/>
    <x v="0"/>
    <s v="NEW"/>
    <s v="Duo"/>
    <s v="DESK"/>
    <s v="COMPLETED"/>
    <n v="200"/>
    <m/>
    <x v="0"/>
  </r>
  <r>
    <s v="T01579"/>
    <x v="23"/>
    <x v="0"/>
    <s v="A003"/>
    <x v="0"/>
    <s v="NEW"/>
    <s v="Circle"/>
    <s v="DESK"/>
    <s v="COMPLETED"/>
    <n v="225"/>
    <m/>
    <x v="1"/>
  </r>
  <r>
    <s v="T01580"/>
    <x v="23"/>
    <x v="1"/>
    <s v="A017"/>
    <x v="0"/>
    <s v="NEW"/>
    <s v="Duo"/>
    <s v="ONLINE"/>
    <s v="COMPLETED"/>
    <n v="200"/>
    <m/>
    <x v="0"/>
  </r>
  <r>
    <s v="T01581"/>
    <x v="23"/>
    <x v="1"/>
    <s v="A019"/>
    <x v="0"/>
    <s v="NEW"/>
    <s v="Circle"/>
    <s v="DESK"/>
    <s v="COMPLETED"/>
    <n v="300"/>
    <m/>
    <x v="0"/>
  </r>
  <r>
    <s v="T01582"/>
    <x v="23"/>
    <x v="1"/>
    <s v="A019"/>
    <x v="0"/>
    <s v="NEW"/>
    <s v="Duo"/>
    <s v="ONLINE"/>
    <s v="COMPLETED"/>
    <n v="200"/>
    <m/>
    <x v="0"/>
  </r>
  <r>
    <s v="T01583"/>
    <x v="23"/>
    <x v="1"/>
    <s v="A021"/>
    <x v="0"/>
    <s v="NEW"/>
    <s v="Single"/>
    <s v="DESK"/>
    <s v="COMPLETED"/>
    <n v="90"/>
    <m/>
    <x v="1"/>
  </r>
  <r>
    <s v="T01584"/>
    <x v="23"/>
    <x v="1"/>
    <s v="A014"/>
    <x v="0"/>
    <s v="NEW"/>
    <s v="Circle"/>
    <s v="DESK"/>
    <s v="COMPLETED"/>
    <n v="300"/>
    <m/>
    <x v="0"/>
  </r>
  <r>
    <s v="T01585"/>
    <x v="23"/>
    <x v="1"/>
    <s v="A013"/>
    <x v="0"/>
    <s v="NEW"/>
    <s v="Single"/>
    <s v="DESK"/>
    <s v="COMPLETED"/>
    <n v="120"/>
    <m/>
    <x v="0"/>
  </r>
  <r>
    <s v="T01586"/>
    <x v="23"/>
    <x v="1"/>
    <s v="A021"/>
    <x v="0"/>
    <s v="NEW"/>
    <s v="Duo"/>
    <s v="DESK"/>
    <s v="COMPLETED"/>
    <n v="200"/>
    <m/>
    <x v="0"/>
  </r>
  <r>
    <s v="T01587"/>
    <x v="23"/>
    <x v="1"/>
    <s v="A013"/>
    <x v="0"/>
    <s v="NEW"/>
    <s v="Circle"/>
    <s v="DESK"/>
    <s v="COMPLETED"/>
    <n v="300"/>
    <m/>
    <x v="0"/>
  </r>
  <r>
    <s v="T01588"/>
    <x v="23"/>
    <x v="1"/>
    <s v="A014"/>
    <x v="0"/>
    <s v="NEW"/>
    <s v="Duo"/>
    <s v="DESK"/>
    <s v="COMPLETED"/>
    <n v="200"/>
    <m/>
    <x v="0"/>
  </r>
  <r>
    <s v="T01589"/>
    <x v="23"/>
    <x v="1"/>
    <s v="A023"/>
    <x v="0"/>
    <s v="NEW"/>
    <s v="Circle"/>
    <s v="DESK"/>
    <s v="COMPLETED"/>
    <n v="300"/>
    <m/>
    <x v="0"/>
  </r>
  <r>
    <s v="T01590"/>
    <x v="23"/>
    <x v="1"/>
    <s v="A014"/>
    <x v="0"/>
    <s v="RENEWAL"/>
    <s v="Single"/>
    <s v="DESK"/>
    <s v="COMPLETED"/>
    <n v="120"/>
    <m/>
    <x v="0"/>
  </r>
  <r>
    <s v="T01591"/>
    <x v="23"/>
    <x v="1"/>
    <s v="A014"/>
    <x v="0"/>
    <s v="NEW"/>
    <s v="Circle"/>
    <s v="DESK"/>
    <s v="COMPLETED"/>
    <n v="300"/>
    <m/>
    <x v="0"/>
  </r>
  <r>
    <s v="T01592"/>
    <x v="23"/>
    <x v="1"/>
    <s v="A016"/>
    <x v="0"/>
    <s v="RENEWAL"/>
    <s v="Circle"/>
    <s v="DESK"/>
    <s v="COMPLETED"/>
    <n v="300"/>
    <m/>
    <x v="0"/>
  </r>
  <r>
    <s v="T01593"/>
    <x v="23"/>
    <x v="1"/>
    <s v="A021"/>
    <x v="0"/>
    <s v="NEW"/>
    <s v="Circle"/>
    <s v="DESK"/>
    <s v="COMPLETED"/>
    <n v="300"/>
    <m/>
    <x v="0"/>
  </r>
  <r>
    <s v="T01594"/>
    <x v="23"/>
    <x v="1"/>
    <s v="A017"/>
    <x v="0"/>
    <s v="NEW"/>
    <s v="Duo"/>
    <s v="ONLINE"/>
    <s v="COMPLETED"/>
    <n v="200"/>
    <m/>
    <x v="0"/>
  </r>
  <r>
    <s v="T01595"/>
    <x v="23"/>
    <x v="2"/>
    <s v="A025"/>
    <x v="0"/>
    <s v="RENEWAL"/>
    <s v="Circle"/>
    <s v="DESK"/>
    <s v="COMPLETED"/>
    <n v="300"/>
    <m/>
    <x v="0"/>
  </r>
  <r>
    <s v="T01596"/>
    <x v="23"/>
    <x v="2"/>
    <s v="A031"/>
    <x v="0"/>
    <s v="NEW"/>
    <s v="Circle"/>
    <s v="DESK"/>
    <s v="COMPLETED"/>
    <n v="225"/>
    <m/>
    <x v="1"/>
  </r>
  <r>
    <s v="T01597"/>
    <x v="23"/>
    <x v="2"/>
    <s v="A031"/>
    <x v="0"/>
    <s v="NEW"/>
    <s v="Duo"/>
    <s v="DESK"/>
    <s v="COMPLETED"/>
    <n v="200"/>
    <m/>
    <x v="0"/>
  </r>
  <r>
    <s v="T01598"/>
    <x v="23"/>
    <x v="2"/>
    <s v="A028"/>
    <x v="0"/>
    <s v="RENEWAL"/>
    <s v="Single"/>
    <s v="DESK"/>
    <s v="COMPLETED"/>
    <n v="120"/>
    <m/>
    <x v="0"/>
  </r>
  <r>
    <s v="T01599"/>
    <x v="23"/>
    <x v="2"/>
    <s v="A025"/>
    <x v="0"/>
    <s v="NEW"/>
    <s v="Circle"/>
    <s v="DESK"/>
    <s v="COMPLETED"/>
    <n v="300"/>
    <m/>
    <x v="0"/>
  </r>
  <r>
    <s v="T01600"/>
    <x v="23"/>
    <x v="2"/>
    <s v="A028"/>
    <x v="0"/>
    <s v="RENEWAL"/>
    <s v="Circle"/>
    <s v="DESK"/>
    <s v="COMPLETED"/>
    <n v="300"/>
    <m/>
    <x v="0"/>
  </r>
  <r>
    <s v="T01601"/>
    <x v="23"/>
    <x v="2"/>
    <s v="A036"/>
    <x v="0"/>
    <s v="NEW"/>
    <s v="Circle"/>
    <s v="DESK"/>
    <s v="COMPLETED"/>
    <n v="300"/>
    <m/>
    <x v="0"/>
  </r>
  <r>
    <s v="T01602"/>
    <x v="23"/>
    <x v="2"/>
    <s v="A035"/>
    <x v="0"/>
    <s v="NEW"/>
    <s v="Single"/>
    <s v="DESK"/>
    <s v="COMPLETED"/>
    <n v="90"/>
    <m/>
    <x v="1"/>
  </r>
  <r>
    <s v="T01603"/>
    <x v="23"/>
    <x v="2"/>
    <s v="A026"/>
    <x v="0"/>
    <s v="NEW"/>
    <s v="Circle"/>
    <s v="DESK"/>
    <s v="COMPLETED"/>
    <n v="300"/>
    <m/>
    <x v="0"/>
  </r>
  <r>
    <s v="T01604"/>
    <x v="23"/>
    <x v="2"/>
    <s v="A035"/>
    <x v="0"/>
    <s v="RENEWAL"/>
    <s v="Duo"/>
    <s v="DESK"/>
    <s v="COMPLETED"/>
    <n v="200"/>
    <m/>
    <x v="0"/>
  </r>
  <r>
    <s v="T01605"/>
    <x v="23"/>
    <x v="2"/>
    <s v="A033"/>
    <x v="0"/>
    <s v="RENEWAL"/>
    <s v="Single"/>
    <s v="DESK"/>
    <s v="COMPLETED"/>
    <n v="120"/>
    <m/>
    <x v="0"/>
  </r>
  <r>
    <s v="T01606"/>
    <x v="23"/>
    <x v="2"/>
    <s v="A026"/>
    <x v="0"/>
    <s v="NEW"/>
    <s v="Single"/>
    <s v="DESK"/>
    <s v="COMPLETED"/>
    <n v="120"/>
    <m/>
    <x v="0"/>
  </r>
  <r>
    <s v="T01607"/>
    <x v="23"/>
    <x v="2"/>
    <s v="A028"/>
    <x v="0"/>
    <s v="NEW"/>
    <s v="Circle"/>
    <s v="DESK"/>
    <s v="COMPLETED"/>
    <n v="300"/>
    <m/>
    <x v="0"/>
  </r>
  <r>
    <s v="T01608"/>
    <x v="23"/>
    <x v="2"/>
    <s v="A030"/>
    <x v="0"/>
    <s v="NEW"/>
    <s v="Single"/>
    <s v="DESK"/>
    <s v="COMPLETED"/>
    <n v="102"/>
    <m/>
    <x v="1"/>
  </r>
  <r>
    <s v="T01609"/>
    <x v="23"/>
    <x v="3"/>
    <s v="A042"/>
    <x v="0"/>
    <s v="NEW"/>
    <s v="Single"/>
    <s v="DESK"/>
    <s v="COMPLETED"/>
    <n v="120"/>
    <m/>
    <x v="0"/>
  </r>
  <r>
    <s v="T01610"/>
    <x v="23"/>
    <x v="3"/>
    <s v="A046"/>
    <x v="0"/>
    <s v="NEW"/>
    <s v="Single"/>
    <s v="DESK"/>
    <s v="COMPLETED"/>
    <n v="102"/>
    <m/>
    <x v="1"/>
  </r>
  <r>
    <s v="T01611"/>
    <x v="23"/>
    <x v="3"/>
    <s v="A042"/>
    <x v="0"/>
    <s v="RENEWAL"/>
    <s v="Duo"/>
    <s v="DESK"/>
    <s v="COMPLETED"/>
    <n v="200"/>
    <m/>
    <x v="0"/>
  </r>
  <r>
    <s v="T01612"/>
    <x v="23"/>
    <x v="3"/>
    <s v="A039"/>
    <x v="0"/>
    <s v="NEW"/>
    <s v="Duo"/>
    <s v="DESK"/>
    <s v="COMPLETED"/>
    <n v="170"/>
    <m/>
    <x v="1"/>
  </r>
  <r>
    <s v="T01613"/>
    <x v="23"/>
    <x v="3"/>
    <s v="A041"/>
    <x v="0"/>
    <s v="NEW"/>
    <s v="Circle"/>
    <s v="DESK"/>
    <s v="COMPLETED"/>
    <n v="300"/>
    <m/>
    <x v="0"/>
  </r>
  <r>
    <s v="T01614"/>
    <x v="23"/>
    <x v="3"/>
    <s v="A037"/>
    <x v="0"/>
    <s v="NEW"/>
    <s v="Duo"/>
    <s v="DESK"/>
    <s v="COMPLETED"/>
    <n v="200"/>
    <m/>
    <x v="0"/>
  </r>
  <r>
    <s v="T01615"/>
    <x v="23"/>
    <x v="3"/>
    <s v="A046"/>
    <x v="0"/>
    <s v="NEW"/>
    <s v="Circle"/>
    <s v="DESK"/>
    <s v="COMPLETED"/>
    <n v="225"/>
    <m/>
    <x v="1"/>
  </r>
  <r>
    <s v="T01616"/>
    <x v="23"/>
    <x v="3"/>
    <s v="A045"/>
    <x v="0"/>
    <s v="NEW"/>
    <s v="Duo"/>
    <s v="DESK"/>
    <s v="COMPLETED"/>
    <n v="170"/>
    <m/>
    <x v="1"/>
  </r>
  <r>
    <s v="T01617"/>
    <x v="23"/>
    <x v="3"/>
    <s v="A042"/>
    <x v="0"/>
    <s v="RENEWAL"/>
    <s v="Circle"/>
    <s v="ONLINE"/>
    <s v="COMPLETED"/>
    <n v="300"/>
    <m/>
    <x v="0"/>
  </r>
  <r>
    <s v="T01618"/>
    <x v="23"/>
    <x v="3"/>
    <s v="A037"/>
    <x v="0"/>
    <s v="NEW"/>
    <s v="Single"/>
    <s v="DESK"/>
    <s v="COMPLETED"/>
    <n v="120"/>
    <m/>
    <x v="0"/>
  </r>
  <r>
    <s v="T01619"/>
    <x v="23"/>
    <x v="3"/>
    <s v="A046"/>
    <x v="0"/>
    <s v="NEW"/>
    <s v="Circle"/>
    <s v="DESK"/>
    <s v="COMPLETED"/>
    <n v="300"/>
    <m/>
    <x v="0"/>
  </r>
  <r>
    <s v="T01620"/>
    <x v="23"/>
    <x v="3"/>
    <s v="A047"/>
    <x v="0"/>
    <s v="NEW"/>
    <s v="Circle"/>
    <s v="DESK"/>
    <s v="COMPLETED"/>
    <n v="300"/>
    <m/>
    <x v="0"/>
  </r>
  <r>
    <s v="T01621"/>
    <x v="23"/>
    <x v="3"/>
    <s v="A045"/>
    <x v="0"/>
    <s v="NEW"/>
    <s v="Duo"/>
    <s v="DESK"/>
    <s v="COMPLETED"/>
    <n v="200"/>
    <m/>
    <x v="0"/>
  </r>
  <r>
    <s v="T01622"/>
    <x v="23"/>
    <x v="3"/>
    <s v="A040"/>
    <x v="0"/>
    <s v="RENEWAL"/>
    <s v="Circle"/>
    <s v="ONLINE"/>
    <s v="COMPLETED"/>
    <n v="255"/>
    <m/>
    <x v="1"/>
  </r>
  <r>
    <s v="T01623"/>
    <x v="23"/>
    <x v="3"/>
    <s v="A043"/>
    <x v="0"/>
    <s v="NEW"/>
    <s v="Duo"/>
    <s v="DESK"/>
    <s v="COMPLETED"/>
    <n v="150"/>
    <m/>
    <x v="1"/>
  </r>
  <r>
    <s v="T01624"/>
    <x v="23"/>
    <x v="3"/>
    <s v="A042"/>
    <x v="0"/>
    <s v="RENEWAL"/>
    <s v="Circle"/>
    <s v="DESK"/>
    <s v="COMPLETED"/>
    <n v="300"/>
    <m/>
    <x v="0"/>
  </r>
  <r>
    <s v="T01625"/>
    <x v="23"/>
    <x v="3"/>
    <s v="A038"/>
    <x v="0"/>
    <s v="NEW"/>
    <s v="Duo"/>
    <s v="DESK"/>
    <s v="COMPLETED"/>
    <n v="200"/>
    <m/>
    <x v="0"/>
  </r>
  <r>
    <s v="T02031"/>
    <x v="23"/>
    <x v="2"/>
    <s v="A028"/>
    <x v="1"/>
    <s v="NEW"/>
    <s v="Circle"/>
    <s v="DESK"/>
    <s v="COMPLETED"/>
    <n v="225"/>
    <s v="T01241"/>
    <x v="2"/>
  </r>
  <r>
    <s v="T02036"/>
    <x v="23"/>
    <x v="2"/>
    <s v="A025"/>
    <x v="1"/>
    <s v="NEW"/>
    <s v="Circle"/>
    <s v="DESK"/>
    <s v="COMPLETED"/>
    <n v="225"/>
    <s v="T01246"/>
    <x v="2"/>
  </r>
  <r>
    <s v="T02041"/>
    <x v="23"/>
    <x v="2"/>
    <s v="A035"/>
    <x v="1"/>
    <s v="NEW"/>
    <s v="Circle"/>
    <s v="DESK"/>
    <s v="COMPLETED"/>
    <n v="225"/>
    <s v="T01251"/>
    <x v="2"/>
  </r>
  <r>
    <s v="T02050"/>
    <x v="23"/>
    <x v="2"/>
    <s v="A033"/>
    <x v="1"/>
    <s v="NEW"/>
    <s v="Circle"/>
    <s v="DESK"/>
    <s v="COMPLETED"/>
    <n v="225"/>
    <s v="T01325"/>
    <x v="2"/>
  </r>
  <r>
    <s v="T02058"/>
    <x v="23"/>
    <x v="2"/>
    <s v="A033"/>
    <x v="1"/>
    <s v="NEW"/>
    <s v="Circle"/>
    <s v="DESK"/>
    <s v="COMPLETED"/>
    <n v="225"/>
    <s v="T01333"/>
    <x v="2"/>
  </r>
  <r>
    <s v="T02091"/>
    <x v="23"/>
    <x v="2"/>
    <s v="A027"/>
    <x v="1"/>
    <s v="NEW"/>
    <s v="Duo"/>
    <s v="DESK"/>
    <s v="COMPLETED"/>
    <n v="150"/>
    <s v="T01072"/>
    <x v="1"/>
  </r>
  <r>
    <s v="T02096"/>
    <x v="23"/>
    <x v="0"/>
    <s v="A004"/>
    <x v="1"/>
    <s v="RENEWAL"/>
    <s v="Circle"/>
    <s v="ONLINE"/>
    <s v="COMPLETED"/>
    <n v="255"/>
    <s v="T01193"/>
    <x v="1"/>
  </r>
  <r>
    <s v="T01626"/>
    <x v="24"/>
    <x v="0"/>
    <s v="A011"/>
    <x v="0"/>
    <s v="NEW"/>
    <s v="Single"/>
    <s v="DESK"/>
    <s v="COMPLETED"/>
    <n v="120"/>
    <m/>
    <x v="0"/>
  </r>
  <r>
    <s v="T01627"/>
    <x v="24"/>
    <x v="0"/>
    <s v="A002"/>
    <x v="0"/>
    <s v="NEW"/>
    <s v="Circle"/>
    <s v="DESK"/>
    <s v="COMPLETED"/>
    <n v="300"/>
    <m/>
    <x v="0"/>
  </r>
  <r>
    <s v="T01628"/>
    <x v="24"/>
    <x v="0"/>
    <s v="A004"/>
    <x v="0"/>
    <s v="NEW"/>
    <s v="Duo"/>
    <s v="DESK"/>
    <s v="COMPLETED"/>
    <n v="200"/>
    <m/>
    <x v="0"/>
  </r>
  <r>
    <s v="T01629"/>
    <x v="24"/>
    <x v="0"/>
    <s v="A002"/>
    <x v="0"/>
    <s v="NEW"/>
    <s v="Duo"/>
    <s v="DESK"/>
    <s v="COMPLETED"/>
    <n v="150"/>
    <m/>
    <x v="1"/>
  </r>
  <r>
    <s v="T01630"/>
    <x v="24"/>
    <x v="0"/>
    <s v="A007"/>
    <x v="0"/>
    <s v="NEW"/>
    <s v="Single"/>
    <s v="DESK"/>
    <s v="COMPLETED"/>
    <n v="102"/>
    <m/>
    <x v="1"/>
  </r>
  <r>
    <s v="T01631"/>
    <x v="24"/>
    <x v="0"/>
    <s v="A007"/>
    <x v="0"/>
    <s v="RENEWAL"/>
    <s v="Circle"/>
    <s v="DESK"/>
    <s v="COMPLETED"/>
    <n v="300"/>
    <m/>
    <x v="0"/>
  </r>
  <r>
    <s v="T01632"/>
    <x v="24"/>
    <x v="0"/>
    <s v="A010"/>
    <x v="0"/>
    <s v="NEW"/>
    <s v="Circle"/>
    <s v="DESK"/>
    <s v="COMPLETED"/>
    <n v="300"/>
    <m/>
    <x v="0"/>
  </r>
  <r>
    <s v="T01633"/>
    <x v="24"/>
    <x v="0"/>
    <s v="A001"/>
    <x v="0"/>
    <s v="NEW"/>
    <s v="Single"/>
    <s v="DESK"/>
    <s v="COMPLETED"/>
    <n v="120"/>
    <m/>
    <x v="0"/>
  </r>
  <r>
    <s v="T01634"/>
    <x v="24"/>
    <x v="0"/>
    <s v="A008"/>
    <x v="0"/>
    <s v="NEW"/>
    <s v="Duo"/>
    <s v="DESK"/>
    <s v="COMPLETED"/>
    <n v="200"/>
    <m/>
    <x v="0"/>
  </r>
  <r>
    <s v="T01635"/>
    <x v="24"/>
    <x v="0"/>
    <s v="A004"/>
    <x v="0"/>
    <s v="NEW"/>
    <s v="Duo"/>
    <s v="DESK"/>
    <s v="COMPLETED"/>
    <n v="200"/>
    <m/>
    <x v="0"/>
  </r>
  <r>
    <s v="T01636"/>
    <x v="24"/>
    <x v="0"/>
    <s v="A011"/>
    <x v="0"/>
    <s v="NEW"/>
    <s v="Duo"/>
    <s v="DESK"/>
    <s v="COMPLETED"/>
    <n v="200"/>
    <m/>
    <x v="0"/>
  </r>
  <r>
    <s v="T01637"/>
    <x v="24"/>
    <x v="0"/>
    <s v="A003"/>
    <x v="0"/>
    <s v="NEW"/>
    <s v="Circle"/>
    <s v="DESK"/>
    <s v="COMPLETED"/>
    <n v="300"/>
    <m/>
    <x v="0"/>
  </r>
  <r>
    <s v="T01638"/>
    <x v="24"/>
    <x v="0"/>
    <s v="A012"/>
    <x v="0"/>
    <s v="NEW"/>
    <s v="Circle"/>
    <s v="DESK"/>
    <s v="COMPLETED"/>
    <n v="300"/>
    <m/>
    <x v="0"/>
  </r>
  <r>
    <s v="T01639"/>
    <x v="24"/>
    <x v="0"/>
    <s v="A009"/>
    <x v="0"/>
    <s v="RENEWAL"/>
    <s v="Duo"/>
    <s v="DESK"/>
    <s v="COMPLETED"/>
    <n v="200"/>
    <m/>
    <x v="0"/>
  </r>
  <r>
    <s v="T01640"/>
    <x v="24"/>
    <x v="0"/>
    <s v="A006"/>
    <x v="0"/>
    <s v="NEW"/>
    <s v="Single"/>
    <s v="DESK"/>
    <s v="COMPLETED"/>
    <n v="120"/>
    <m/>
    <x v="0"/>
  </r>
  <r>
    <s v="T01641"/>
    <x v="24"/>
    <x v="0"/>
    <s v="A004"/>
    <x v="0"/>
    <s v="RENEWAL"/>
    <s v="Single"/>
    <s v="DESK"/>
    <s v="COMPLETED"/>
    <n v="120"/>
    <m/>
    <x v="0"/>
  </r>
  <r>
    <s v="T01642"/>
    <x v="24"/>
    <x v="0"/>
    <s v="A007"/>
    <x v="0"/>
    <s v="NEW"/>
    <s v="Circle"/>
    <s v="DESK"/>
    <s v="COMPLETED"/>
    <n v="255"/>
    <m/>
    <x v="1"/>
  </r>
  <r>
    <s v="T01643"/>
    <x v="24"/>
    <x v="0"/>
    <s v="A007"/>
    <x v="0"/>
    <s v="RENEWAL"/>
    <s v="Duo"/>
    <s v="DESK"/>
    <s v="COMPLETED"/>
    <n v="200"/>
    <m/>
    <x v="0"/>
  </r>
  <r>
    <s v="T01644"/>
    <x v="24"/>
    <x v="0"/>
    <s v="A006"/>
    <x v="0"/>
    <s v="RENEWAL"/>
    <s v="Circle"/>
    <s v="DESK"/>
    <s v="COMPLETED"/>
    <n v="300"/>
    <m/>
    <x v="0"/>
  </r>
  <r>
    <s v="T01645"/>
    <x v="24"/>
    <x v="1"/>
    <s v="A022"/>
    <x v="0"/>
    <s v="NEW"/>
    <s v="Circle"/>
    <s v="DESK"/>
    <s v="PENDING"/>
    <n v="225"/>
    <m/>
    <x v="1"/>
  </r>
  <r>
    <s v="T01646"/>
    <x v="24"/>
    <x v="1"/>
    <s v="A020"/>
    <x v="0"/>
    <s v="NEW"/>
    <s v="Circle"/>
    <s v="DESK"/>
    <s v="PENDING"/>
    <n v="300"/>
    <m/>
    <x v="0"/>
  </r>
  <r>
    <s v="T01647"/>
    <x v="24"/>
    <x v="1"/>
    <s v="A015"/>
    <x v="0"/>
    <s v="NEW"/>
    <s v="Single"/>
    <s v="DESK"/>
    <s v="COMPLETED"/>
    <n v="120"/>
    <m/>
    <x v="0"/>
  </r>
  <r>
    <s v="T01648"/>
    <x v="24"/>
    <x v="1"/>
    <s v="A015"/>
    <x v="0"/>
    <s v="NEW"/>
    <s v="Single"/>
    <s v="ONLINE"/>
    <s v="COMPLETED"/>
    <n v="120"/>
    <m/>
    <x v="0"/>
  </r>
  <r>
    <s v="T01649"/>
    <x v="24"/>
    <x v="1"/>
    <s v="A015"/>
    <x v="0"/>
    <s v="NEW"/>
    <s v="Duo"/>
    <s v="DESK"/>
    <s v="COMPLETED"/>
    <n v="200"/>
    <m/>
    <x v="0"/>
  </r>
  <r>
    <s v="T01650"/>
    <x v="24"/>
    <x v="1"/>
    <s v="A017"/>
    <x v="0"/>
    <s v="NEW"/>
    <s v="Single"/>
    <s v="DESK"/>
    <s v="COMPLETED"/>
    <n v="120"/>
    <m/>
    <x v="0"/>
  </r>
  <r>
    <s v="T01651"/>
    <x v="24"/>
    <x v="1"/>
    <s v="A019"/>
    <x v="0"/>
    <s v="NEW"/>
    <s v="Circle"/>
    <s v="DESK"/>
    <s v="COMPLETED"/>
    <n v="300"/>
    <m/>
    <x v="0"/>
  </r>
  <r>
    <s v="T01652"/>
    <x v="24"/>
    <x v="1"/>
    <s v="A013"/>
    <x v="0"/>
    <s v="RENEWAL"/>
    <s v="Circle"/>
    <s v="DESK"/>
    <s v="COMPLETED"/>
    <n v="300"/>
    <m/>
    <x v="0"/>
  </r>
  <r>
    <s v="T01653"/>
    <x v="24"/>
    <x v="1"/>
    <s v="A018"/>
    <x v="0"/>
    <s v="NEW"/>
    <s v="Duo"/>
    <s v="DESK"/>
    <s v="PENDING"/>
    <n v="150"/>
    <m/>
    <x v="1"/>
  </r>
  <r>
    <s v="T01654"/>
    <x v="24"/>
    <x v="1"/>
    <s v="A023"/>
    <x v="0"/>
    <s v="NEW"/>
    <s v="Circle"/>
    <s v="DESK"/>
    <s v="COMPLETED"/>
    <n v="300"/>
    <m/>
    <x v="0"/>
  </r>
  <r>
    <s v="T01655"/>
    <x v="24"/>
    <x v="1"/>
    <s v="A016"/>
    <x v="0"/>
    <s v="NEW"/>
    <s v="Circle"/>
    <s v="DESK"/>
    <s v="COMPLETED"/>
    <n v="300"/>
    <m/>
    <x v="0"/>
  </r>
  <r>
    <s v="T01656"/>
    <x v="24"/>
    <x v="1"/>
    <s v="A024"/>
    <x v="0"/>
    <s v="NEW"/>
    <s v="Duo"/>
    <s v="DESK"/>
    <s v="COMPLETED"/>
    <n v="200"/>
    <m/>
    <x v="0"/>
  </r>
  <r>
    <s v="T01657"/>
    <x v="24"/>
    <x v="1"/>
    <s v="A013"/>
    <x v="0"/>
    <s v="NEW"/>
    <s v="Circle"/>
    <s v="DESK"/>
    <s v="COMPLETED"/>
    <n v="300"/>
    <m/>
    <x v="0"/>
  </r>
  <r>
    <s v="T01658"/>
    <x v="24"/>
    <x v="2"/>
    <s v="A027"/>
    <x v="0"/>
    <s v="NEW"/>
    <s v="Single"/>
    <s v="DESK"/>
    <s v="COMPLETED"/>
    <n v="120"/>
    <m/>
    <x v="0"/>
  </r>
  <r>
    <s v="T01659"/>
    <x v="24"/>
    <x v="2"/>
    <s v="A033"/>
    <x v="0"/>
    <s v="NEW"/>
    <s v="Single"/>
    <s v="DESK"/>
    <s v="PENDING"/>
    <n v="120"/>
    <m/>
    <x v="0"/>
  </r>
  <r>
    <s v="T01660"/>
    <x v="24"/>
    <x v="2"/>
    <s v="A030"/>
    <x v="0"/>
    <s v="NEW"/>
    <s v="Circle"/>
    <s v="ONLINE"/>
    <s v="COMPLETED"/>
    <n v="300"/>
    <m/>
    <x v="0"/>
  </r>
  <r>
    <s v="T01661"/>
    <x v="24"/>
    <x v="2"/>
    <s v="A033"/>
    <x v="0"/>
    <s v="NEW"/>
    <s v="Circle"/>
    <s v="DESK"/>
    <s v="COMPLETED"/>
    <n v="300"/>
    <m/>
    <x v="0"/>
  </r>
  <r>
    <s v="T01662"/>
    <x v="24"/>
    <x v="2"/>
    <s v="A025"/>
    <x v="0"/>
    <s v="NEW"/>
    <s v="Single"/>
    <s v="DESK"/>
    <s v="COMPLETED"/>
    <n v="120"/>
    <m/>
    <x v="0"/>
  </r>
  <r>
    <s v="T01663"/>
    <x v="24"/>
    <x v="2"/>
    <s v="A031"/>
    <x v="0"/>
    <s v="NEW"/>
    <s v="Circle"/>
    <s v="DESK"/>
    <s v="COMPLETED"/>
    <n v="300"/>
    <m/>
    <x v="0"/>
  </r>
  <r>
    <s v="T01664"/>
    <x v="24"/>
    <x v="2"/>
    <s v="A027"/>
    <x v="0"/>
    <s v="NEW"/>
    <s v="Circle"/>
    <s v="DESK"/>
    <s v="COMPLETED"/>
    <n v="300"/>
    <m/>
    <x v="0"/>
  </r>
  <r>
    <s v="T01665"/>
    <x v="24"/>
    <x v="2"/>
    <s v="A032"/>
    <x v="0"/>
    <s v="NEW"/>
    <s v="Single"/>
    <s v="DESK"/>
    <s v="COMPLETED"/>
    <n v="120"/>
    <m/>
    <x v="0"/>
  </r>
  <r>
    <s v="T01666"/>
    <x v="24"/>
    <x v="2"/>
    <s v="A033"/>
    <x v="0"/>
    <s v="NEW"/>
    <s v="Duo"/>
    <s v="DESK"/>
    <s v="COMPLETED"/>
    <n v="200"/>
    <m/>
    <x v="0"/>
  </r>
  <r>
    <s v="T01667"/>
    <x v="24"/>
    <x v="2"/>
    <s v="A036"/>
    <x v="0"/>
    <s v="NEW"/>
    <s v="Duo"/>
    <s v="DESK"/>
    <s v="COMPLETED"/>
    <n v="150"/>
    <m/>
    <x v="1"/>
  </r>
  <r>
    <s v="T01668"/>
    <x v="24"/>
    <x v="2"/>
    <s v="A030"/>
    <x v="0"/>
    <s v="NEW"/>
    <s v="Circle"/>
    <s v="DESK"/>
    <s v="COMPLETED"/>
    <n v="300"/>
    <m/>
    <x v="0"/>
  </r>
  <r>
    <s v="T01669"/>
    <x v="24"/>
    <x v="2"/>
    <s v="A026"/>
    <x v="0"/>
    <s v="NEW"/>
    <s v="Duo"/>
    <s v="DESK"/>
    <s v="COMPLETED"/>
    <n v="150"/>
    <m/>
    <x v="1"/>
  </r>
  <r>
    <s v="T01670"/>
    <x v="24"/>
    <x v="2"/>
    <s v="A034"/>
    <x v="0"/>
    <s v="NEW"/>
    <s v="Circle"/>
    <s v="DESK"/>
    <s v="COMPLETED"/>
    <n v="300"/>
    <m/>
    <x v="0"/>
  </r>
  <r>
    <s v="T01671"/>
    <x v="24"/>
    <x v="2"/>
    <s v="A027"/>
    <x v="0"/>
    <s v="NEW"/>
    <s v="Duo"/>
    <s v="DESK"/>
    <s v="COMPLETED"/>
    <n v="200"/>
    <m/>
    <x v="0"/>
  </r>
  <r>
    <s v="T01672"/>
    <x v="24"/>
    <x v="2"/>
    <s v="A036"/>
    <x v="0"/>
    <s v="NEW"/>
    <s v="Circle"/>
    <s v="ONLINE"/>
    <s v="COMPLETED"/>
    <n v="300"/>
    <m/>
    <x v="0"/>
  </r>
  <r>
    <s v="T01673"/>
    <x v="24"/>
    <x v="2"/>
    <s v="A026"/>
    <x v="0"/>
    <s v="NEW"/>
    <s v="Duo"/>
    <s v="DESK"/>
    <s v="COMPLETED"/>
    <n v="200"/>
    <m/>
    <x v="0"/>
  </r>
  <r>
    <s v="T01674"/>
    <x v="24"/>
    <x v="2"/>
    <s v="A029"/>
    <x v="0"/>
    <s v="RENEWAL"/>
    <s v="Duo"/>
    <s v="DESK"/>
    <s v="COMPLETED"/>
    <n v="200"/>
    <m/>
    <x v="0"/>
  </r>
  <r>
    <s v="T01675"/>
    <x v="24"/>
    <x v="2"/>
    <s v="A034"/>
    <x v="0"/>
    <s v="NEW"/>
    <s v="Duo"/>
    <s v="DESK"/>
    <s v="COMPLETED"/>
    <n v="150"/>
    <m/>
    <x v="1"/>
  </r>
  <r>
    <s v="T01676"/>
    <x v="24"/>
    <x v="3"/>
    <s v="A039"/>
    <x v="0"/>
    <s v="NEW"/>
    <s v="Duo"/>
    <s v="DESK"/>
    <s v="COMPLETED"/>
    <n v="200"/>
    <m/>
    <x v="0"/>
  </r>
  <r>
    <s v="T01677"/>
    <x v="24"/>
    <x v="3"/>
    <s v="A042"/>
    <x v="0"/>
    <s v="NEW"/>
    <s v="Duo"/>
    <s v="DESK"/>
    <s v="COMPLETED"/>
    <n v="200"/>
    <m/>
    <x v="0"/>
  </r>
  <r>
    <s v="T01678"/>
    <x v="24"/>
    <x v="3"/>
    <s v="A043"/>
    <x v="0"/>
    <s v="NEW"/>
    <s v="Single"/>
    <s v="DESK"/>
    <s v="COMPLETED"/>
    <n v="120"/>
    <m/>
    <x v="0"/>
  </r>
  <r>
    <s v="T01679"/>
    <x v="24"/>
    <x v="3"/>
    <s v="A047"/>
    <x v="0"/>
    <s v="NEW"/>
    <s v="Duo"/>
    <s v="DESK"/>
    <s v="COMPLETED"/>
    <n v="200"/>
    <m/>
    <x v="0"/>
  </r>
  <r>
    <s v="T01680"/>
    <x v="24"/>
    <x v="3"/>
    <s v="A038"/>
    <x v="0"/>
    <s v="RENEWAL"/>
    <s v="Duo"/>
    <s v="DESK"/>
    <s v="COMPLETED"/>
    <n v="200"/>
    <m/>
    <x v="0"/>
  </r>
  <r>
    <s v="T01681"/>
    <x v="24"/>
    <x v="3"/>
    <s v="A043"/>
    <x v="0"/>
    <s v="NEW"/>
    <s v="Circle"/>
    <s v="DESK"/>
    <s v="COMPLETED"/>
    <n v="300"/>
    <m/>
    <x v="0"/>
  </r>
  <r>
    <s v="T01682"/>
    <x v="24"/>
    <x v="3"/>
    <s v="A041"/>
    <x v="0"/>
    <s v="NEW"/>
    <s v="Duo"/>
    <s v="ONLINE"/>
    <s v="COMPLETED"/>
    <n v="170"/>
    <m/>
    <x v="1"/>
  </r>
  <r>
    <s v="T01683"/>
    <x v="24"/>
    <x v="3"/>
    <s v="A042"/>
    <x v="0"/>
    <s v="RENEWAL"/>
    <s v="Duo"/>
    <s v="DESK"/>
    <s v="COMPLETED"/>
    <n v="200"/>
    <m/>
    <x v="0"/>
  </r>
  <r>
    <s v="T01684"/>
    <x v="24"/>
    <x v="3"/>
    <s v="A038"/>
    <x v="0"/>
    <s v="RENEWAL"/>
    <s v="Duo"/>
    <s v="DESK"/>
    <s v="COMPLETED"/>
    <n v="200"/>
    <m/>
    <x v="0"/>
  </r>
  <r>
    <s v="T01685"/>
    <x v="24"/>
    <x v="3"/>
    <s v="A046"/>
    <x v="0"/>
    <s v="NEW"/>
    <s v="Duo"/>
    <s v="ONLINE"/>
    <s v="COMPLETED"/>
    <n v="200"/>
    <m/>
    <x v="0"/>
  </r>
  <r>
    <s v="T01686"/>
    <x v="24"/>
    <x v="3"/>
    <s v="A048"/>
    <x v="0"/>
    <s v="NEW"/>
    <s v="Duo"/>
    <s v="DESK"/>
    <s v="COMPLETED"/>
    <n v="200"/>
    <m/>
    <x v="0"/>
  </r>
  <r>
    <s v="T01687"/>
    <x v="24"/>
    <x v="3"/>
    <s v="A041"/>
    <x v="0"/>
    <s v="NEW"/>
    <s v="Single"/>
    <s v="DESK"/>
    <s v="VOID"/>
    <n v="120"/>
    <m/>
    <x v="0"/>
  </r>
  <r>
    <s v="T01688"/>
    <x v="24"/>
    <x v="3"/>
    <s v="A038"/>
    <x v="0"/>
    <s v="NEW"/>
    <s v="Duo"/>
    <s v="DESK"/>
    <s v="VOID"/>
    <n v="200"/>
    <m/>
    <x v="0"/>
  </r>
  <r>
    <s v="T01689"/>
    <x v="24"/>
    <x v="3"/>
    <s v="A047"/>
    <x v="0"/>
    <s v="RENEWAL"/>
    <s v="Duo"/>
    <s v="DESK"/>
    <s v="COMPLETED"/>
    <n v="200"/>
    <m/>
    <x v="0"/>
  </r>
  <r>
    <s v="T01690"/>
    <x v="24"/>
    <x v="3"/>
    <s v="A047"/>
    <x v="0"/>
    <s v="NEW"/>
    <s v="Duo"/>
    <s v="DESK"/>
    <s v="COMPLETED"/>
    <n v="200"/>
    <m/>
    <x v="0"/>
  </r>
  <r>
    <s v="T01691"/>
    <x v="24"/>
    <x v="3"/>
    <s v="A047"/>
    <x v="0"/>
    <s v="NEW"/>
    <s v="Circle"/>
    <s v="DESK"/>
    <s v="COMPLETED"/>
    <n v="300"/>
    <m/>
    <x v="0"/>
  </r>
  <r>
    <s v="T02005"/>
    <x v="24"/>
    <x v="2"/>
    <s v="A034"/>
    <x v="1"/>
    <s v="NEW"/>
    <s v="Circle"/>
    <s v="DESK"/>
    <s v="COMPLETED"/>
    <n v="225"/>
    <s v="T01149"/>
    <x v="2"/>
  </r>
  <r>
    <s v="T02012"/>
    <x v="24"/>
    <x v="2"/>
    <s v="A028"/>
    <x v="1"/>
    <s v="NEW"/>
    <s v="Circle"/>
    <s v="DESK"/>
    <s v="COMPLETED"/>
    <n v="225"/>
    <s v="T01156"/>
    <x v="2"/>
  </r>
  <r>
    <s v="T02018"/>
    <x v="24"/>
    <x v="2"/>
    <s v="A036"/>
    <x v="1"/>
    <s v="NEW"/>
    <s v="Circle"/>
    <s v="DESK"/>
    <s v="COMPLETED"/>
    <n v="225"/>
    <s v="T01162"/>
    <x v="2"/>
  </r>
  <r>
    <s v="T02028"/>
    <x v="24"/>
    <x v="2"/>
    <s v="A026"/>
    <x v="1"/>
    <s v="NEW"/>
    <s v="Circle"/>
    <s v="DESK"/>
    <s v="COMPLETED"/>
    <n v="225"/>
    <s v="T01238"/>
    <x v="2"/>
  </r>
  <r>
    <s v="T02035"/>
    <x v="24"/>
    <x v="2"/>
    <s v="A036"/>
    <x v="1"/>
    <s v="NEW"/>
    <s v="Circle"/>
    <s v="DESK"/>
    <s v="COMPLETED"/>
    <n v="225"/>
    <s v="T01245"/>
    <x v="2"/>
  </r>
  <r>
    <s v="T02039"/>
    <x v="24"/>
    <x v="2"/>
    <s v="A033"/>
    <x v="1"/>
    <s v="NEW"/>
    <s v="Circle"/>
    <s v="DESK"/>
    <s v="COMPLETED"/>
    <n v="225"/>
    <s v="T01249"/>
    <x v="2"/>
  </r>
  <r>
    <s v="T02045"/>
    <x v="24"/>
    <x v="2"/>
    <s v="A033"/>
    <x v="1"/>
    <s v="NEW"/>
    <s v="Circle"/>
    <s v="DESK"/>
    <s v="COMPLETED"/>
    <n v="225"/>
    <s v="T01320"/>
    <x v="2"/>
  </r>
  <r>
    <s v="T02047"/>
    <x v="24"/>
    <x v="2"/>
    <s v="A034"/>
    <x v="1"/>
    <s v="NEW"/>
    <s v="Circle"/>
    <s v="DESK"/>
    <s v="COMPLETED"/>
    <n v="225"/>
    <s v="T01322"/>
    <x v="2"/>
  </r>
  <r>
    <s v="T02048"/>
    <x v="24"/>
    <x v="2"/>
    <s v="A034"/>
    <x v="1"/>
    <s v="NEW"/>
    <s v="Circle"/>
    <s v="DESK"/>
    <s v="COMPLETED"/>
    <n v="225"/>
    <s v="T01323"/>
    <x v="2"/>
  </r>
  <r>
    <s v="T02049"/>
    <x v="24"/>
    <x v="2"/>
    <s v="A033"/>
    <x v="1"/>
    <s v="NEW"/>
    <s v="Circle"/>
    <s v="DESK"/>
    <s v="COMPLETED"/>
    <n v="225"/>
    <s v="T01324"/>
    <x v="2"/>
  </r>
  <r>
    <s v="T02052"/>
    <x v="24"/>
    <x v="2"/>
    <s v="A028"/>
    <x v="1"/>
    <s v="NEW"/>
    <s v="Circle"/>
    <s v="DESK"/>
    <s v="COMPLETED"/>
    <n v="225"/>
    <s v="T01327"/>
    <x v="2"/>
  </r>
  <r>
    <s v="T02053"/>
    <x v="24"/>
    <x v="2"/>
    <s v="A030"/>
    <x v="1"/>
    <s v="NEW"/>
    <s v="Circle"/>
    <s v="DESK"/>
    <s v="COMPLETED"/>
    <n v="225"/>
    <s v="T01328"/>
    <x v="2"/>
  </r>
  <r>
    <s v="T02054"/>
    <x v="24"/>
    <x v="2"/>
    <s v="A033"/>
    <x v="1"/>
    <s v="NEW"/>
    <s v="Circle"/>
    <s v="DESK"/>
    <s v="COMPLETED"/>
    <n v="225"/>
    <s v="T01329"/>
    <x v="2"/>
  </r>
  <r>
    <s v="T02069"/>
    <x v="24"/>
    <x v="2"/>
    <s v="A033"/>
    <x v="1"/>
    <s v="NEW"/>
    <s v="Single"/>
    <s v="DESK"/>
    <s v="COMPLETED"/>
    <n v="120"/>
    <s v="T01232"/>
    <x v="0"/>
  </r>
  <r>
    <s v="T02101"/>
    <x v="24"/>
    <x v="2"/>
    <s v="A035"/>
    <x v="1"/>
    <s v="NEW"/>
    <s v="Single"/>
    <s v="DESK"/>
    <s v="COMPLETED"/>
    <n v="120"/>
    <s v="T01392"/>
    <x v="0"/>
  </r>
  <r>
    <s v="T02102"/>
    <x v="24"/>
    <x v="3"/>
    <s v="A045"/>
    <x v="1"/>
    <s v="NEW"/>
    <s v="Duo"/>
    <s v="DESK"/>
    <s v="COMPLETED"/>
    <n v="200"/>
    <s v="T01553"/>
    <x v="0"/>
  </r>
  <r>
    <s v="T02107"/>
    <x v="24"/>
    <x v="1"/>
    <s v="A023"/>
    <x v="1"/>
    <s v="NEW"/>
    <s v="Single"/>
    <s v="DESK"/>
    <s v="COMPLETED"/>
    <n v="120"/>
    <s v="T01452"/>
    <x v="0"/>
  </r>
  <r>
    <s v="T02115"/>
    <x v="24"/>
    <x v="3"/>
    <s v="A039"/>
    <x v="1"/>
    <s v="NEW"/>
    <s v="Duo"/>
    <s v="DESK"/>
    <s v="COMPLETED"/>
    <n v="170"/>
    <s v="T01420"/>
    <x v="1"/>
  </r>
  <r>
    <s v="T01692"/>
    <x v="25"/>
    <x v="0"/>
    <s v="A006"/>
    <x v="0"/>
    <s v="NEW"/>
    <s v="Single"/>
    <s v="DESK"/>
    <s v="COMPLETED"/>
    <n v="120"/>
    <m/>
    <x v="0"/>
  </r>
  <r>
    <s v="T01693"/>
    <x v="25"/>
    <x v="0"/>
    <s v="A004"/>
    <x v="0"/>
    <s v="NEW"/>
    <s v="Circle"/>
    <s v="DESK"/>
    <s v="COMPLETED"/>
    <n v="300"/>
    <m/>
    <x v="0"/>
  </r>
  <r>
    <s v="T01694"/>
    <x v="25"/>
    <x v="0"/>
    <s v="A002"/>
    <x v="0"/>
    <s v="NEW"/>
    <s v="Circle"/>
    <s v="DESK"/>
    <s v="COMPLETED"/>
    <n v="300"/>
    <m/>
    <x v="0"/>
  </r>
  <r>
    <s v="T01695"/>
    <x v="25"/>
    <x v="0"/>
    <s v="A010"/>
    <x v="0"/>
    <s v="RENEWAL"/>
    <s v="Duo"/>
    <s v="DESK"/>
    <s v="COMPLETED"/>
    <n v="200"/>
    <m/>
    <x v="0"/>
  </r>
  <r>
    <s v="T01696"/>
    <x v="25"/>
    <x v="0"/>
    <s v="A005"/>
    <x v="0"/>
    <s v="NEW"/>
    <s v="Circle"/>
    <s v="ONLINE"/>
    <s v="COMPLETED"/>
    <n v="225"/>
    <m/>
    <x v="1"/>
  </r>
  <r>
    <s v="T01697"/>
    <x v="25"/>
    <x v="0"/>
    <s v="A004"/>
    <x v="0"/>
    <s v="NEW"/>
    <s v="Duo"/>
    <s v="DESK"/>
    <s v="COMPLETED"/>
    <n v="200"/>
    <m/>
    <x v="0"/>
  </r>
  <r>
    <s v="T01698"/>
    <x v="25"/>
    <x v="0"/>
    <s v="A002"/>
    <x v="0"/>
    <s v="NEW"/>
    <s v="Duo"/>
    <s v="DESK"/>
    <s v="COMPLETED"/>
    <n v="170"/>
    <m/>
    <x v="1"/>
  </r>
  <r>
    <s v="T01699"/>
    <x v="25"/>
    <x v="0"/>
    <s v="A009"/>
    <x v="0"/>
    <s v="RENEWAL"/>
    <s v="Duo"/>
    <s v="ONLINE"/>
    <s v="COMPLETED"/>
    <n v="170"/>
    <m/>
    <x v="1"/>
  </r>
  <r>
    <s v="T01700"/>
    <x v="25"/>
    <x v="0"/>
    <s v="A004"/>
    <x v="0"/>
    <s v="NEW"/>
    <s v="Single"/>
    <s v="DESK"/>
    <s v="COMPLETED"/>
    <n v="102"/>
    <m/>
    <x v="1"/>
  </r>
  <r>
    <s v="T01701"/>
    <x v="25"/>
    <x v="0"/>
    <s v="A004"/>
    <x v="0"/>
    <s v="NEW"/>
    <s v="Duo"/>
    <s v="DESK"/>
    <s v="COMPLETED"/>
    <n v="150"/>
    <m/>
    <x v="1"/>
  </r>
  <r>
    <s v="T01702"/>
    <x v="25"/>
    <x v="0"/>
    <s v="A003"/>
    <x v="0"/>
    <s v="NEW"/>
    <s v="Duo"/>
    <s v="DESK"/>
    <s v="COMPLETED"/>
    <n v="200"/>
    <m/>
    <x v="0"/>
  </r>
  <r>
    <s v="T01703"/>
    <x v="25"/>
    <x v="0"/>
    <s v="A007"/>
    <x v="0"/>
    <s v="NEW"/>
    <s v="Duo"/>
    <s v="DESK"/>
    <s v="COMPLETED"/>
    <n v="200"/>
    <m/>
    <x v="0"/>
  </r>
  <r>
    <s v="T01704"/>
    <x v="25"/>
    <x v="0"/>
    <s v="A012"/>
    <x v="0"/>
    <s v="NEW"/>
    <s v="Duo"/>
    <s v="ONLINE"/>
    <s v="COMPLETED"/>
    <n v="200"/>
    <m/>
    <x v="0"/>
  </r>
  <r>
    <s v="T01705"/>
    <x v="25"/>
    <x v="0"/>
    <s v="A005"/>
    <x v="0"/>
    <s v="RENEWAL"/>
    <s v="Circle"/>
    <s v="DESK"/>
    <s v="COMPLETED"/>
    <n v="255"/>
    <m/>
    <x v="1"/>
  </r>
  <r>
    <s v="T01706"/>
    <x v="25"/>
    <x v="0"/>
    <s v="A007"/>
    <x v="0"/>
    <s v="NEW"/>
    <s v="Circle"/>
    <s v="DESK"/>
    <s v="COMPLETED"/>
    <n v="300"/>
    <m/>
    <x v="0"/>
  </r>
  <r>
    <s v="T01707"/>
    <x v="25"/>
    <x v="0"/>
    <s v="A004"/>
    <x v="0"/>
    <s v="NEW"/>
    <s v="Duo"/>
    <s v="ONLINE"/>
    <s v="COMPLETED"/>
    <n v="200"/>
    <m/>
    <x v="0"/>
  </r>
  <r>
    <s v="T01708"/>
    <x v="25"/>
    <x v="0"/>
    <s v="A004"/>
    <x v="0"/>
    <s v="NEW"/>
    <s v="Circle"/>
    <s v="DESK"/>
    <s v="COMPLETED"/>
    <n v="300"/>
    <m/>
    <x v="0"/>
  </r>
  <r>
    <s v="T01709"/>
    <x v="25"/>
    <x v="1"/>
    <s v="A019"/>
    <x v="0"/>
    <s v="NEW"/>
    <s v="Single"/>
    <s v="DESK"/>
    <s v="COMPLETED"/>
    <n v="120"/>
    <m/>
    <x v="0"/>
  </r>
  <r>
    <s v="T01710"/>
    <x v="25"/>
    <x v="1"/>
    <s v="A019"/>
    <x v="0"/>
    <s v="RENEWAL"/>
    <s v="Circle"/>
    <s v="DESK"/>
    <s v="COMPLETED"/>
    <n v="225"/>
    <m/>
    <x v="1"/>
  </r>
  <r>
    <s v="T01711"/>
    <x v="25"/>
    <x v="1"/>
    <s v="A020"/>
    <x v="0"/>
    <s v="NEW"/>
    <s v="Single"/>
    <s v="DESK"/>
    <s v="COMPLETED"/>
    <n v="120"/>
    <m/>
    <x v="0"/>
  </r>
  <r>
    <s v="T01712"/>
    <x v="25"/>
    <x v="1"/>
    <s v="A014"/>
    <x v="0"/>
    <s v="NEW"/>
    <s v="Single"/>
    <s v="DESK"/>
    <s v="COMPLETED"/>
    <n v="120"/>
    <m/>
    <x v="0"/>
  </r>
  <r>
    <s v="T01713"/>
    <x v="25"/>
    <x v="1"/>
    <s v="A018"/>
    <x v="0"/>
    <s v="NEW"/>
    <s v="Single"/>
    <s v="DESK"/>
    <s v="COMPLETED"/>
    <n v="120"/>
    <m/>
    <x v="0"/>
  </r>
  <r>
    <s v="T01714"/>
    <x v="25"/>
    <x v="1"/>
    <s v="A024"/>
    <x v="0"/>
    <s v="NEW"/>
    <s v="Single"/>
    <s v="DESK"/>
    <s v="COMPLETED"/>
    <n v="120"/>
    <m/>
    <x v="0"/>
  </r>
  <r>
    <s v="T01715"/>
    <x v="25"/>
    <x v="1"/>
    <s v="A021"/>
    <x v="0"/>
    <s v="NEW"/>
    <s v="Single"/>
    <s v="ONLINE"/>
    <s v="COMPLETED"/>
    <n v="120"/>
    <m/>
    <x v="0"/>
  </r>
  <r>
    <s v="T01716"/>
    <x v="25"/>
    <x v="1"/>
    <s v="A020"/>
    <x v="0"/>
    <s v="RENEWAL"/>
    <s v="Circle"/>
    <s v="DESK"/>
    <s v="COMPLETED"/>
    <n v="300"/>
    <m/>
    <x v="0"/>
  </r>
  <r>
    <s v="T01717"/>
    <x v="25"/>
    <x v="1"/>
    <s v="A021"/>
    <x v="0"/>
    <s v="NEW"/>
    <s v="Duo"/>
    <s v="DESK"/>
    <s v="COMPLETED"/>
    <n v="200"/>
    <m/>
    <x v="0"/>
  </r>
  <r>
    <s v="T01718"/>
    <x v="25"/>
    <x v="1"/>
    <s v="A019"/>
    <x v="0"/>
    <s v="NEW"/>
    <s v="Duo"/>
    <s v="DESK"/>
    <s v="COMPLETED"/>
    <n v="200"/>
    <m/>
    <x v="0"/>
  </r>
  <r>
    <s v="T01719"/>
    <x v="25"/>
    <x v="1"/>
    <s v="A019"/>
    <x v="0"/>
    <s v="NEW"/>
    <s v="Duo"/>
    <s v="DESK"/>
    <s v="COMPLETED"/>
    <n v="200"/>
    <m/>
    <x v="0"/>
  </r>
  <r>
    <s v="T01720"/>
    <x v="25"/>
    <x v="1"/>
    <s v="A019"/>
    <x v="0"/>
    <s v="NEW"/>
    <s v="Circle"/>
    <s v="ONLINE"/>
    <s v="COMPLETED"/>
    <n v="225"/>
    <m/>
    <x v="1"/>
  </r>
  <r>
    <s v="T01721"/>
    <x v="25"/>
    <x v="1"/>
    <s v="A022"/>
    <x v="0"/>
    <s v="NEW"/>
    <s v="Duo"/>
    <s v="DESK"/>
    <s v="COMPLETED"/>
    <n v="150"/>
    <m/>
    <x v="1"/>
  </r>
  <r>
    <s v="T01722"/>
    <x v="25"/>
    <x v="1"/>
    <s v="A023"/>
    <x v="0"/>
    <s v="NEW"/>
    <s v="Duo"/>
    <s v="DESK"/>
    <s v="COMPLETED"/>
    <n v="150"/>
    <m/>
    <x v="1"/>
  </r>
  <r>
    <s v="T01723"/>
    <x v="25"/>
    <x v="2"/>
    <s v="A025"/>
    <x v="0"/>
    <s v="NEW"/>
    <s v="Circle"/>
    <s v="DESK"/>
    <s v="COMPLETED"/>
    <n v="300"/>
    <m/>
    <x v="0"/>
  </r>
  <r>
    <s v="T01724"/>
    <x v="25"/>
    <x v="2"/>
    <s v="A034"/>
    <x v="0"/>
    <s v="NEW"/>
    <s v="Circle"/>
    <s v="DESK"/>
    <s v="COMPLETED"/>
    <n v="300"/>
    <m/>
    <x v="0"/>
  </r>
  <r>
    <s v="T01725"/>
    <x v="25"/>
    <x v="2"/>
    <s v="A025"/>
    <x v="0"/>
    <s v="NEW"/>
    <s v="Single"/>
    <s v="DESK"/>
    <s v="COMPLETED"/>
    <n v="120"/>
    <m/>
    <x v="0"/>
  </r>
  <r>
    <s v="T01726"/>
    <x v="25"/>
    <x v="2"/>
    <s v="A035"/>
    <x v="0"/>
    <s v="NEW"/>
    <s v="Single"/>
    <s v="DESK"/>
    <s v="COMPLETED"/>
    <n v="120"/>
    <m/>
    <x v="0"/>
  </r>
  <r>
    <s v="T01727"/>
    <x v="25"/>
    <x v="2"/>
    <s v="A026"/>
    <x v="0"/>
    <s v="NEW"/>
    <s v="Circle"/>
    <s v="DESK"/>
    <s v="COMPLETED"/>
    <n v="225"/>
    <m/>
    <x v="1"/>
  </r>
  <r>
    <s v="T01728"/>
    <x v="25"/>
    <x v="2"/>
    <s v="A033"/>
    <x v="0"/>
    <s v="NEW"/>
    <s v="Single"/>
    <s v="DESK"/>
    <s v="COMPLETED"/>
    <n v="120"/>
    <m/>
    <x v="0"/>
  </r>
  <r>
    <s v="T01729"/>
    <x v="25"/>
    <x v="2"/>
    <s v="A035"/>
    <x v="0"/>
    <s v="NEW"/>
    <s v="Duo"/>
    <s v="DESK"/>
    <s v="COMPLETED"/>
    <n v="200"/>
    <m/>
    <x v="0"/>
  </r>
  <r>
    <s v="T01730"/>
    <x v="25"/>
    <x v="2"/>
    <s v="A025"/>
    <x v="0"/>
    <s v="NEW"/>
    <s v="Circle"/>
    <s v="DESK"/>
    <s v="COMPLETED"/>
    <n v="255"/>
    <m/>
    <x v="1"/>
  </r>
  <r>
    <s v="T01731"/>
    <x v="25"/>
    <x v="2"/>
    <s v="A029"/>
    <x v="0"/>
    <s v="NEW"/>
    <s v="Circle"/>
    <s v="DESK"/>
    <s v="COMPLETED"/>
    <n v="225"/>
    <m/>
    <x v="1"/>
  </r>
  <r>
    <s v="T01732"/>
    <x v="25"/>
    <x v="2"/>
    <s v="A035"/>
    <x v="0"/>
    <s v="NEW"/>
    <s v="Duo"/>
    <s v="DESK"/>
    <s v="COMPLETED"/>
    <n v="200"/>
    <m/>
    <x v="0"/>
  </r>
  <r>
    <s v="T01733"/>
    <x v="25"/>
    <x v="2"/>
    <s v="A033"/>
    <x v="0"/>
    <s v="NEW"/>
    <s v="Circle"/>
    <s v="ONLINE"/>
    <s v="PENDING"/>
    <n v="300"/>
    <m/>
    <x v="0"/>
  </r>
  <r>
    <s v="T01734"/>
    <x v="25"/>
    <x v="2"/>
    <s v="A029"/>
    <x v="0"/>
    <s v="NEW"/>
    <s v="Circle"/>
    <s v="DESK"/>
    <s v="COMPLETED"/>
    <n v="300"/>
    <m/>
    <x v="0"/>
  </r>
  <r>
    <s v="T01735"/>
    <x v="25"/>
    <x v="2"/>
    <s v="A027"/>
    <x v="0"/>
    <s v="NEW"/>
    <s v="Circle"/>
    <s v="DESK"/>
    <s v="COMPLETED"/>
    <n v="300"/>
    <m/>
    <x v="0"/>
  </r>
  <r>
    <s v="T01736"/>
    <x v="25"/>
    <x v="2"/>
    <s v="A026"/>
    <x v="0"/>
    <s v="NEW"/>
    <s v="Single"/>
    <s v="DESK"/>
    <s v="VOID"/>
    <n v="120"/>
    <m/>
    <x v="0"/>
  </r>
  <r>
    <s v="T01737"/>
    <x v="25"/>
    <x v="2"/>
    <s v="A026"/>
    <x v="0"/>
    <s v="NEW"/>
    <s v="Single"/>
    <s v="ONLINE"/>
    <s v="COMPLETED"/>
    <n v="102"/>
    <m/>
    <x v="1"/>
  </r>
  <r>
    <s v="T01738"/>
    <x v="25"/>
    <x v="2"/>
    <s v="A032"/>
    <x v="0"/>
    <s v="NEW"/>
    <s v="Single"/>
    <s v="DESK"/>
    <s v="COMPLETED"/>
    <n v="120"/>
    <m/>
    <x v="0"/>
  </r>
  <r>
    <s v="T01739"/>
    <x v="25"/>
    <x v="2"/>
    <s v="A030"/>
    <x v="0"/>
    <s v="NEW"/>
    <s v="Duo"/>
    <s v="DESK"/>
    <s v="COMPLETED"/>
    <n v="200"/>
    <m/>
    <x v="0"/>
  </r>
  <r>
    <s v="T01740"/>
    <x v="25"/>
    <x v="3"/>
    <s v="A042"/>
    <x v="0"/>
    <s v="NEW"/>
    <s v="Circle"/>
    <s v="DESK"/>
    <s v="COMPLETED"/>
    <n v="255"/>
    <m/>
    <x v="1"/>
  </r>
  <r>
    <s v="T01741"/>
    <x v="25"/>
    <x v="3"/>
    <s v="A044"/>
    <x v="0"/>
    <s v="NEW"/>
    <s v="Duo"/>
    <s v="DESK"/>
    <s v="COMPLETED"/>
    <n v="200"/>
    <m/>
    <x v="0"/>
  </r>
  <r>
    <s v="T01742"/>
    <x v="25"/>
    <x v="3"/>
    <s v="A042"/>
    <x v="0"/>
    <s v="NEW"/>
    <s v="Circle"/>
    <s v="DESK"/>
    <s v="COMPLETED"/>
    <n v="300"/>
    <m/>
    <x v="0"/>
  </r>
  <r>
    <s v="T01743"/>
    <x v="25"/>
    <x v="3"/>
    <s v="A045"/>
    <x v="0"/>
    <s v="NEW"/>
    <s v="Duo"/>
    <s v="DESK"/>
    <s v="COMPLETED"/>
    <n v="200"/>
    <m/>
    <x v="0"/>
  </r>
  <r>
    <s v="T01744"/>
    <x v="25"/>
    <x v="3"/>
    <s v="A044"/>
    <x v="0"/>
    <s v="NEW"/>
    <s v="Duo"/>
    <s v="DESK"/>
    <s v="COMPLETED"/>
    <n v="200"/>
    <m/>
    <x v="0"/>
  </r>
  <r>
    <s v="T01745"/>
    <x v="25"/>
    <x v="3"/>
    <s v="A043"/>
    <x v="0"/>
    <s v="NEW"/>
    <s v="Single"/>
    <s v="DESK"/>
    <s v="COMPLETED"/>
    <n v="102"/>
    <m/>
    <x v="1"/>
  </r>
  <r>
    <s v="T01746"/>
    <x v="25"/>
    <x v="3"/>
    <s v="A039"/>
    <x v="0"/>
    <s v="NEW"/>
    <s v="Circle"/>
    <s v="DESK"/>
    <s v="PENDING"/>
    <n v="300"/>
    <m/>
    <x v="0"/>
  </r>
  <r>
    <s v="T01747"/>
    <x v="25"/>
    <x v="3"/>
    <s v="A044"/>
    <x v="0"/>
    <s v="NEW"/>
    <s v="Single"/>
    <s v="DESK"/>
    <s v="COMPLETED"/>
    <n v="120"/>
    <m/>
    <x v="0"/>
  </r>
  <r>
    <s v="T01748"/>
    <x v="25"/>
    <x v="3"/>
    <s v="A048"/>
    <x v="0"/>
    <s v="NEW"/>
    <s v="Circle"/>
    <s v="DESK"/>
    <s v="COMPLETED"/>
    <n v="300"/>
    <m/>
    <x v="0"/>
  </r>
  <r>
    <s v="T01749"/>
    <x v="25"/>
    <x v="3"/>
    <s v="A045"/>
    <x v="0"/>
    <s v="NEW"/>
    <s v="Duo"/>
    <s v="DESK"/>
    <s v="COMPLETED"/>
    <n v="200"/>
    <m/>
    <x v="0"/>
  </r>
  <r>
    <s v="T01750"/>
    <x v="25"/>
    <x v="3"/>
    <s v="A047"/>
    <x v="0"/>
    <s v="NEW"/>
    <s v="Circle"/>
    <s v="DESK"/>
    <s v="COMPLETED"/>
    <n v="300"/>
    <m/>
    <x v="0"/>
  </r>
  <r>
    <s v="T01751"/>
    <x v="25"/>
    <x v="3"/>
    <s v="A038"/>
    <x v="0"/>
    <s v="NEW"/>
    <s v="Duo"/>
    <s v="ONLINE"/>
    <s v="COMPLETED"/>
    <n v="200"/>
    <m/>
    <x v="0"/>
  </r>
  <r>
    <s v="T01752"/>
    <x v="25"/>
    <x v="3"/>
    <s v="A042"/>
    <x v="0"/>
    <s v="NEW"/>
    <s v="Duo"/>
    <s v="DESK"/>
    <s v="COMPLETED"/>
    <n v="200"/>
    <m/>
    <x v="0"/>
  </r>
  <r>
    <s v="T01753"/>
    <x v="25"/>
    <x v="3"/>
    <s v="A045"/>
    <x v="0"/>
    <s v="NEW"/>
    <s v="Duo"/>
    <s v="DESK"/>
    <s v="COMPLETED"/>
    <n v="200"/>
    <m/>
    <x v="0"/>
  </r>
  <r>
    <s v="T01754"/>
    <x v="25"/>
    <x v="3"/>
    <s v="A044"/>
    <x v="0"/>
    <s v="NEW"/>
    <s v="Circle"/>
    <s v="DESK"/>
    <s v="COMPLETED"/>
    <n v="225"/>
    <m/>
    <x v="1"/>
  </r>
  <r>
    <s v="T02007"/>
    <x v="25"/>
    <x v="2"/>
    <s v="A035"/>
    <x v="1"/>
    <s v="NEW"/>
    <s v="Circle"/>
    <s v="DESK"/>
    <s v="COMPLETED"/>
    <n v="225"/>
    <s v="T01151"/>
    <x v="2"/>
  </r>
  <r>
    <s v="T02011"/>
    <x v="25"/>
    <x v="2"/>
    <s v="A025"/>
    <x v="1"/>
    <s v="NEW"/>
    <s v="Circle"/>
    <s v="DESK"/>
    <s v="COMPLETED"/>
    <n v="225"/>
    <s v="T01155"/>
    <x v="2"/>
  </r>
  <r>
    <s v="T02014"/>
    <x v="25"/>
    <x v="2"/>
    <s v="A025"/>
    <x v="1"/>
    <s v="NEW"/>
    <s v="Circle"/>
    <s v="DESK"/>
    <s v="COMPLETED"/>
    <n v="225"/>
    <s v="T01158"/>
    <x v="2"/>
  </r>
  <r>
    <s v="T02015"/>
    <x v="25"/>
    <x v="2"/>
    <s v="A032"/>
    <x v="1"/>
    <s v="NEW"/>
    <s v="Circle"/>
    <s v="DESK"/>
    <s v="COMPLETED"/>
    <n v="225"/>
    <s v="T01159"/>
    <x v="2"/>
  </r>
  <r>
    <s v="T02016"/>
    <x v="25"/>
    <x v="2"/>
    <s v="A031"/>
    <x v="1"/>
    <s v="NEW"/>
    <s v="Circle"/>
    <s v="DESK"/>
    <s v="COMPLETED"/>
    <n v="225"/>
    <s v="T01160"/>
    <x v="2"/>
  </r>
  <r>
    <s v="T02017"/>
    <x v="25"/>
    <x v="2"/>
    <s v="A032"/>
    <x v="1"/>
    <s v="NEW"/>
    <s v="Circle"/>
    <s v="DESK"/>
    <s v="COMPLETED"/>
    <n v="225"/>
    <s v="T01161"/>
    <x v="2"/>
  </r>
  <r>
    <s v="T02019"/>
    <x v="25"/>
    <x v="2"/>
    <s v="A029"/>
    <x v="1"/>
    <s v="NEW"/>
    <s v="Circle"/>
    <s v="DESK"/>
    <s v="COMPLETED"/>
    <n v="225"/>
    <s v="T01163"/>
    <x v="2"/>
  </r>
  <r>
    <s v="T02021"/>
    <x v="25"/>
    <x v="2"/>
    <s v="A030"/>
    <x v="1"/>
    <s v="NEW"/>
    <s v="Circle"/>
    <s v="DESK"/>
    <s v="COMPLETED"/>
    <n v="225"/>
    <s v="T01165"/>
    <x v="2"/>
  </r>
  <r>
    <s v="T02026"/>
    <x v="25"/>
    <x v="2"/>
    <s v="A030"/>
    <x v="1"/>
    <s v="NEW"/>
    <s v="Circle"/>
    <s v="DESK"/>
    <s v="COMPLETED"/>
    <n v="225"/>
    <s v="T01236"/>
    <x v="2"/>
  </r>
  <r>
    <s v="T02030"/>
    <x v="25"/>
    <x v="2"/>
    <s v="A029"/>
    <x v="1"/>
    <s v="NEW"/>
    <s v="Circle"/>
    <s v="DESK"/>
    <s v="COMPLETED"/>
    <n v="225"/>
    <s v="T01240"/>
    <x v="2"/>
  </r>
  <r>
    <s v="T02034"/>
    <x v="25"/>
    <x v="2"/>
    <s v="A034"/>
    <x v="1"/>
    <s v="NEW"/>
    <s v="Circle"/>
    <s v="DESK"/>
    <s v="COMPLETED"/>
    <n v="225"/>
    <s v="T01244"/>
    <x v="2"/>
  </r>
  <r>
    <s v="T02037"/>
    <x v="25"/>
    <x v="2"/>
    <s v="A033"/>
    <x v="1"/>
    <s v="NEW"/>
    <s v="Circle"/>
    <s v="DESK"/>
    <s v="COMPLETED"/>
    <n v="225"/>
    <s v="T01247"/>
    <x v="2"/>
  </r>
  <r>
    <s v="T02038"/>
    <x v="25"/>
    <x v="2"/>
    <s v="A029"/>
    <x v="1"/>
    <s v="NEW"/>
    <s v="Circle"/>
    <s v="DESK"/>
    <s v="COMPLETED"/>
    <n v="225"/>
    <s v="T01248"/>
    <x v="2"/>
  </r>
  <r>
    <s v="T02040"/>
    <x v="25"/>
    <x v="2"/>
    <s v="A026"/>
    <x v="1"/>
    <s v="NEW"/>
    <s v="Circle"/>
    <s v="DESK"/>
    <s v="COMPLETED"/>
    <n v="225"/>
    <s v="T01250"/>
    <x v="2"/>
  </r>
  <r>
    <s v="T02042"/>
    <x v="25"/>
    <x v="2"/>
    <s v="A026"/>
    <x v="1"/>
    <s v="NEW"/>
    <s v="Circle"/>
    <s v="DESK"/>
    <s v="COMPLETED"/>
    <n v="225"/>
    <s v="T01252"/>
    <x v="2"/>
  </r>
  <r>
    <s v="T02046"/>
    <x v="25"/>
    <x v="2"/>
    <s v="A031"/>
    <x v="1"/>
    <s v="NEW"/>
    <s v="Circle"/>
    <s v="DESK"/>
    <s v="COMPLETED"/>
    <n v="225"/>
    <s v="T01321"/>
    <x v="2"/>
  </r>
  <r>
    <s v="T02055"/>
    <x v="25"/>
    <x v="2"/>
    <s v="A035"/>
    <x v="1"/>
    <s v="NEW"/>
    <s v="Circle"/>
    <s v="DESK"/>
    <s v="COMPLETED"/>
    <n v="225"/>
    <s v="T01330"/>
    <x v="2"/>
  </r>
  <r>
    <s v="T02057"/>
    <x v="25"/>
    <x v="2"/>
    <s v="A031"/>
    <x v="1"/>
    <s v="NEW"/>
    <s v="Circle"/>
    <s v="DESK"/>
    <s v="COMPLETED"/>
    <n v="225"/>
    <s v="T01332"/>
    <x v="2"/>
  </r>
  <r>
    <s v="T02059"/>
    <x v="25"/>
    <x v="2"/>
    <s v="A032"/>
    <x v="1"/>
    <s v="NEW"/>
    <s v="Circle"/>
    <s v="DESK"/>
    <s v="COMPLETED"/>
    <n v="225"/>
    <s v="T01334"/>
    <x v="2"/>
  </r>
  <r>
    <s v="T02060"/>
    <x v="25"/>
    <x v="2"/>
    <s v="A035"/>
    <x v="1"/>
    <s v="NEW"/>
    <s v="Circle"/>
    <s v="DESK"/>
    <s v="COMPLETED"/>
    <n v="225"/>
    <s v="T01335"/>
    <x v="2"/>
  </r>
  <r>
    <s v="T02078"/>
    <x v="25"/>
    <x v="2"/>
    <s v="A031"/>
    <x v="1"/>
    <s v="NEW"/>
    <s v="Circle"/>
    <s v="DESK"/>
    <s v="COMPLETED"/>
    <n v="300"/>
    <s v="T01473"/>
    <x v="0"/>
  </r>
  <r>
    <s v="T02082"/>
    <x v="25"/>
    <x v="3"/>
    <s v="A042"/>
    <x v="1"/>
    <s v="NEW"/>
    <s v="Single"/>
    <s v="DESK"/>
    <s v="COMPLETED"/>
    <n v="120"/>
    <s v="T01496"/>
    <x v="0"/>
  </r>
  <r>
    <s v="T02093"/>
    <x v="25"/>
    <x v="0"/>
    <s v="A003"/>
    <x v="1"/>
    <s v="NEW"/>
    <s v="Circle"/>
    <s v="DESK"/>
    <s v="COMPLETED"/>
    <n v="300"/>
    <s v="T01200"/>
    <x v="0"/>
  </r>
  <r>
    <s v="T02111"/>
    <x v="25"/>
    <x v="0"/>
    <s v="A004"/>
    <x v="1"/>
    <s v="RENEWAL"/>
    <s v="Duo"/>
    <s v="DESK"/>
    <s v="COMPLETED"/>
    <n v="200"/>
    <s v="T01198"/>
    <x v="0"/>
  </r>
  <r>
    <s v="T01755"/>
    <x v="26"/>
    <x v="0"/>
    <s v="A010"/>
    <x v="0"/>
    <s v="NEW"/>
    <s v="Circle"/>
    <s v="DESK"/>
    <s v="COMPLETED"/>
    <n v="300"/>
    <m/>
    <x v="0"/>
  </r>
  <r>
    <s v="T01756"/>
    <x v="26"/>
    <x v="0"/>
    <s v="A010"/>
    <x v="0"/>
    <s v="RENEWAL"/>
    <s v="Single"/>
    <s v="DESK"/>
    <s v="COMPLETED"/>
    <n v="120"/>
    <m/>
    <x v="0"/>
  </r>
  <r>
    <s v="T01757"/>
    <x v="26"/>
    <x v="0"/>
    <s v="A005"/>
    <x v="0"/>
    <s v="NEW"/>
    <s v="Circle"/>
    <s v="DESK"/>
    <s v="COMPLETED"/>
    <n v="300"/>
    <m/>
    <x v="0"/>
  </r>
  <r>
    <s v="T01758"/>
    <x v="26"/>
    <x v="0"/>
    <s v="A002"/>
    <x v="0"/>
    <s v="NEW"/>
    <s v="Duo"/>
    <s v="ONLINE"/>
    <s v="COMPLETED"/>
    <n v="200"/>
    <m/>
    <x v="0"/>
  </r>
  <r>
    <s v="T01759"/>
    <x v="26"/>
    <x v="0"/>
    <s v="A011"/>
    <x v="0"/>
    <s v="NEW"/>
    <s v="Duo"/>
    <s v="DESK"/>
    <s v="COMPLETED"/>
    <n v="150"/>
    <m/>
    <x v="1"/>
  </r>
  <r>
    <s v="T01760"/>
    <x v="26"/>
    <x v="0"/>
    <s v="A001"/>
    <x v="0"/>
    <s v="NEW"/>
    <s v="Circle"/>
    <s v="ONLINE"/>
    <s v="COMPLETED"/>
    <n v="300"/>
    <m/>
    <x v="0"/>
  </r>
  <r>
    <s v="T01761"/>
    <x v="26"/>
    <x v="0"/>
    <s v="A011"/>
    <x v="0"/>
    <s v="RENEWAL"/>
    <s v="Duo"/>
    <s v="DESK"/>
    <s v="COMPLETED"/>
    <n v="200"/>
    <m/>
    <x v="0"/>
  </r>
  <r>
    <s v="T01762"/>
    <x v="26"/>
    <x v="0"/>
    <s v="A005"/>
    <x v="0"/>
    <s v="NEW"/>
    <s v="Circle"/>
    <s v="DESK"/>
    <s v="COMPLETED"/>
    <n v="300"/>
    <m/>
    <x v="0"/>
  </r>
  <r>
    <s v="T01763"/>
    <x v="26"/>
    <x v="0"/>
    <s v="A003"/>
    <x v="0"/>
    <s v="NEW"/>
    <s v="Single"/>
    <s v="DESK"/>
    <s v="COMPLETED"/>
    <n v="120"/>
    <m/>
    <x v="0"/>
  </r>
  <r>
    <s v="T01764"/>
    <x v="26"/>
    <x v="0"/>
    <s v="A003"/>
    <x v="0"/>
    <s v="NEW"/>
    <s v="Duo"/>
    <s v="ONLINE"/>
    <s v="COMPLETED"/>
    <n v="200"/>
    <m/>
    <x v="0"/>
  </r>
  <r>
    <s v="T01765"/>
    <x v="26"/>
    <x v="0"/>
    <s v="A001"/>
    <x v="0"/>
    <s v="RENEWAL"/>
    <s v="Duo"/>
    <s v="DESK"/>
    <s v="COMPLETED"/>
    <n v="200"/>
    <m/>
    <x v="0"/>
  </r>
  <r>
    <s v="T01766"/>
    <x v="26"/>
    <x v="0"/>
    <s v="A006"/>
    <x v="0"/>
    <s v="NEW"/>
    <s v="Circle"/>
    <s v="DESK"/>
    <s v="COMPLETED"/>
    <n v="255"/>
    <m/>
    <x v="1"/>
  </r>
  <r>
    <s v="T01767"/>
    <x v="26"/>
    <x v="0"/>
    <s v="A009"/>
    <x v="0"/>
    <s v="RENEWAL"/>
    <s v="Duo"/>
    <s v="DESK"/>
    <s v="COMPLETED"/>
    <n v="200"/>
    <m/>
    <x v="0"/>
  </r>
  <r>
    <s v="T01768"/>
    <x v="26"/>
    <x v="0"/>
    <s v="A012"/>
    <x v="0"/>
    <s v="NEW"/>
    <s v="Duo"/>
    <s v="DESK"/>
    <s v="COMPLETED"/>
    <n v="200"/>
    <m/>
    <x v="0"/>
  </r>
  <r>
    <s v="T01769"/>
    <x v="26"/>
    <x v="1"/>
    <s v="A023"/>
    <x v="0"/>
    <s v="NEW"/>
    <s v="Circle"/>
    <s v="ONLINE"/>
    <s v="COMPLETED"/>
    <n v="300"/>
    <m/>
    <x v="0"/>
  </r>
  <r>
    <s v="T01770"/>
    <x v="26"/>
    <x v="1"/>
    <s v="A020"/>
    <x v="0"/>
    <s v="NEW"/>
    <s v="Duo"/>
    <s v="DESK"/>
    <s v="COMPLETED"/>
    <n v="200"/>
    <m/>
    <x v="0"/>
  </r>
  <r>
    <s v="T01771"/>
    <x v="26"/>
    <x v="1"/>
    <s v="A020"/>
    <x v="0"/>
    <s v="NEW"/>
    <s v="Circle"/>
    <s v="DESK"/>
    <s v="COMPLETED"/>
    <n v="300"/>
    <m/>
    <x v="0"/>
  </r>
  <r>
    <s v="T01772"/>
    <x v="26"/>
    <x v="1"/>
    <s v="A023"/>
    <x v="0"/>
    <s v="RENEWAL"/>
    <s v="Duo"/>
    <s v="DESK"/>
    <s v="COMPLETED"/>
    <n v="200"/>
    <m/>
    <x v="0"/>
  </r>
  <r>
    <s v="T01773"/>
    <x v="26"/>
    <x v="1"/>
    <s v="A021"/>
    <x v="0"/>
    <s v="NEW"/>
    <s v="Circle"/>
    <s v="DESK"/>
    <s v="COMPLETED"/>
    <n v="300"/>
    <m/>
    <x v="0"/>
  </r>
  <r>
    <s v="T01774"/>
    <x v="26"/>
    <x v="1"/>
    <s v="A021"/>
    <x v="0"/>
    <s v="NEW"/>
    <s v="Duo"/>
    <s v="DESK"/>
    <s v="COMPLETED"/>
    <n v="200"/>
    <m/>
    <x v="0"/>
  </r>
  <r>
    <s v="T01775"/>
    <x v="26"/>
    <x v="1"/>
    <s v="A020"/>
    <x v="0"/>
    <s v="NEW"/>
    <s v="Circle"/>
    <s v="DESK"/>
    <s v="PENDING"/>
    <n v="300"/>
    <m/>
    <x v="0"/>
  </r>
  <r>
    <s v="T01776"/>
    <x v="26"/>
    <x v="1"/>
    <s v="A019"/>
    <x v="0"/>
    <s v="NEW"/>
    <s v="Single"/>
    <s v="ONLINE"/>
    <s v="COMPLETED"/>
    <n v="120"/>
    <m/>
    <x v="0"/>
  </r>
  <r>
    <s v="T01777"/>
    <x v="26"/>
    <x v="1"/>
    <s v="A018"/>
    <x v="0"/>
    <s v="NEW"/>
    <s v="Circle"/>
    <s v="DESK"/>
    <s v="COMPLETED"/>
    <n v="255"/>
    <m/>
    <x v="1"/>
  </r>
  <r>
    <s v="T01778"/>
    <x v="26"/>
    <x v="1"/>
    <s v="A019"/>
    <x v="0"/>
    <s v="NEW"/>
    <s v="Circle"/>
    <s v="DESK"/>
    <s v="COMPLETED"/>
    <n v="300"/>
    <m/>
    <x v="0"/>
  </r>
  <r>
    <s v="T01779"/>
    <x v="26"/>
    <x v="1"/>
    <s v="A018"/>
    <x v="0"/>
    <s v="NEW"/>
    <s v="Duo"/>
    <s v="ONLINE"/>
    <s v="COMPLETED"/>
    <n v="200"/>
    <m/>
    <x v="0"/>
  </r>
  <r>
    <s v="T01780"/>
    <x v="26"/>
    <x v="1"/>
    <s v="A013"/>
    <x v="0"/>
    <s v="NEW"/>
    <s v="Duo"/>
    <s v="DESK"/>
    <s v="COMPLETED"/>
    <n v="200"/>
    <m/>
    <x v="0"/>
  </r>
  <r>
    <s v="T01781"/>
    <x v="26"/>
    <x v="1"/>
    <s v="A023"/>
    <x v="0"/>
    <s v="NEW"/>
    <s v="Single"/>
    <s v="DESK"/>
    <s v="COMPLETED"/>
    <n v="120"/>
    <m/>
    <x v="0"/>
  </r>
  <r>
    <s v="T01782"/>
    <x v="26"/>
    <x v="1"/>
    <s v="A015"/>
    <x v="0"/>
    <s v="NEW"/>
    <s v="Circle"/>
    <s v="DESK"/>
    <s v="COMPLETED"/>
    <n v="300"/>
    <m/>
    <x v="0"/>
  </r>
  <r>
    <s v="T01783"/>
    <x v="26"/>
    <x v="2"/>
    <s v="A036"/>
    <x v="0"/>
    <s v="NEW"/>
    <s v="Duo"/>
    <s v="DESK"/>
    <s v="COMPLETED"/>
    <n v="200"/>
    <m/>
    <x v="0"/>
  </r>
  <r>
    <s v="T01784"/>
    <x v="26"/>
    <x v="2"/>
    <s v="A025"/>
    <x v="0"/>
    <s v="NEW"/>
    <s v="Duo"/>
    <s v="ONLINE"/>
    <s v="COMPLETED"/>
    <n v="200"/>
    <m/>
    <x v="0"/>
  </r>
  <r>
    <s v="T01785"/>
    <x v="26"/>
    <x v="2"/>
    <s v="A033"/>
    <x v="0"/>
    <s v="NEW"/>
    <s v="Duo"/>
    <s v="ONLINE"/>
    <s v="COMPLETED"/>
    <n v="150"/>
    <m/>
    <x v="1"/>
  </r>
  <r>
    <s v="T01786"/>
    <x v="26"/>
    <x v="2"/>
    <s v="A027"/>
    <x v="0"/>
    <s v="NEW"/>
    <s v="Circle"/>
    <s v="DESK"/>
    <s v="COMPLETED"/>
    <n v="300"/>
    <m/>
    <x v="0"/>
  </r>
  <r>
    <s v="T01787"/>
    <x v="26"/>
    <x v="2"/>
    <s v="A026"/>
    <x v="0"/>
    <s v="NEW"/>
    <s v="Circle"/>
    <s v="DESK"/>
    <s v="COMPLETED"/>
    <n v="300"/>
    <m/>
    <x v="0"/>
  </r>
  <r>
    <s v="T01788"/>
    <x v="26"/>
    <x v="2"/>
    <s v="A025"/>
    <x v="0"/>
    <s v="RENEWAL"/>
    <s v="Single"/>
    <s v="DESK"/>
    <s v="COMPLETED"/>
    <n v="120"/>
    <m/>
    <x v="0"/>
  </r>
  <r>
    <s v="T01789"/>
    <x v="26"/>
    <x v="2"/>
    <s v="A025"/>
    <x v="0"/>
    <s v="NEW"/>
    <s v="Single"/>
    <s v="DESK"/>
    <s v="COMPLETED"/>
    <n v="120"/>
    <m/>
    <x v="0"/>
  </r>
  <r>
    <s v="T01790"/>
    <x v="26"/>
    <x v="2"/>
    <s v="A026"/>
    <x v="0"/>
    <s v="NEW"/>
    <s v="Circle"/>
    <s v="DESK"/>
    <s v="COMPLETED"/>
    <n v="300"/>
    <m/>
    <x v="0"/>
  </r>
  <r>
    <s v="T01791"/>
    <x v="26"/>
    <x v="2"/>
    <s v="A030"/>
    <x v="0"/>
    <s v="NEW"/>
    <s v="Circle"/>
    <s v="ONLINE"/>
    <s v="COMPLETED"/>
    <n v="300"/>
    <m/>
    <x v="0"/>
  </r>
  <r>
    <s v="T01792"/>
    <x v="26"/>
    <x v="2"/>
    <s v="A035"/>
    <x v="0"/>
    <s v="NEW"/>
    <s v="Circle"/>
    <s v="DESK"/>
    <s v="COMPLETED"/>
    <n v="300"/>
    <m/>
    <x v="0"/>
  </r>
  <r>
    <s v="T01793"/>
    <x v="26"/>
    <x v="2"/>
    <s v="A035"/>
    <x v="0"/>
    <s v="NEW"/>
    <s v="Single"/>
    <s v="DESK"/>
    <s v="COMPLETED"/>
    <n v="120"/>
    <m/>
    <x v="0"/>
  </r>
  <r>
    <s v="T01794"/>
    <x v="26"/>
    <x v="2"/>
    <s v="A036"/>
    <x v="0"/>
    <s v="NEW"/>
    <s v="Circle"/>
    <s v="DESK"/>
    <s v="COMPLETED"/>
    <n v="300"/>
    <m/>
    <x v="0"/>
  </r>
  <r>
    <s v="T01795"/>
    <x v="26"/>
    <x v="2"/>
    <s v="A030"/>
    <x v="0"/>
    <s v="NEW"/>
    <s v="Circle"/>
    <s v="DESK"/>
    <s v="COMPLETED"/>
    <n v="300"/>
    <m/>
    <x v="0"/>
  </r>
  <r>
    <s v="T01796"/>
    <x v="26"/>
    <x v="2"/>
    <s v="A030"/>
    <x v="0"/>
    <s v="NEW"/>
    <s v="Duo"/>
    <s v="DESK"/>
    <s v="COMPLETED"/>
    <n v="170"/>
    <m/>
    <x v="1"/>
  </r>
  <r>
    <s v="T01797"/>
    <x v="26"/>
    <x v="2"/>
    <s v="A029"/>
    <x v="0"/>
    <s v="NEW"/>
    <s v="Single"/>
    <s v="DESK"/>
    <s v="COMPLETED"/>
    <n v="120"/>
    <m/>
    <x v="0"/>
  </r>
  <r>
    <s v="T01798"/>
    <x v="26"/>
    <x v="2"/>
    <s v="A032"/>
    <x v="0"/>
    <s v="NEW"/>
    <s v="Single"/>
    <s v="ONLINE"/>
    <s v="COMPLETED"/>
    <n v="120"/>
    <m/>
    <x v="0"/>
  </r>
  <r>
    <s v="T01799"/>
    <x v="26"/>
    <x v="2"/>
    <s v="A036"/>
    <x v="0"/>
    <s v="NEW"/>
    <s v="Single"/>
    <s v="DESK"/>
    <s v="COMPLETED"/>
    <n v="90"/>
    <m/>
    <x v="1"/>
  </r>
  <r>
    <s v="T01800"/>
    <x v="26"/>
    <x v="2"/>
    <s v="A036"/>
    <x v="0"/>
    <s v="NEW"/>
    <s v="Duo"/>
    <s v="ONLINE"/>
    <s v="COMPLETED"/>
    <n v="200"/>
    <m/>
    <x v="0"/>
  </r>
  <r>
    <s v="T01801"/>
    <x v="26"/>
    <x v="3"/>
    <s v="A047"/>
    <x v="0"/>
    <s v="NEW"/>
    <s v="Single"/>
    <s v="DESK"/>
    <s v="COMPLETED"/>
    <n v="120"/>
    <m/>
    <x v="0"/>
  </r>
  <r>
    <s v="T01802"/>
    <x v="26"/>
    <x v="3"/>
    <s v="A045"/>
    <x v="0"/>
    <s v="NEW"/>
    <s v="Single"/>
    <s v="ONLINE"/>
    <s v="COMPLETED"/>
    <n v="120"/>
    <m/>
    <x v="0"/>
  </r>
  <r>
    <s v="T01803"/>
    <x v="26"/>
    <x v="3"/>
    <s v="A043"/>
    <x v="0"/>
    <s v="NEW"/>
    <s v="Circle"/>
    <s v="DESK"/>
    <s v="COMPLETED"/>
    <n v="300"/>
    <m/>
    <x v="0"/>
  </r>
  <r>
    <s v="T01804"/>
    <x v="26"/>
    <x v="3"/>
    <s v="A046"/>
    <x v="0"/>
    <s v="NEW"/>
    <s v="Duo"/>
    <s v="DESK"/>
    <s v="COMPLETED"/>
    <n v="200"/>
    <m/>
    <x v="0"/>
  </r>
  <r>
    <s v="T01805"/>
    <x v="26"/>
    <x v="3"/>
    <s v="A042"/>
    <x v="0"/>
    <s v="RENEWAL"/>
    <s v="Circle"/>
    <s v="DESK"/>
    <s v="COMPLETED"/>
    <n v="300"/>
    <m/>
    <x v="0"/>
  </r>
  <r>
    <s v="T01806"/>
    <x v="26"/>
    <x v="3"/>
    <s v="A039"/>
    <x v="0"/>
    <s v="NEW"/>
    <s v="Single"/>
    <s v="DESK"/>
    <s v="COMPLETED"/>
    <n v="120"/>
    <m/>
    <x v="0"/>
  </r>
  <r>
    <s v="T01807"/>
    <x v="26"/>
    <x v="3"/>
    <s v="A042"/>
    <x v="0"/>
    <s v="NEW"/>
    <s v="Single"/>
    <s v="ONLINE"/>
    <s v="COMPLETED"/>
    <n v="120"/>
    <m/>
    <x v="0"/>
  </r>
  <r>
    <s v="T01808"/>
    <x v="26"/>
    <x v="3"/>
    <s v="A044"/>
    <x v="0"/>
    <s v="NEW"/>
    <s v="Single"/>
    <s v="DESK"/>
    <s v="COMPLETED"/>
    <n v="102"/>
    <m/>
    <x v="1"/>
  </r>
  <r>
    <s v="T01809"/>
    <x v="26"/>
    <x v="3"/>
    <s v="A042"/>
    <x v="0"/>
    <s v="RENEWAL"/>
    <s v="Circle"/>
    <s v="DESK"/>
    <s v="COMPLETED"/>
    <n v="225"/>
    <m/>
    <x v="1"/>
  </r>
  <r>
    <s v="T01810"/>
    <x v="26"/>
    <x v="3"/>
    <s v="A039"/>
    <x v="0"/>
    <s v="NEW"/>
    <s v="Duo"/>
    <s v="DESK"/>
    <s v="COMPLETED"/>
    <n v="200"/>
    <m/>
    <x v="0"/>
  </r>
  <r>
    <s v="T01811"/>
    <x v="26"/>
    <x v="3"/>
    <s v="A038"/>
    <x v="0"/>
    <s v="NEW"/>
    <s v="Circle"/>
    <s v="DESK"/>
    <s v="COMPLETED"/>
    <n v="300"/>
    <m/>
    <x v="0"/>
  </r>
  <r>
    <s v="T01812"/>
    <x v="26"/>
    <x v="3"/>
    <s v="A041"/>
    <x v="0"/>
    <s v="NEW"/>
    <s v="Single"/>
    <s v="DESK"/>
    <s v="COMPLETED"/>
    <n v="120"/>
    <m/>
    <x v="0"/>
  </r>
  <r>
    <s v="T01813"/>
    <x v="26"/>
    <x v="3"/>
    <s v="A039"/>
    <x v="0"/>
    <s v="NEW"/>
    <s v="Duo"/>
    <s v="ONLINE"/>
    <s v="COMPLETED"/>
    <n v="200"/>
    <m/>
    <x v="0"/>
  </r>
  <r>
    <s v="T01814"/>
    <x v="26"/>
    <x v="3"/>
    <s v="A040"/>
    <x v="0"/>
    <s v="NEW"/>
    <s v="Single"/>
    <s v="DESK"/>
    <s v="COMPLETED"/>
    <n v="90"/>
    <m/>
    <x v="1"/>
  </r>
  <r>
    <s v="T01815"/>
    <x v="26"/>
    <x v="3"/>
    <s v="A046"/>
    <x v="0"/>
    <s v="NEW"/>
    <s v="Duo"/>
    <s v="ONLINE"/>
    <s v="COMPLETED"/>
    <n v="200"/>
    <m/>
    <x v="0"/>
  </r>
  <r>
    <s v="T01816"/>
    <x v="26"/>
    <x v="3"/>
    <s v="A047"/>
    <x v="0"/>
    <s v="NEW"/>
    <s v="Circle"/>
    <s v="ONLINE"/>
    <s v="COMPLETED"/>
    <n v="300"/>
    <m/>
    <x v="0"/>
  </r>
  <r>
    <s v="T01817"/>
    <x v="26"/>
    <x v="3"/>
    <s v="A045"/>
    <x v="0"/>
    <s v="RENEWAL"/>
    <s v="Circle"/>
    <s v="DESK"/>
    <s v="COMPLETED"/>
    <n v="300"/>
    <m/>
    <x v="0"/>
  </r>
  <r>
    <s v="T01818"/>
    <x v="26"/>
    <x v="3"/>
    <s v="A038"/>
    <x v="0"/>
    <s v="NEW"/>
    <s v="Circle"/>
    <s v="DESK"/>
    <s v="COMPLETED"/>
    <n v="300"/>
    <m/>
    <x v="0"/>
  </r>
  <r>
    <s v="T01819"/>
    <x v="26"/>
    <x v="3"/>
    <s v="A048"/>
    <x v="0"/>
    <s v="NEW"/>
    <s v="Duo"/>
    <s v="DESK"/>
    <s v="COMPLETED"/>
    <n v="200"/>
    <m/>
    <x v="0"/>
  </r>
  <r>
    <s v="T02006"/>
    <x v="26"/>
    <x v="2"/>
    <s v="A026"/>
    <x v="1"/>
    <s v="NEW"/>
    <s v="Circle"/>
    <s v="DESK"/>
    <s v="COMPLETED"/>
    <n v="225"/>
    <s v="T01150"/>
    <x v="2"/>
  </r>
  <r>
    <s v="T02008"/>
    <x v="26"/>
    <x v="2"/>
    <s v="A025"/>
    <x v="1"/>
    <s v="NEW"/>
    <s v="Circle"/>
    <s v="DESK"/>
    <s v="COMPLETED"/>
    <n v="225"/>
    <s v="T01152"/>
    <x v="2"/>
  </r>
  <r>
    <s v="T02009"/>
    <x v="26"/>
    <x v="2"/>
    <s v="A033"/>
    <x v="1"/>
    <s v="NEW"/>
    <s v="Circle"/>
    <s v="DESK"/>
    <s v="COMPLETED"/>
    <n v="225"/>
    <s v="T01153"/>
    <x v="2"/>
  </r>
  <r>
    <s v="T02010"/>
    <x v="26"/>
    <x v="2"/>
    <s v="A028"/>
    <x v="1"/>
    <s v="NEW"/>
    <s v="Circle"/>
    <s v="DESK"/>
    <s v="COMPLETED"/>
    <n v="225"/>
    <s v="T01154"/>
    <x v="2"/>
  </r>
  <r>
    <s v="T02020"/>
    <x v="26"/>
    <x v="2"/>
    <s v="A030"/>
    <x v="1"/>
    <s v="NEW"/>
    <s v="Circle"/>
    <s v="DESK"/>
    <s v="COMPLETED"/>
    <n v="225"/>
    <s v="T01164"/>
    <x v="2"/>
  </r>
  <r>
    <s v="T02022"/>
    <x v="26"/>
    <x v="2"/>
    <s v="A026"/>
    <x v="1"/>
    <s v="NEW"/>
    <s v="Circle"/>
    <s v="DESK"/>
    <s v="COMPLETED"/>
    <n v="225"/>
    <s v="T01166"/>
    <x v="2"/>
  </r>
  <r>
    <s v="T02024"/>
    <x v="26"/>
    <x v="2"/>
    <s v="A028"/>
    <x v="1"/>
    <s v="NEW"/>
    <s v="Circle"/>
    <s v="DESK"/>
    <s v="COMPLETED"/>
    <n v="225"/>
    <s v="T01234"/>
    <x v="2"/>
  </r>
  <r>
    <s v="T02025"/>
    <x v="26"/>
    <x v="2"/>
    <s v="A025"/>
    <x v="1"/>
    <s v="NEW"/>
    <s v="Circle"/>
    <s v="DESK"/>
    <s v="COMPLETED"/>
    <n v="225"/>
    <s v="T01235"/>
    <x v="2"/>
  </r>
  <r>
    <s v="T02032"/>
    <x v="26"/>
    <x v="2"/>
    <s v="A034"/>
    <x v="1"/>
    <s v="NEW"/>
    <s v="Circle"/>
    <s v="DESK"/>
    <s v="COMPLETED"/>
    <n v="225"/>
    <s v="T01242"/>
    <x v="2"/>
  </r>
  <r>
    <s v="T02033"/>
    <x v="26"/>
    <x v="2"/>
    <s v="A030"/>
    <x v="1"/>
    <s v="NEW"/>
    <s v="Circle"/>
    <s v="DESK"/>
    <s v="COMPLETED"/>
    <n v="225"/>
    <s v="T01243"/>
    <x v="2"/>
  </r>
  <r>
    <s v="T02044"/>
    <x v="26"/>
    <x v="2"/>
    <s v="A027"/>
    <x v="1"/>
    <s v="NEW"/>
    <s v="Circle"/>
    <s v="DESK"/>
    <s v="COMPLETED"/>
    <n v="225"/>
    <s v="T01319"/>
    <x v="2"/>
  </r>
  <r>
    <s v="T02095"/>
    <x v="26"/>
    <x v="3"/>
    <s v="A040"/>
    <x v="1"/>
    <s v="NEW"/>
    <s v="Duo"/>
    <s v="DESK"/>
    <s v="COMPLETED"/>
    <n v="200"/>
    <s v="T01562"/>
    <x v="0"/>
  </r>
  <r>
    <s v="T02097"/>
    <x v="26"/>
    <x v="1"/>
    <s v="A017"/>
    <x v="1"/>
    <s v="NEW"/>
    <s v="Single"/>
    <s v="ONLINE"/>
    <s v="COMPLETED"/>
    <n v="120"/>
    <s v="T01370"/>
    <x v="0"/>
  </r>
  <r>
    <s v="T01820"/>
    <x v="27"/>
    <x v="0"/>
    <s v="A010"/>
    <x v="0"/>
    <s v="RENEWAL"/>
    <s v="Circle"/>
    <s v="DESK"/>
    <s v="COMPLETED"/>
    <n v="300"/>
    <m/>
    <x v="0"/>
  </r>
  <r>
    <s v="T01821"/>
    <x v="27"/>
    <x v="0"/>
    <s v="A010"/>
    <x v="0"/>
    <s v="NEW"/>
    <s v="Circle"/>
    <s v="DESK"/>
    <s v="COMPLETED"/>
    <n v="300"/>
    <m/>
    <x v="0"/>
  </r>
  <r>
    <s v="T01822"/>
    <x v="27"/>
    <x v="0"/>
    <s v="A005"/>
    <x v="0"/>
    <s v="NEW"/>
    <s v="Duo"/>
    <s v="DESK"/>
    <s v="COMPLETED"/>
    <n v="200"/>
    <m/>
    <x v="0"/>
  </r>
  <r>
    <s v="T01823"/>
    <x v="27"/>
    <x v="0"/>
    <s v="A005"/>
    <x v="0"/>
    <s v="RENEWAL"/>
    <s v="Circle"/>
    <s v="DESK"/>
    <s v="COMPLETED"/>
    <n v="300"/>
    <m/>
    <x v="0"/>
  </r>
  <r>
    <s v="T01824"/>
    <x v="27"/>
    <x v="0"/>
    <s v="A009"/>
    <x v="0"/>
    <s v="NEW"/>
    <s v="Single"/>
    <s v="DESK"/>
    <s v="COMPLETED"/>
    <n v="120"/>
    <m/>
    <x v="0"/>
  </r>
  <r>
    <s v="T01825"/>
    <x v="27"/>
    <x v="0"/>
    <s v="A005"/>
    <x v="0"/>
    <s v="NEW"/>
    <s v="Single"/>
    <s v="DESK"/>
    <s v="COMPLETED"/>
    <n v="120"/>
    <m/>
    <x v="0"/>
  </r>
  <r>
    <s v="T01826"/>
    <x v="27"/>
    <x v="0"/>
    <s v="A002"/>
    <x v="0"/>
    <s v="NEW"/>
    <s v="Single"/>
    <s v="DESK"/>
    <s v="COMPLETED"/>
    <n v="120"/>
    <m/>
    <x v="0"/>
  </r>
  <r>
    <s v="T01827"/>
    <x v="27"/>
    <x v="0"/>
    <s v="A010"/>
    <x v="0"/>
    <s v="NEW"/>
    <s v="Circle"/>
    <s v="DESK"/>
    <s v="COMPLETED"/>
    <n v="300"/>
    <m/>
    <x v="0"/>
  </r>
  <r>
    <s v="T01828"/>
    <x v="27"/>
    <x v="0"/>
    <s v="A001"/>
    <x v="0"/>
    <s v="NEW"/>
    <s v="Circle"/>
    <s v="DESK"/>
    <s v="COMPLETED"/>
    <n v="255"/>
    <m/>
    <x v="1"/>
  </r>
  <r>
    <s v="T01829"/>
    <x v="27"/>
    <x v="0"/>
    <s v="A002"/>
    <x v="0"/>
    <s v="RENEWAL"/>
    <s v="Single"/>
    <s v="DESK"/>
    <s v="COMPLETED"/>
    <n v="102"/>
    <m/>
    <x v="1"/>
  </r>
  <r>
    <s v="T01830"/>
    <x v="27"/>
    <x v="0"/>
    <s v="A002"/>
    <x v="0"/>
    <s v="RENEWAL"/>
    <s v="Circle"/>
    <s v="DESK"/>
    <s v="COMPLETED"/>
    <n v="300"/>
    <m/>
    <x v="0"/>
  </r>
  <r>
    <s v="T01831"/>
    <x v="27"/>
    <x v="0"/>
    <s v="A006"/>
    <x v="0"/>
    <s v="NEW"/>
    <s v="Circle"/>
    <s v="DESK"/>
    <s v="COMPLETED"/>
    <n v="300"/>
    <m/>
    <x v="0"/>
  </r>
  <r>
    <s v="T01832"/>
    <x v="27"/>
    <x v="0"/>
    <s v="A012"/>
    <x v="0"/>
    <s v="NEW"/>
    <s v="Circle"/>
    <s v="DESK"/>
    <s v="COMPLETED"/>
    <n v="300"/>
    <m/>
    <x v="0"/>
  </r>
  <r>
    <s v="T01833"/>
    <x v="27"/>
    <x v="0"/>
    <s v="A002"/>
    <x v="0"/>
    <s v="NEW"/>
    <s v="Single"/>
    <s v="DESK"/>
    <s v="COMPLETED"/>
    <n v="120"/>
    <m/>
    <x v="0"/>
  </r>
  <r>
    <s v="T01834"/>
    <x v="27"/>
    <x v="0"/>
    <s v="A003"/>
    <x v="0"/>
    <s v="NEW"/>
    <s v="Duo"/>
    <s v="ONLINE"/>
    <s v="COMPLETED"/>
    <n v="170"/>
    <m/>
    <x v="1"/>
  </r>
  <r>
    <s v="T01835"/>
    <x v="27"/>
    <x v="0"/>
    <s v="A010"/>
    <x v="0"/>
    <s v="RENEWAL"/>
    <s v="Duo"/>
    <s v="DESK"/>
    <s v="COMPLETED"/>
    <n v="200"/>
    <m/>
    <x v="0"/>
  </r>
  <r>
    <s v="T01836"/>
    <x v="27"/>
    <x v="0"/>
    <s v="A004"/>
    <x v="0"/>
    <s v="NEW"/>
    <s v="Single"/>
    <s v="DESK"/>
    <s v="COMPLETED"/>
    <n v="120"/>
    <m/>
    <x v="0"/>
  </r>
  <r>
    <s v="T01837"/>
    <x v="27"/>
    <x v="1"/>
    <s v="A014"/>
    <x v="0"/>
    <s v="NEW"/>
    <s v="Duo"/>
    <s v="DESK"/>
    <s v="COMPLETED"/>
    <n v="200"/>
    <m/>
    <x v="0"/>
  </r>
  <r>
    <s v="T01838"/>
    <x v="27"/>
    <x v="1"/>
    <s v="A022"/>
    <x v="0"/>
    <s v="NEW"/>
    <s v="Single"/>
    <s v="DESK"/>
    <s v="COMPLETED"/>
    <n v="102"/>
    <m/>
    <x v="1"/>
  </r>
  <r>
    <s v="T01839"/>
    <x v="27"/>
    <x v="1"/>
    <s v="A023"/>
    <x v="0"/>
    <s v="NEW"/>
    <s v="Duo"/>
    <s v="DESK"/>
    <s v="COMPLETED"/>
    <n v="200"/>
    <m/>
    <x v="0"/>
  </r>
  <r>
    <s v="T01840"/>
    <x v="27"/>
    <x v="1"/>
    <s v="A023"/>
    <x v="0"/>
    <s v="NEW"/>
    <s v="Single"/>
    <s v="DESK"/>
    <s v="PENDING"/>
    <n v="120"/>
    <m/>
    <x v="0"/>
  </r>
  <r>
    <s v="T01841"/>
    <x v="27"/>
    <x v="1"/>
    <s v="A020"/>
    <x v="0"/>
    <s v="NEW"/>
    <s v="Circle"/>
    <s v="DESK"/>
    <s v="COMPLETED"/>
    <n v="300"/>
    <m/>
    <x v="0"/>
  </r>
  <r>
    <s v="T01842"/>
    <x v="27"/>
    <x v="1"/>
    <s v="A015"/>
    <x v="0"/>
    <s v="NEW"/>
    <s v="Single"/>
    <s v="DESK"/>
    <s v="COMPLETED"/>
    <n v="120"/>
    <m/>
    <x v="0"/>
  </r>
  <r>
    <s v="T01843"/>
    <x v="27"/>
    <x v="1"/>
    <s v="A014"/>
    <x v="0"/>
    <s v="NEW"/>
    <s v="Circle"/>
    <s v="DESK"/>
    <s v="COMPLETED"/>
    <n v="300"/>
    <m/>
    <x v="0"/>
  </r>
  <r>
    <s v="T01844"/>
    <x v="27"/>
    <x v="1"/>
    <s v="A016"/>
    <x v="0"/>
    <s v="NEW"/>
    <s v="Single"/>
    <s v="DESK"/>
    <s v="VOID"/>
    <n v="120"/>
    <m/>
    <x v="0"/>
  </r>
  <r>
    <s v="T01845"/>
    <x v="27"/>
    <x v="1"/>
    <s v="A016"/>
    <x v="0"/>
    <s v="NEW"/>
    <s v="Single"/>
    <s v="DESK"/>
    <s v="COMPLETED"/>
    <n v="120"/>
    <m/>
    <x v="0"/>
  </r>
  <r>
    <s v="T01846"/>
    <x v="27"/>
    <x v="1"/>
    <s v="A016"/>
    <x v="0"/>
    <s v="NEW"/>
    <s v="Single"/>
    <s v="DESK"/>
    <s v="COMPLETED"/>
    <n v="120"/>
    <m/>
    <x v="0"/>
  </r>
  <r>
    <s v="T01847"/>
    <x v="27"/>
    <x v="1"/>
    <s v="A022"/>
    <x v="0"/>
    <s v="NEW"/>
    <s v="Duo"/>
    <s v="DESK"/>
    <s v="COMPLETED"/>
    <n v="170"/>
    <m/>
    <x v="1"/>
  </r>
  <r>
    <s v="T01848"/>
    <x v="27"/>
    <x v="1"/>
    <s v="A019"/>
    <x v="0"/>
    <s v="NEW"/>
    <s v="Duo"/>
    <s v="DESK"/>
    <s v="COMPLETED"/>
    <n v="200"/>
    <m/>
    <x v="0"/>
  </r>
  <r>
    <s v="T01849"/>
    <x v="27"/>
    <x v="1"/>
    <s v="A023"/>
    <x v="0"/>
    <s v="NEW"/>
    <s v="Circle"/>
    <s v="ONLINE"/>
    <s v="COMPLETED"/>
    <n v="300"/>
    <m/>
    <x v="0"/>
  </r>
  <r>
    <s v="T01850"/>
    <x v="27"/>
    <x v="1"/>
    <s v="A015"/>
    <x v="0"/>
    <s v="NEW"/>
    <s v="Single"/>
    <s v="DESK"/>
    <s v="COMPLETED"/>
    <n v="120"/>
    <m/>
    <x v="0"/>
  </r>
  <r>
    <s v="T01851"/>
    <x v="27"/>
    <x v="1"/>
    <s v="A022"/>
    <x v="0"/>
    <s v="RENEWAL"/>
    <s v="Single"/>
    <s v="DESK"/>
    <s v="COMPLETED"/>
    <n v="102"/>
    <m/>
    <x v="1"/>
  </r>
  <r>
    <s v="T01852"/>
    <x v="27"/>
    <x v="1"/>
    <s v="A020"/>
    <x v="0"/>
    <s v="RENEWAL"/>
    <s v="Duo"/>
    <s v="DESK"/>
    <s v="COMPLETED"/>
    <n v="200"/>
    <m/>
    <x v="0"/>
  </r>
  <r>
    <s v="T01853"/>
    <x v="27"/>
    <x v="1"/>
    <s v="A019"/>
    <x v="0"/>
    <s v="NEW"/>
    <s v="Duo"/>
    <s v="DESK"/>
    <s v="COMPLETED"/>
    <n v="150"/>
    <m/>
    <x v="1"/>
  </r>
  <r>
    <s v="T01854"/>
    <x v="27"/>
    <x v="2"/>
    <s v="A029"/>
    <x v="0"/>
    <s v="NEW"/>
    <s v="Circle"/>
    <s v="DESK"/>
    <s v="VOID"/>
    <n v="225"/>
    <m/>
    <x v="1"/>
  </r>
  <r>
    <s v="T01855"/>
    <x v="27"/>
    <x v="2"/>
    <s v="A036"/>
    <x v="0"/>
    <s v="NEW"/>
    <s v="Duo"/>
    <s v="ONLINE"/>
    <s v="COMPLETED"/>
    <n v="200"/>
    <m/>
    <x v="0"/>
  </r>
  <r>
    <s v="T01856"/>
    <x v="27"/>
    <x v="2"/>
    <s v="A029"/>
    <x v="0"/>
    <s v="NEW"/>
    <s v="Circle"/>
    <s v="DESK"/>
    <s v="COMPLETED"/>
    <n v="300"/>
    <m/>
    <x v="0"/>
  </r>
  <r>
    <s v="T01857"/>
    <x v="27"/>
    <x v="2"/>
    <s v="A025"/>
    <x v="0"/>
    <s v="NEW"/>
    <s v="Circle"/>
    <s v="DESK"/>
    <s v="COMPLETED"/>
    <n v="225"/>
    <m/>
    <x v="1"/>
  </r>
  <r>
    <s v="T01858"/>
    <x v="27"/>
    <x v="2"/>
    <s v="A027"/>
    <x v="0"/>
    <s v="RENEWAL"/>
    <s v="Duo"/>
    <s v="DESK"/>
    <s v="COMPLETED"/>
    <n v="200"/>
    <m/>
    <x v="0"/>
  </r>
  <r>
    <s v="T01859"/>
    <x v="27"/>
    <x v="2"/>
    <s v="A035"/>
    <x v="0"/>
    <s v="NEW"/>
    <s v="Circle"/>
    <s v="DESK"/>
    <s v="COMPLETED"/>
    <n v="300"/>
    <m/>
    <x v="0"/>
  </r>
  <r>
    <s v="T01860"/>
    <x v="27"/>
    <x v="2"/>
    <s v="A032"/>
    <x v="0"/>
    <s v="NEW"/>
    <s v="Single"/>
    <s v="DESK"/>
    <s v="COMPLETED"/>
    <n v="120"/>
    <m/>
    <x v="0"/>
  </r>
  <r>
    <s v="T01861"/>
    <x v="27"/>
    <x v="2"/>
    <s v="A030"/>
    <x v="0"/>
    <s v="NEW"/>
    <s v="Duo"/>
    <s v="DESK"/>
    <s v="COMPLETED"/>
    <n v="200"/>
    <m/>
    <x v="0"/>
  </r>
  <r>
    <s v="T01862"/>
    <x v="27"/>
    <x v="2"/>
    <s v="A036"/>
    <x v="0"/>
    <s v="NEW"/>
    <s v="Duo"/>
    <s v="DESK"/>
    <s v="COMPLETED"/>
    <n v="170"/>
    <m/>
    <x v="1"/>
  </r>
  <r>
    <s v="T01863"/>
    <x v="27"/>
    <x v="2"/>
    <s v="A026"/>
    <x v="0"/>
    <s v="RENEWAL"/>
    <s v="Single"/>
    <s v="DESK"/>
    <s v="COMPLETED"/>
    <n v="120"/>
    <m/>
    <x v="0"/>
  </r>
  <r>
    <s v="T01864"/>
    <x v="27"/>
    <x v="2"/>
    <s v="A028"/>
    <x v="0"/>
    <s v="NEW"/>
    <s v="Circle"/>
    <s v="DESK"/>
    <s v="COMPLETED"/>
    <n v="300"/>
    <m/>
    <x v="0"/>
  </r>
  <r>
    <s v="T01865"/>
    <x v="27"/>
    <x v="2"/>
    <s v="A030"/>
    <x v="0"/>
    <s v="RENEWAL"/>
    <s v="Single"/>
    <s v="ONLINE"/>
    <s v="COMPLETED"/>
    <n v="120"/>
    <m/>
    <x v="0"/>
  </r>
  <r>
    <s v="T01866"/>
    <x v="27"/>
    <x v="2"/>
    <s v="A026"/>
    <x v="0"/>
    <s v="RENEWAL"/>
    <s v="Single"/>
    <s v="DESK"/>
    <s v="PENDING"/>
    <n v="120"/>
    <m/>
    <x v="0"/>
  </r>
  <r>
    <s v="T01867"/>
    <x v="27"/>
    <x v="2"/>
    <s v="A026"/>
    <x v="0"/>
    <s v="NEW"/>
    <s v="Single"/>
    <s v="DESK"/>
    <s v="COMPLETED"/>
    <n v="120"/>
    <m/>
    <x v="0"/>
  </r>
  <r>
    <s v="T01868"/>
    <x v="27"/>
    <x v="2"/>
    <s v="A028"/>
    <x v="0"/>
    <s v="NEW"/>
    <s v="Single"/>
    <s v="ONLINE"/>
    <s v="COMPLETED"/>
    <n v="90"/>
    <m/>
    <x v="1"/>
  </r>
  <r>
    <s v="T01869"/>
    <x v="27"/>
    <x v="3"/>
    <s v="A040"/>
    <x v="0"/>
    <s v="NEW"/>
    <s v="Circle"/>
    <s v="DESK"/>
    <s v="COMPLETED"/>
    <n v="300"/>
    <m/>
    <x v="0"/>
  </r>
  <r>
    <s v="T01870"/>
    <x v="27"/>
    <x v="3"/>
    <s v="A045"/>
    <x v="0"/>
    <s v="NEW"/>
    <s v="Single"/>
    <s v="ONLINE"/>
    <s v="COMPLETED"/>
    <n v="120"/>
    <m/>
    <x v="0"/>
  </r>
  <r>
    <s v="T01871"/>
    <x v="27"/>
    <x v="3"/>
    <s v="A043"/>
    <x v="0"/>
    <s v="NEW"/>
    <s v="Circle"/>
    <s v="DESK"/>
    <s v="COMPLETED"/>
    <n v="300"/>
    <m/>
    <x v="0"/>
  </r>
  <r>
    <s v="T01872"/>
    <x v="27"/>
    <x v="3"/>
    <s v="A046"/>
    <x v="0"/>
    <s v="NEW"/>
    <s v="Single"/>
    <s v="DESK"/>
    <s v="COMPLETED"/>
    <n v="120"/>
    <m/>
    <x v="0"/>
  </r>
  <r>
    <s v="T01873"/>
    <x v="27"/>
    <x v="3"/>
    <s v="A041"/>
    <x v="0"/>
    <s v="RENEWAL"/>
    <s v="Duo"/>
    <s v="DESK"/>
    <s v="COMPLETED"/>
    <n v="200"/>
    <m/>
    <x v="0"/>
  </r>
  <r>
    <s v="T01874"/>
    <x v="27"/>
    <x v="3"/>
    <s v="A047"/>
    <x v="0"/>
    <s v="NEW"/>
    <s v="Circle"/>
    <s v="DESK"/>
    <s v="COMPLETED"/>
    <n v="300"/>
    <m/>
    <x v="0"/>
  </r>
  <r>
    <s v="T01875"/>
    <x v="27"/>
    <x v="3"/>
    <s v="A048"/>
    <x v="0"/>
    <s v="NEW"/>
    <s v="Single"/>
    <s v="DESK"/>
    <s v="COMPLETED"/>
    <n v="102"/>
    <m/>
    <x v="1"/>
  </r>
  <r>
    <s v="T01876"/>
    <x v="27"/>
    <x v="3"/>
    <s v="A044"/>
    <x v="0"/>
    <s v="NEW"/>
    <s v="Circle"/>
    <s v="ONLINE"/>
    <s v="COMPLETED"/>
    <n v="300"/>
    <m/>
    <x v="0"/>
  </r>
  <r>
    <s v="T01877"/>
    <x v="27"/>
    <x v="3"/>
    <s v="A043"/>
    <x v="0"/>
    <s v="RENEWAL"/>
    <s v="Single"/>
    <s v="DESK"/>
    <s v="COMPLETED"/>
    <n v="120"/>
    <m/>
    <x v="0"/>
  </r>
  <r>
    <s v="T01878"/>
    <x v="27"/>
    <x v="3"/>
    <s v="A042"/>
    <x v="0"/>
    <s v="RENEWAL"/>
    <s v="Circle"/>
    <s v="DESK"/>
    <s v="VOID"/>
    <n v="300"/>
    <m/>
    <x v="0"/>
  </r>
  <r>
    <s v="T01879"/>
    <x v="27"/>
    <x v="3"/>
    <s v="A044"/>
    <x v="0"/>
    <s v="NEW"/>
    <s v="Circle"/>
    <s v="ONLINE"/>
    <s v="COMPLETED"/>
    <n v="300"/>
    <m/>
    <x v="0"/>
  </r>
  <r>
    <s v="T01880"/>
    <x v="27"/>
    <x v="3"/>
    <s v="A041"/>
    <x v="0"/>
    <s v="NEW"/>
    <s v="Duo"/>
    <s v="ONLINE"/>
    <s v="COMPLETED"/>
    <n v="200"/>
    <m/>
    <x v="0"/>
  </r>
  <r>
    <s v="T01881"/>
    <x v="27"/>
    <x v="3"/>
    <s v="A038"/>
    <x v="0"/>
    <s v="RENEWAL"/>
    <s v="Duo"/>
    <s v="DESK"/>
    <s v="COMPLETED"/>
    <n v="200"/>
    <m/>
    <x v="0"/>
  </r>
  <r>
    <s v="T01882"/>
    <x v="27"/>
    <x v="3"/>
    <s v="A037"/>
    <x v="0"/>
    <s v="NEW"/>
    <s v="Circle"/>
    <s v="DESK"/>
    <s v="COMPLETED"/>
    <n v="225"/>
    <m/>
    <x v="1"/>
  </r>
  <r>
    <s v="T02013"/>
    <x v="27"/>
    <x v="2"/>
    <s v="A035"/>
    <x v="1"/>
    <s v="NEW"/>
    <s v="Circle"/>
    <s v="DESK"/>
    <s v="COMPLETED"/>
    <n v="225"/>
    <s v="T01157"/>
    <x v="2"/>
  </r>
  <r>
    <s v="T02023"/>
    <x v="27"/>
    <x v="2"/>
    <s v="A030"/>
    <x v="1"/>
    <s v="NEW"/>
    <s v="Circle"/>
    <s v="DESK"/>
    <s v="COMPLETED"/>
    <n v="225"/>
    <s v="T01167"/>
    <x v="2"/>
  </r>
  <r>
    <s v="T02027"/>
    <x v="27"/>
    <x v="2"/>
    <s v="A031"/>
    <x v="1"/>
    <s v="NEW"/>
    <s v="Circle"/>
    <s v="DESK"/>
    <s v="COMPLETED"/>
    <n v="225"/>
    <s v="T01237"/>
    <x v="2"/>
  </r>
  <r>
    <s v="T02029"/>
    <x v="27"/>
    <x v="2"/>
    <s v="A025"/>
    <x v="1"/>
    <s v="NEW"/>
    <s v="Circle"/>
    <s v="DESK"/>
    <s v="COMPLETED"/>
    <n v="225"/>
    <s v="T01239"/>
    <x v="2"/>
  </r>
  <r>
    <s v="T02043"/>
    <x v="27"/>
    <x v="2"/>
    <s v="A036"/>
    <x v="1"/>
    <s v="NEW"/>
    <s v="Circle"/>
    <s v="DESK"/>
    <s v="COMPLETED"/>
    <n v="225"/>
    <s v="T01318"/>
    <x v="2"/>
  </r>
  <r>
    <s v="T02051"/>
    <x v="27"/>
    <x v="2"/>
    <s v="A029"/>
    <x v="1"/>
    <s v="NEW"/>
    <s v="Circle"/>
    <s v="DESK"/>
    <s v="COMPLETED"/>
    <n v="225"/>
    <s v="T01326"/>
    <x v="2"/>
  </r>
  <r>
    <s v="T02056"/>
    <x v="27"/>
    <x v="2"/>
    <s v="A036"/>
    <x v="1"/>
    <s v="NEW"/>
    <s v="Circle"/>
    <s v="DESK"/>
    <s v="COMPLETED"/>
    <n v="225"/>
    <s v="T01331"/>
    <x v="2"/>
  </r>
  <r>
    <s v="T02061"/>
    <x v="27"/>
    <x v="2"/>
    <s v="A026"/>
    <x v="1"/>
    <s v="NEW"/>
    <s v="Circle"/>
    <s v="DESK"/>
    <s v="COMPLETED"/>
    <n v="225"/>
    <s v="T01336"/>
    <x v="2"/>
  </r>
  <r>
    <s v="T02072"/>
    <x v="27"/>
    <x v="3"/>
    <s v="A046"/>
    <x v="1"/>
    <s v="NEW"/>
    <s v="Single"/>
    <s v="DESK"/>
    <s v="COMPLETED"/>
    <n v="120"/>
    <s v="T01429"/>
    <x v="0"/>
  </r>
  <r>
    <s v="T01883"/>
    <x v="28"/>
    <x v="0"/>
    <s v="A006"/>
    <x v="0"/>
    <s v="NEW"/>
    <s v="Circle"/>
    <s v="DESK"/>
    <s v="COMPLETED"/>
    <n v="225"/>
    <m/>
    <x v="1"/>
  </r>
  <r>
    <s v="T01884"/>
    <x v="28"/>
    <x v="0"/>
    <s v="A006"/>
    <x v="0"/>
    <s v="NEW"/>
    <s v="Circle"/>
    <s v="DESK"/>
    <s v="COMPLETED"/>
    <n v="300"/>
    <m/>
    <x v="0"/>
  </r>
  <r>
    <s v="T01885"/>
    <x v="28"/>
    <x v="0"/>
    <s v="A001"/>
    <x v="0"/>
    <s v="NEW"/>
    <s v="Circle"/>
    <s v="DESK"/>
    <s v="COMPLETED"/>
    <n v="300"/>
    <m/>
    <x v="0"/>
  </r>
  <r>
    <s v="T01886"/>
    <x v="28"/>
    <x v="0"/>
    <s v="A005"/>
    <x v="0"/>
    <s v="NEW"/>
    <s v="Duo"/>
    <s v="DESK"/>
    <s v="COMPLETED"/>
    <n v="200"/>
    <m/>
    <x v="0"/>
  </r>
  <r>
    <s v="T01887"/>
    <x v="28"/>
    <x v="0"/>
    <s v="A001"/>
    <x v="0"/>
    <s v="NEW"/>
    <s v="Single"/>
    <s v="DESK"/>
    <s v="COMPLETED"/>
    <n v="120"/>
    <m/>
    <x v="0"/>
  </r>
  <r>
    <s v="T01888"/>
    <x v="28"/>
    <x v="0"/>
    <s v="A005"/>
    <x v="0"/>
    <s v="NEW"/>
    <s v="Duo"/>
    <s v="ONLINE"/>
    <s v="COMPLETED"/>
    <n v="170"/>
    <m/>
    <x v="1"/>
  </r>
  <r>
    <s v="T01889"/>
    <x v="28"/>
    <x v="0"/>
    <s v="A009"/>
    <x v="0"/>
    <s v="NEW"/>
    <s v="Duo"/>
    <s v="ONLINE"/>
    <s v="COMPLETED"/>
    <n v="200"/>
    <m/>
    <x v="0"/>
  </r>
  <r>
    <s v="T01890"/>
    <x v="28"/>
    <x v="0"/>
    <s v="A007"/>
    <x v="0"/>
    <s v="NEW"/>
    <s v="Circle"/>
    <s v="DESK"/>
    <s v="COMPLETED"/>
    <n v="225"/>
    <m/>
    <x v="1"/>
  </r>
  <r>
    <s v="T01891"/>
    <x v="28"/>
    <x v="0"/>
    <s v="A011"/>
    <x v="0"/>
    <s v="NEW"/>
    <s v="Single"/>
    <s v="DESK"/>
    <s v="COMPLETED"/>
    <n v="90"/>
    <m/>
    <x v="1"/>
  </r>
  <r>
    <s v="T01892"/>
    <x v="28"/>
    <x v="0"/>
    <s v="A004"/>
    <x v="0"/>
    <s v="NEW"/>
    <s v="Duo"/>
    <s v="DESK"/>
    <s v="COMPLETED"/>
    <n v="200"/>
    <m/>
    <x v="0"/>
  </r>
  <r>
    <s v="T01893"/>
    <x v="28"/>
    <x v="0"/>
    <s v="A002"/>
    <x v="0"/>
    <s v="NEW"/>
    <s v="Single"/>
    <s v="DESK"/>
    <s v="COMPLETED"/>
    <n v="120"/>
    <m/>
    <x v="0"/>
  </r>
  <r>
    <s v="T01894"/>
    <x v="28"/>
    <x v="0"/>
    <s v="A005"/>
    <x v="0"/>
    <s v="NEW"/>
    <s v="Circle"/>
    <s v="DESK"/>
    <s v="COMPLETED"/>
    <n v="300"/>
    <m/>
    <x v="0"/>
  </r>
  <r>
    <s v="T01895"/>
    <x v="28"/>
    <x v="0"/>
    <s v="A009"/>
    <x v="0"/>
    <s v="NEW"/>
    <s v="Single"/>
    <s v="DESK"/>
    <s v="COMPLETED"/>
    <n v="102"/>
    <m/>
    <x v="1"/>
  </r>
  <r>
    <s v="T01896"/>
    <x v="28"/>
    <x v="0"/>
    <s v="A009"/>
    <x v="0"/>
    <s v="NEW"/>
    <s v="Single"/>
    <s v="DESK"/>
    <s v="COMPLETED"/>
    <n v="120"/>
    <m/>
    <x v="0"/>
  </r>
  <r>
    <s v="T01897"/>
    <x v="28"/>
    <x v="1"/>
    <s v="A014"/>
    <x v="0"/>
    <s v="NEW"/>
    <s v="Single"/>
    <s v="DESK"/>
    <s v="COMPLETED"/>
    <n v="120"/>
    <m/>
    <x v="0"/>
  </r>
  <r>
    <s v="T01898"/>
    <x v="28"/>
    <x v="1"/>
    <s v="A018"/>
    <x v="0"/>
    <s v="NEW"/>
    <s v="Circle"/>
    <s v="DESK"/>
    <s v="COMPLETED"/>
    <n v="300"/>
    <m/>
    <x v="0"/>
  </r>
  <r>
    <s v="T01899"/>
    <x v="28"/>
    <x v="1"/>
    <s v="A019"/>
    <x v="0"/>
    <s v="NEW"/>
    <s v="Circle"/>
    <s v="DESK"/>
    <s v="COMPLETED"/>
    <n v="300"/>
    <m/>
    <x v="0"/>
  </r>
  <r>
    <s v="T01900"/>
    <x v="28"/>
    <x v="1"/>
    <s v="A019"/>
    <x v="0"/>
    <s v="RENEWAL"/>
    <s v="Duo"/>
    <s v="DESK"/>
    <s v="COMPLETED"/>
    <n v="200"/>
    <m/>
    <x v="0"/>
  </r>
  <r>
    <s v="T01901"/>
    <x v="28"/>
    <x v="1"/>
    <s v="A023"/>
    <x v="0"/>
    <s v="NEW"/>
    <s v="Circle"/>
    <s v="DESK"/>
    <s v="COMPLETED"/>
    <n v="300"/>
    <m/>
    <x v="0"/>
  </r>
  <r>
    <s v="T01902"/>
    <x v="28"/>
    <x v="1"/>
    <s v="A020"/>
    <x v="0"/>
    <s v="NEW"/>
    <s v="Circle"/>
    <s v="DESK"/>
    <s v="COMPLETED"/>
    <n v="300"/>
    <m/>
    <x v="0"/>
  </r>
  <r>
    <s v="T01903"/>
    <x v="28"/>
    <x v="1"/>
    <s v="A018"/>
    <x v="0"/>
    <s v="RENEWAL"/>
    <s v="Circle"/>
    <s v="DESK"/>
    <s v="COMPLETED"/>
    <n v="300"/>
    <m/>
    <x v="0"/>
  </r>
  <r>
    <s v="T01904"/>
    <x v="28"/>
    <x v="1"/>
    <s v="A023"/>
    <x v="0"/>
    <s v="NEW"/>
    <s v="Circle"/>
    <s v="DESK"/>
    <s v="COMPLETED"/>
    <n v="300"/>
    <m/>
    <x v="0"/>
  </r>
  <r>
    <s v="T01905"/>
    <x v="28"/>
    <x v="1"/>
    <s v="A018"/>
    <x v="0"/>
    <s v="NEW"/>
    <s v="Circle"/>
    <s v="DESK"/>
    <s v="COMPLETED"/>
    <n v="300"/>
    <m/>
    <x v="0"/>
  </r>
  <r>
    <s v="T01906"/>
    <x v="28"/>
    <x v="1"/>
    <s v="A020"/>
    <x v="0"/>
    <s v="NEW"/>
    <s v="Duo"/>
    <s v="DESK"/>
    <s v="COMPLETED"/>
    <n v="200"/>
    <m/>
    <x v="0"/>
  </r>
  <r>
    <s v="T01907"/>
    <x v="28"/>
    <x v="1"/>
    <s v="A019"/>
    <x v="0"/>
    <s v="NEW"/>
    <s v="Single"/>
    <s v="DESK"/>
    <s v="COMPLETED"/>
    <n v="120"/>
    <m/>
    <x v="0"/>
  </r>
  <r>
    <s v="T01908"/>
    <x v="28"/>
    <x v="1"/>
    <s v="A014"/>
    <x v="0"/>
    <s v="NEW"/>
    <s v="Duo"/>
    <s v="DESK"/>
    <s v="COMPLETED"/>
    <n v="200"/>
    <m/>
    <x v="0"/>
  </r>
  <r>
    <s v="T01909"/>
    <x v="28"/>
    <x v="1"/>
    <s v="A024"/>
    <x v="0"/>
    <s v="RENEWAL"/>
    <s v="Circle"/>
    <s v="DESK"/>
    <s v="PENDING"/>
    <n v="300"/>
    <m/>
    <x v="0"/>
  </r>
  <r>
    <s v="T01910"/>
    <x v="28"/>
    <x v="1"/>
    <s v="A024"/>
    <x v="0"/>
    <s v="NEW"/>
    <s v="Single"/>
    <s v="DESK"/>
    <s v="COMPLETED"/>
    <n v="120"/>
    <m/>
    <x v="0"/>
  </r>
  <r>
    <s v="T01911"/>
    <x v="28"/>
    <x v="1"/>
    <s v="A015"/>
    <x v="0"/>
    <s v="RENEWAL"/>
    <s v="Circle"/>
    <s v="DESK"/>
    <s v="PENDING"/>
    <n v="255"/>
    <m/>
    <x v="1"/>
  </r>
  <r>
    <s v="T01912"/>
    <x v="28"/>
    <x v="1"/>
    <s v="A018"/>
    <x v="0"/>
    <s v="NEW"/>
    <s v="Circle"/>
    <s v="DESK"/>
    <s v="COMPLETED"/>
    <n v="255"/>
    <m/>
    <x v="1"/>
  </r>
  <r>
    <s v="T01913"/>
    <x v="28"/>
    <x v="1"/>
    <s v="A021"/>
    <x v="0"/>
    <s v="NEW"/>
    <s v="Duo"/>
    <s v="DESK"/>
    <s v="COMPLETED"/>
    <n v="200"/>
    <m/>
    <x v="0"/>
  </r>
  <r>
    <s v="T01914"/>
    <x v="28"/>
    <x v="1"/>
    <s v="A019"/>
    <x v="0"/>
    <s v="NEW"/>
    <s v="Circle"/>
    <s v="DESK"/>
    <s v="COMPLETED"/>
    <n v="300"/>
    <m/>
    <x v="0"/>
  </r>
  <r>
    <s v="T01915"/>
    <x v="28"/>
    <x v="2"/>
    <s v="A036"/>
    <x v="0"/>
    <s v="NEW"/>
    <s v="Duo"/>
    <s v="ONLINE"/>
    <s v="COMPLETED"/>
    <n v="200"/>
    <m/>
    <x v="0"/>
  </r>
  <r>
    <s v="T01916"/>
    <x v="28"/>
    <x v="2"/>
    <s v="A030"/>
    <x v="0"/>
    <s v="NEW"/>
    <s v="Circle"/>
    <s v="DESK"/>
    <s v="COMPLETED"/>
    <n v="300"/>
    <m/>
    <x v="0"/>
  </r>
  <r>
    <s v="T01917"/>
    <x v="28"/>
    <x v="2"/>
    <s v="A034"/>
    <x v="0"/>
    <s v="NEW"/>
    <s v="Circle"/>
    <s v="ONLINE"/>
    <s v="COMPLETED"/>
    <n v="255"/>
    <m/>
    <x v="1"/>
  </r>
  <r>
    <s v="T01918"/>
    <x v="28"/>
    <x v="2"/>
    <s v="A033"/>
    <x v="0"/>
    <s v="RENEWAL"/>
    <s v="Circle"/>
    <s v="DESK"/>
    <s v="COMPLETED"/>
    <n v="300"/>
    <m/>
    <x v="0"/>
  </r>
  <r>
    <s v="T01919"/>
    <x v="28"/>
    <x v="2"/>
    <s v="A028"/>
    <x v="0"/>
    <s v="NEW"/>
    <s v="Single"/>
    <s v="DESK"/>
    <s v="COMPLETED"/>
    <n v="120"/>
    <m/>
    <x v="0"/>
  </r>
  <r>
    <s v="T01920"/>
    <x v="28"/>
    <x v="2"/>
    <s v="A036"/>
    <x v="0"/>
    <s v="NEW"/>
    <s v="Single"/>
    <s v="DESK"/>
    <s v="COMPLETED"/>
    <n v="90"/>
    <m/>
    <x v="1"/>
  </r>
  <r>
    <s v="T01921"/>
    <x v="28"/>
    <x v="2"/>
    <s v="A031"/>
    <x v="0"/>
    <s v="RENEWAL"/>
    <s v="Duo"/>
    <s v="DESK"/>
    <s v="COMPLETED"/>
    <n v="200"/>
    <m/>
    <x v="0"/>
  </r>
  <r>
    <s v="T01922"/>
    <x v="28"/>
    <x v="2"/>
    <s v="A025"/>
    <x v="0"/>
    <s v="RENEWAL"/>
    <s v="Circle"/>
    <s v="DESK"/>
    <s v="PENDING"/>
    <n v="225"/>
    <m/>
    <x v="1"/>
  </r>
  <r>
    <s v="T01923"/>
    <x v="28"/>
    <x v="2"/>
    <s v="A034"/>
    <x v="0"/>
    <s v="NEW"/>
    <s v="Circle"/>
    <s v="DESK"/>
    <s v="COMPLETED"/>
    <n v="300"/>
    <m/>
    <x v="0"/>
  </r>
  <r>
    <s v="T01924"/>
    <x v="28"/>
    <x v="2"/>
    <s v="A029"/>
    <x v="0"/>
    <s v="NEW"/>
    <s v="Single"/>
    <s v="DESK"/>
    <s v="COMPLETED"/>
    <n v="90"/>
    <m/>
    <x v="1"/>
  </r>
  <r>
    <s v="T01925"/>
    <x v="28"/>
    <x v="2"/>
    <s v="A030"/>
    <x v="0"/>
    <s v="RENEWAL"/>
    <s v="Circle"/>
    <s v="DESK"/>
    <s v="COMPLETED"/>
    <n v="300"/>
    <m/>
    <x v="0"/>
  </r>
  <r>
    <s v="T01926"/>
    <x v="28"/>
    <x v="2"/>
    <s v="A026"/>
    <x v="0"/>
    <s v="NEW"/>
    <s v="Duo"/>
    <s v="ONLINE"/>
    <s v="VOID"/>
    <n v="200"/>
    <m/>
    <x v="0"/>
  </r>
  <r>
    <s v="T01927"/>
    <x v="28"/>
    <x v="2"/>
    <s v="A035"/>
    <x v="0"/>
    <s v="NEW"/>
    <s v="Single"/>
    <s v="DESK"/>
    <s v="COMPLETED"/>
    <n v="102"/>
    <m/>
    <x v="1"/>
  </r>
  <r>
    <s v="T01928"/>
    <x v="28"/>
    <x v="2"/>
    <s v="A034"/>
    <x v="0"/>
    <s v="RENEWAL"/>
    <s v="Duo"/>
    <s v="DESK"/>
    <s v="COMPLETED"/>
    <n v="200"/>
    <m/>
    <x v="0"/>
  </r>
  <r>
    <s v="T01929"/>
    <x v="28"/>
    <x v="3"/>
    <s v="A042"/>
    <x v="0"/>
    <s v="NEW"/>
    <s v="Single"/>
    <s v="DESK"/>
    <s v="COMPLETED"/>
    <n v="120"/>
    <m/>
    <x v="0"/>
  </r>
  <r>
    <s v="T01930"/>
    <x v="28"/>
    <x v="3"/>
    <s v="A040"/>
    <x v="0"/>
    <s v="NEW"/>
    <s v="Duo"/>
    <s v="ONLINE"/>
    <s v="COMPLETED"/>
    <n v="200"/>
    <m/>
    <x v="0"/>
  </r>
  <r>
    <s v="T01931"/>
    <x v="28"/>
    <x v="3"/>
    <s v="A044"/>
    <x v="0"/>
    <s v="RENEWAL"/>
    <s v="Single"/>
    <s v="DESK"/>
    <s v="COMPLETED"/>
    <n v="120"/>
    <m/>
    <x v="0"/>
  </r>
  <r>
    <s v="T01932"/>
    <x v="28"/>
    <x v="3"/>
    <s v="A037"/>
    <x v="0"/>
    <s v="NEW"/>
    <s v="Single"/>
    <s v="DESK"/>
    <s v="COMPLETED"/>
    <n v="120"/>
    <m/>
    <x v="0"/>
  </r>
  <r>
    <s v="T01933"/>
    <x v="28"/>
    <x v="3"/>
    <s v="A043"/>
    <x v="0"/>
    <s v="NEW"/>
    <s v="Duo"/>
    <s v="DESK"/>
    <s v="COMPLETED"/>
    <n v="200"/>
    <m/>
    <x v="0"/>
  </r>
  <r>
    <s v="T01934"/>
    <x v="28"/>
    <x v="3"/>
    <s v="A047"/>
    <x v="0"/>
    <s v="NEW"/>
    <s v="Duo"/>
    <s v="ONLINE"/>
    <s v="COMPLETED"/>
    <n v="150"/>
    <m/>
    <x v="1"/>
  </r>
  <r>
    <s v="T01935"/>
    <x v="28"/>
    <x v="3"/>
    <s v="A045"/>
    <x v="0"/>
    <s v="NEW"/>
    <s v="Circle"/>
    <s v="DESK"/>
    <s v="VOID"/>
    <n v="300"/>
    <m/>
    <x v="0"/>
  </r>
  <r>
    <s v="T01936"/>
    <x v="28"/>
    <x v="3"/>
    <s v="A043"/>
    <x v="0"/>
    <s v="NEW"/>
    <s v="Circle"/>
    <s v="ONLINE"/>
    <s v="COMPLETED"/>
    <n v="300"/>
    <m/>
    <x v="0"/>
  </r>
  <r>
    <s v="T01937"/>
    <x v="28"/>
    <x v="3"/>
    <s v="A037"/>
    <x v="0"/>
    <s v="NEW"/>
    <s v="Duo"/>
    <s v="DESK"/>
    <s v="COMPLETED"/>
    <n v="200"/>
    <m/>
    <x v="0"/>
  </r>
  <r>
    <s v="T01938"/>
    <x v="28"/>
    <x v="3"/>
    <s v="A042"/>
    <x v="0"/>
    <s v="NEW"/>
    <s v="Duo"/>
    <s v="DESK"/>
    <s v="COMPLETED"/>
    <n v="200"/>
    <m/>
    <x v="0"/>
  </r>
  <r>
    <s v="T01939"/>
    <x v="28"/>
    <x v="3"/>
    <s v="A042"/>
    <x v="0"/>
    <s v="NEW"/>
    <s v="Circle"/>
    <s v="DESK"/>
    <s v="COMPLETED"/>
    <n v="255"/>
    <m/>
    <x v="1"/>
  </r>
  <r>
    <s v="T01940"/>
    <x v="28"/>
    <x v="3"/>
    <s v="A040"/>
    <x v="0"/>
    <s v="NEW"/>
    <s v="Duo"/>
    <s v="DESK"/>
    <s v="COMPLETED"/>
    <n v="200"/>
    <m/>
    <x v="0"/>
  </r>
  <r>
    <s v="T01941"/>
    <x v="28"/>
    <x v="3"/>
    <s v="A048"/>
    <x v="0"/>
    <s v="NEW"/>
    <s v="Single"/>
    <s v="ONLINE"/>
    <s v="COMPLETED"/>
    <n v="120"/>
    <m/>
    <x v="0"/>
  </r>
  <r>
    <s v="T02071"/>
    <x v="28"/>
    <x v="1"/>
    <s v="A018"/>
    <x v="1"/>
    <s v="RENEWAL"/>
    <s v="Circle"/>
    <s v="DESK"/>
    <s v="COMPLETED"/>
    <n v="300"/>
    <s v="T01456"/>
    <x v="0"/>
  </r>
  <r>
    <s v="T02105"/>
    <x v="28"/>
    <x v="0"/>
    <s v="A002"/>
    <x v="1"/>
    <s v="RENEWAL"/>
    <s v="Circle"/>
    <s v="DESK"/>
    <s v="COMPLETED"/>
    <n v="300"/>
    <s v="T01505"/>
    <x v="0"/>
  </r>
  <r>
    <s v="T02118"/>
    <x v="28"/>
    <x v="0"/>
    <s v="A002"/>
    <x v="1"/>
    <s v="NEW"/>
    <s v="Duo"/>
    <s v="DESK"/>
    <s v="COMPLETED"/>
    <n v="200"/>
    <s v="T00029"/>
    <x v="0"/>
  </r>
  <r>
    <s v="T01942"/>
    <x v="29"/>
    <x v="0"/>
    <s v="A011"/>
    <x v="0"/>
    <s v="RENEWAL"/>
    <s v="Duo"/>
    <s v="DESK"/>
    <s v="COMPLETED"/>
    <n v="200"/>
    <m/>
    <x v="0"/>
  </r>
  <r>
    <s v="T01943"/>
    <x v="29"/>
    <x v="0"/>
    <s v="A003"/>
    <x v="0"/>
    <s v="NEW"/>
    <s v="Duo"/>
    <s v="DESK"/>
    <s v="COMPLETED"/>
    <n v="170"/>
    <m/>
    <x v="1"/>
  </r>
  <r>
    <s v="T01944"/>
    <x v="29"/>
    <x v="0"/>
    <s v="A010"/>
    <x v="0"/>
    <s v="NEW"/>
    <s v="Circle"/>
    <s v="DESK"/>
    <s v="COMPLETED"/>
    <n v="255"/>
    <m/>
    <x v="1"/>
  </r>
  <r>
    <s v="T01945"/>
    <x v="29"/>
    <x v="0"/>
    <s v="A008"/>
    <x v="0"/>
    <s v="NEW"/>
    <s v="Duo"/>
    <s v="ONLINE"/>
    <s v="COMPLETED"/>
    <n v="200"/>
    <m/>
    <x v="0"/>
  </r>
  <r>
    <s v="T01946"/>
    <x v="29"/>
    <x v="0"/>
    <s v="A012"/>
    <x v="0"/>
    <s v="NEW"/>
    <s v="Duo"/>
    <s v="DESK"/>
    <s v="COMPLETED"/>
    <n v="200"/>
    <m/>
    <x v="0"/>
  </r>
  <r>
    <s v="T01947"/>
    <x v="29"/>
    <x v="0"/>
    <s v="A009"/>
    <x v="0"/>
    <s v="NEW"/>
    <s v="Duo"/>
    <s v="DESK"/>
    <s v="COMPLETED"/>
    <n v="200"/>
    <m/>
    <x v="0"/>
  </r>
  <r>
    <s v="T01948"/>
    <x v="29"/>
    <x v="0"/>
    <s v="A003"/>
    <x v="0"/>
    <s v="NEW"/>
    <s v="Single"/>
    <s v="DESK"/>
    <s v="PENDING"/>
    <n v="90"/>
    <m/>
    <x v="1"/>
  </r>
  <r>
    <s v="T01949"/>
    <x v="29"/>
    <x v="0"/>
    <s v="A006"/>
    <x v="0"/>
    <s v="NEW"/>
    <s v="Duo"/>
    <s v="DESK"/>
    <s v="COMPLETED"/>
    <n v="200"/>
    <m/>
    <x v="0"/>
  </r>
  <r>
    <s v="T01950"/>
    <x v="29"/>
    <x v="0"/>
    <s v="A006"/>
    <x v="0"/>
    <s v="NEW"/>
    <s v="Single"/>
    <s v="DESK"/>
    <s v="COMPLETED"/>
    <n v="90"/>
    <m/>
    <x v="1"/>
  </r>
  <r>
    <s v="T01951"/>
    <x v="29"/>
    <x v="0"/>
    <s v="A005"/>
    <x v="0"/>
    <s v="NEW"/>
    <s v="Duo"/>
    <s v="ONLINE"/>
    <s v="COMPLETED"/>
    <n v="200"/>
    <m/>
    <x v="0"/>
  </r>
  <r>
    <s v="T01952"/>
    <x v="29"/>
    <x v="0"/>
    <s v="A007"/>
    <x v="0"/>
    <s v="NEW"/>
    <s v="Single"/>
    <s v="DESK"/>
    <s v="COMPLETED"/>
    <n v="102"/>
    <m/>
    <x v="1"/>
  </r>
  <r>
    <s v="T01953"/>
    <x v="29"/>
    <x v="0"/>
    <s v="A004"/>
    <x v="0"/>
    <s v="NEW"/>
    <s v="Circle"/>
    <s v="ONLINE"/>
    <s v="COMPLETED"/>
    <n v="300"/>
    <m/>
    <x v="0"/>
  </r>
  <r>
    <s v="T01954"/>
    <x v="29"/>
    <x v="0"/>
    <s v="A007"/>
    <x v="0"/>
    <s v="NEW"/>
    <s v="Circle"/>
    <s v="DESK"/>
    <s v="COMPLETED"/>
    <n v="300"/>
    <m/>
    <x v="0"/>
  </r>
  <r>
    <s v="T01955"/>
    <x v="29"/>
    <x v="0"/>
    <s v="A005"/>
    <x v="0"/>
    <s v="RENEWAL"/>
    <s v="Circle"/>
    <s v="DESK"/>
    <s v="COMPLETED"/>
    <n v="300"/>
    <m/>
    <x v="0"/>
  </r>
  <r>
    <s v="T01956"/>
    <x v="29"/>
    <x v="0"/>
    <s v="A006"/>
    <x v="0"/>
    <s v="RENEWAL"/>
    <s v="Single"/>
    <s v="DESK"/>
    <s v="COMPLETED"/>
    <n v="120"/>
    <m/>
    <x v="0"/>
  </r>
  <r>
    <s v="T01957"/>
    <x v="29"/>
    <x v="0"/>
    <s v="A010"/>
    <x v="0"/>
    <s v="NEW"/>
    <s v="Circle"/>
    <s v="ONLINE"/>
    <s v="COMPLETED"/>
    <n v="300"/>
    <m/>
    <x v="0"/>
  </r>
  <r>
    <s v="T01958"/>
    <x v="29"/>
    <x v="0"/>
    <s v="A003"/>
    <x v="0"/>
    <s v="NEW"/>
    <s v="Circle"/>
    <s v="DESK"/>
    <s v="COMPLETED"/>
    <n v="225"/>
    <m/>
    <x v="1"/>
  </r>
  <r>
    <s v="T01959"/>
    <x v="29"/>
    <x v="1"/>
    <s v="A016"/>
    <x v="0"/>
    <s v="NEW"/>
    <s v="Circle"/>
    <s v="DESK"/>
    <s v="COMPLETED"/>
    <n v="300"/>
    <m/>
    <x v="0"/>
  </r>
  <r>
    <s v="T01960"/>
    <x v="29"/>
    <x v="1"/>
    <s v="A023"/>
    <x v="0"/>
    <s v="NEW"/>
    <s v="Duo"/>
    <s v="DESK"/>
    <s v="COMPLETED"/>
    <n v="200"/>
    <m/>
    <x v="0"/>
  </r>
  <r>
    <s v="T01961"/>
    <x v="29"/>
    <x v="1"/>
    <s v="A015"/>
    <x v="0"/>
    <s v="NEW"/>
    <s v="Duo"/>
    <s v="DESK"/>
    <s v="COMPLETED"/>
    <n v="200"/>
    <m/>
    <x v="0"/>
  </r>
  <r>
    <s v="T01962"/>
    <x v="29"/>
    <x v="1"/>
    <s v="A014"/>
    <x v="0"/>
    <s v="NEW"/>
    <s v="Duo"/>
    <s v="DESK"/>
    <s v="COMPLETED"/>
    <n v="200"/>
    <m/>
    <x v="0"/>
  </r>
  <r>
    <s v="T01963"/>
    <x v="29"/>
    <x v="1"/>
    <s v="A021"/>
    <x v="0"/>
    <s v="NEW"/>
    <s v="Circle"/>
    <s v="DESK"/>
    <s v="COMPLETED"/>
    <n v="300"/>
    <m/>
    <x v="0"/>
  </r>
  <r>
    <s v="T01964"/>
    <x v="29"/>
    <x v="1"/>
    <s v="A021"/>
    <x v="0"/>
    <s v="NEW"/>
    <s v="Single"/>
    <s v="DESK"/>
    <s v="COMPLETED"/>
    <n v="120"/>
    <m/>
    <x v="0"/>
  </r>
  <r>
    <s v="T01965"/>
    <x v="29"/>
    <x v="1"/>
    <s v="A018"/>
    <x v="0"/>
    <s v="RENEWAL"/>
    <s v="Duo"/>
    <s v="DESK"/>
    <s v="COMPLETED"/>
    <n v="200"/>
    <m/>
    <x v="0"/>
  </r>
  <r>
    <s v="T01966"/>
    <x v="29"/>
    <x v="1"/>
    <s v="A021"/>
    <x v="0"/>
    <s v="NEW"/>
    <s v="Circle"/>
    <s v="DESK"/>
    <s v="PENDING"/>
    <n v="300"/>
    <m/>
    <x v="0"/>
  </r>
  <r>
    <s v="T01967"/>
    <x v="29"/>
    <x v="1"/>
    <s v="A018"/>
    <x v="0"/>
    <s v="NEW"/>
    <s v="Duo"/>
    <s v="DESK"/>
    <s v="COMPLETED"/>
    <n v="150"/>
    <m/>
    <x v="1"/>
  </r>
  <r>
    <s v="T01968"/>
    <x v="29"/>
    <x v="1"/>
    <s v="A024"/>
    <x v="0"/>
    <s v="NEW"/>
    <s v="Circle"/>
    <s v="DESK"/>
    <s v="COMPLETED"/>
    <n v="300"/>
    <m/>
    <x v="0"/>
  </r>
  <r>
    <s v="T01969"/>
    <x v="29"/>
    <x v="1"/>
    <s v="A015"/>
    <x v="0"/>
    <s v="RENEWAL"/>
    <s v="Duo"/>
    <s v="DESK"/>
    <s v="COMPLETED"/>
    <n v="200"/>
    <m/>
    <x v="0"/>
  </r>
  <r>
    <s v="T01970"/>
    <x v="29"/>
    <x v="1"/>
    <s v="A022"/>
    <x v="0"/>
    <s v="NEW"/>
    <s v="Circle"/>
    <s v="DESK"/>
    <s v="COMPLETED"/>
    <n v="255"/>
    <m/>
    <x v="1"/>
  </r>
  <r>
    <s v="T01971"/>
    <x v="29"/>
    <x v="1"/>
    <s v="A023"/>
    <x v="0"/>
    <s v="NEW"/>
    <s v="Circle"/>
    <s v="DESK"/>
    <s v="COMPLETED"/>
    <n v="300"/>
    <m/>
    <x v="0"/>
  </r>
  <r>
    <s v="T01972"/>
    <x v="29"/>
    <x v="1"/>
    <s v="A014"/>
    <x v="0"/>
    <s v="RENEWAL"/>
    <s v="Duo"/>
    <s v="ONLINE"/>
    <s v="COMPLETED"/>
    <n v="200"/>
    <m/>
    <x v="0"/>
  </r>
  <r>
    <s v="T01973"/>
    <x v="29"/>
    <x v="1"/>
    <s v="A018"/>
    <x v="0"/>
    <s v="NEW"/>
    <s v="Single"/>
    <s v="DESK"/>
    <s v="COMPLETED"/>
    <n v="120"/>
    <m/>
    <x v="0"/>
  </r>
  <r>
    <s v="T01974"/>
    <x v="29"/>
    <x v="1"/>
    <s v="A023"/>
    <x v="0"/>
    <s v="NEW"/>
    <s v="Single"/>
    <s v="DESK"/>
    <s v="COMPLETED"/>
    <n v="120"/>
    <m/>
    <x v="0"/>
  </r>
  <r>
    <s v="T01975"/>
    <x v="29"/>
    <x v="2"/>
    <s v="A025"/>
    <x v="0"/>
    <s v="NEW"/>
    <s v="Single"/>
    <s v="DESK"/>
    <s v="COMPLETED"/>
    <n v="90"/>
    <m/>
    <x v="1"/>
  </r>
  <r>
    <s v="T01976"/>
    <x v="29"/>
    <x v="2"/>
    <s v="A035"/>
    <x v="0"/>
    <s v="NEW"/>
    <s v="Duo"/>
    <s v="DESK"/>
    <s v="COMPLETED"/>
    <n v="200"/>
    <m/>
    <x v="0"/>
  </r>
  <r>
    <s v="T01977"/>
    <x v="29"/>
    <x v="2"/>
    <s v="A026"/>
    <x v="0"/>
    <s v="NEW"/>
    <s v="Single"/>
    <s v="DESK"/>
    <s v="COMPLETED"/>
    <n v="120"/>
    <m/>
    <x v="0"/>
  </r>
  <r>
    <s v="T01978"/>
    <x v="29"/>
    <x v="2"/>
    <s v="A031"/>
    <x v="0"/>
    <s v="NEW"/>
    <s v="Circle"/>
    <s v="DESK"/>
    <s v="COMPLETED"/>
    <n v="300"/>
    <m/>
    <x v="0"/>
  </r>
  <r>
    <s v="T01979"/>
    <x v="29"/>
    <x v="2"/>
    <s v="A025"/>
    <x v="0"/>
    <s v="NEW"/>
    <s v="Duo"/>
    <s v="DESK"/>
    <s v="COMPLETED"/>
    <n v="200"/>
    <m/>
    <x v="0"/>
  </r>
  <r>
    <s v="T01980"/>
    <x v="29"/>
    <x v="2"/>
    <s v="A027"/>
    <x v="0"/>
    <s v="NEW"/>
    <s v="Circle"/>
    <s v="DESK"/>
    <s v="COMPLETED"/>
    <n v="300"/>
    <m/>
    <x v="0"/>
  </r>
  <r>
    <s v="T01981"/>
    <x v="29"/>
    <x v="2"/>
    <s v="A025"/>
    <x v="0"/>
    <s v="NEW"/>
    <s v="Single"/>
    <s v="ONLINE"/>
    <s v="COMPLETED"/>
    <n v="120"/>
    <m/>
    <x v="0"/>
  </r>
  <r>
    <s v="T01982"/>
    <x v="29"/>
    <x v="2"/>
    <s v="A032"/>
    <x v="0"/>
    <s v="NEW"/>
    <s v="Duo"/>
    <s v="DESK"/>
    <s v="COMPLETED"/>
    <n v="170"/>
    <m/>
    <x v="1"/>
  </r>
  <r>
    <s v="T01983"/>
    <x v="29"/>
    <x v="2"/>
    <s v="A032"/>
    <x v="0"/>
    <s v="NEW"/>
    <s v="Duo"/>
    <s v="DESK"/>
    <s v="COMPLETED"/>
    <n v="200"/>
    <m/>
    <x v="0"/>
  </r>
  <r>
    <s v="T01984"/>
    <x v="29"/>
    <x v="2"/>
    <s v="A025"/>
    <x v="0"/>
    <s v="NEW"/>
    <s v="Circle"/>
    <s v="DESK"/>
    <s v="COMPLETED"/>
    <n v="300"/>
    <m/>
    <x v="0"/>
  </r>
  <r>
    <s v="T01985"/>
    <x v="29"/>
    <x v="2"/>
    <s v="A025"/>
    <x v="0"/>
    <s v="NEW"/>
    <s v="Circle"/>
    <s v="DESK"/>
    <s v="COMPLETED"/>
    <n v="300"/>
    <m/>
    <x v="0"/>
  </r>
  <r>
    <s v="T01986"/>
    <x v="29"/>
    <x v="2"/>
    <s v="A026"/>
    <x v="0"/>
    <s v="NEW"/>
    <s v="Duo"/>
    <s v="DESK"/>
    <s v="COMPLETED"/>
    <n v="150"/>
    <m/>
    <x v="1"/>
  </r>
  <r>
    <s v="T01987"/>
    <x v="29"/>
    <x v="2"/>
    <s v="A027"/>
    <x v="0"/>
    <s v="RENEWAL"/>
    <s v="Duo"/>
    <s v="DESK"/>
    <s v="COMPLETED"/>
    <n v="170"/>
    <m/>
    <x v="1"/>
  </r>
  <r>
    <s v="T01988"/>
    <x v="29"/>
    <x v="2"/>
    <s v="A034"/>
    <x v="0"/>
    <s v="NEW"/>
    <s v="Duo"/>
    <s v="DESK"/>
    <s v="COMPLETED"/>
    <n v="200"/>
    <m/>
    <x v="0"/>
  </r>
  <r>
    <s v="T01989"/>
    <x v="29"/>
    <x v="2"/>
    <s v="A031"/>
    <x v="0"/>
    <s v="NEW"/>
    <s v="Circle"/>
    <s v="DESK"/>
    <s v="COMPLETED"/>
    <n v="300"/>
    <m/>
    <x v="0"/>
  </r>
  <r>
    <s v="T01990"/>
    <x v="29"/>
    <x v="3"/>
    <s v="A042"/>
    <x v="0"/>
    <s v="RENEWAL"/>
    <s v="Duo"/>
    <s v="DESK"/>
    <s v="COMPLETED"/>
    <n v="200"/>
    <m/>
    <x v="0"/>
  </r>
  <r>
    <s v="T01991"/>
    <x v="29"/>
    <x v="3"/>
    <s v="A043"/>
    <x v="0"/>
    <s v="NEW"/>
    <s v="Single"/>
    <s v="ONLINE"/>
    <s v="COMPLETED"/>
    <n v="120"/>
    <m/>
    <x v="0"/>
  </r>
  <r>
    <s v="T01992"/>
    <x v="29"/>
    <x v="3"/>
    <s v="A044"/>
    <x v="0"/>
    <s v="NEW"/>
    <s v="Circle"/>
    <s v="DESK"/>
    <s v="COMPLETED"/>
    <n v="300"/>
    <m/>
    <x v="0"/>
  </r>
  <r>
    <s v="T01993"/>
    <x v="29"/>
    <x v="3"/>
    <s v="A041"/>
    <x v="0"/>
    <s v="RENEWAL"/>
    <s v="Circle"/>
    <s v="DESK"/>
    <s v="COMPLETED"/>
    <n v="300"/>
    <m/>
    <x v="0"/>
  </r>
  <r>
    <s v="T01994"/>
    <x v="29"/>
    <x v="3"/>
    <s v="A042"/>
    <x v="0"/>
    <s v="NEW"/>
    <s v="Duo"/>
    <s v="DESK"/>
    <s v="COMPLETED"/>
    <n v="200"/>
    <m/>
    <x v="0"/>
  </r>
  <r>
    <s v="T01995"/>
    <x v="29"/>
    <x v="3"/>
    <s v="A039"/>
    <x v="0"/>
    <s v="RENEWAL"/>
    <s v="Duo"/>
    <s v="DESK"/>
    <s v="COMPLETED"/>
    <n v="200"/>
    <m/>
    <x v="0"/>
  </r>
  <r>
    <s v="T01996"/>
    <x v="29"/>
    <x v="3"/>
    <s v="A046"/>
    <x v="0"/>
    <s v="NEW"/>
    <s v="Circle"/>
    <s v="DESK"/>
    <s v="COMPLETED"/>
    <n v="300"/>
    <m/>
    <x v="0"/>
  </r>
  <r>
    <s v="T01997"/>
    <x v="29"/>
    <x v="3"/>
    <s v="A048"/>
    <x v="0"/>
    <s v="NEW"/>
    <s v="Circle"/>
    <s v="DESK"/>
    <s v="COMPLETED"/>
    <n v="300"/>
    <m/>
    <x v="0"/>
  </r>
  <r>
    <s v="T01998"/>
    <x v="29"/>
    <x v="3"/>
    <s v="A044"/>
    <x v="0"/>
    <s v="RENEWAL"/>
    <s v="Duo"/>
    <s v="ONLINE"/>
    <s v="COMPLETED"/>
    <n v="200"/>
    <m/>
    <x v="0"/>
  </r>
  <r>
    <s v="T01999"/>
    <x v="29"/>
    <x v="3"/>
    <s v="A043"/>
    <x v="0"/>
    <s v="NEW"/>
    <s v="Duo"/>
    <s v="DESK"/>
    <s v="COMPLETED"/>
    <n v="200"/>
    <m/>
    <x v="0"/>
  </r>
  <r>
    <s v="T02000"/>
    <x v="29"/>
    <x v="3"/>
    <s v="A044"/>
    <x v="0"/>
    <s v="NEW"/>
    <s v="Single"/>
    <s v="DESK"/>
    <s v="COMPLETED"/>
    <n v="120"/>
    <m/>
    <x v="0"/>
  </r>
  <r>
    <s v="T02001"/>
    <x v="29"/>
    <x v="3"/>
    <s v="A042"/>
    <x v="0"/>
    <s v="NEW"/>
    <s v="Circle"/>
    <s v="DESK"/>
    <s v="COMPLETED"/>
    <n v="255"/>
    <m/>
    <x v="1"/>
  </r>
  <r>
    <s v="T02002"/>
    <x v="29"/>
    <x v="3"/>
    <s v="A039"/>
    <x v="0"/>
    <s v="NEW"/>
    <s v="Circle"/>
    <s v="DESK"/>
    <s v="COMPLETED"/>
    <n v="300"/>
    <m/>
    <x v="0"/>
  </r>
  <r>
    <s v="T02003"/>
    <x v="29"/>
    <x v="3"/>
    <s v="A040"/>
    <x v="0"/>
    <s v="NEW"/>
    <s v="Duo"/>
    <s v="ONLINE"/>
    <s v="VOID"/>
    <n v="200"/>
    <m/>
    <x v="0"/>
  </r>
  <r>
    <s v="T02004"/>
    <x v="29"/>
    <x v="3"/>
    <s v="A041"/>
    <x v="0"/>
    <s v="NEW"/>
    <s v="Circle"/>
    <s v="DESK"/>
    <s v="COMPLETED"/>
    <n v="300"/>
    <m/>
    <x v="0"/>
  </r>
  <r>
    <s v="T02062"/>
    <x v="29"/>
    <x v="3"/>
    <s v="A038"/>
    <x v="1"/>
    <s v="NEW"/>
    <s v="Single"/>
    <s v="DESK"/>
    <s v="COMPLETED"/>
    <n v="120"/>
    <s v="T01554"/>
    <x v="0"/>
  </r>
  <r>
    <s v="T02119"/>
    <x v="29"/>
    <x v="1"/>
    <s v="A016"/>
    <x v="1"/>
    <s v="NEW"/>
    <s v="Duo"/>
    <s v="DESK"/>
    <s v="COMPLETED"/>
    <n v="200"/>
    <s v="T9999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n v="614"/>
  </r>
  <r>
    <x v="0"/>
    <x v="1"/>
    <n v="551"/>
  </r>
  <r>
    <x v="0"/>
    <x v="2"/>
    <n v="462"/>
  </r>
  <r>
    <x v="0"/>
    <x v="3"/>
    <n v="538"/>
  </r>
  <r>
    <x v="1"/>
    <x v="0"/>
    <n v="595"/>
  </r>
  <r>
    <x v="1"/>
    <x v="1"/>
    <n v="479"/>
  </r>
  <r>
    <x v="1"/>
    <x v="2"/>
    <n v="505"/>
  </r>
  <r>
    <x v="1"/>
    <x v="3"/>
    <n v="539"/>
  </r>
  <r>
    <x v="2"/>
    <x v="0"/>
    <n v="654"/>
  </r>
  <r>
    <x v="2"/>
    <x v="1"/>
    <n v="494"/>
  </r>
  <r>
    <x v="2"/>
    <x v="2"/>
    <n v="455"/>
  </r>
  <r>
    <x v="2"/>
    <x v="3"/>
    <n v="567"/>
  </r>
  <r>
    <x v="3"/>
    <x v="0"/>
    <n v="644"/>
  </r>
  <r>
    <x v="3"/>
    <x v="1"/>
    <n v="552"/>
  </r>
  <r>
    <x v="3"/>
    <x v="2"/>
    <n v="469"/>
  </r>
  <r>
    <x v="3"/>
    <x v="3"/>
    <n v="530"/>
  </r>
  <r>
    <x v="4"/>
    <x v="0"/>
    <n v="678"/>
  </r>
  <r>
    <x v="4"/>
    <x v="1"/>
    <n v="494"/>
  </r>
  <r>
    <x v="4"/>
    <x v="2"/>
    <n v="481"/>
  </r>
  <r>
    <x v="4"/>
    <x v="3"/>
    <n v="588"/>
  </r>
  <r>
    <x v="5"/>
    <x v="0"/>
    <n v="672"/>
  </r>
  <r>
    <x v="5"/>
    <x v="1"/>
    <n v="502"/>
  </r>
  <r>
    <x v="5"/>
    <x v="2"/>
    <n v="443"/>
  </r>
  <r>
    <x v="5"/>
    <x v="3"/>
    <n v="607"/>
  </r>
  <r>
    <x v="6"/>
    <x v="0"/>
    <n v="644"/>
  </r>
  <r>
    <x v="6"/>
    <x v="1"/>
    <n v="535"/>
  </r>
  <r>
    <x v="6"/>
    <x v="2"/>
    <n v="435"/>
  </r>
  <r>
    <x v="6"/>
    <x v="3"/>
    <n v="546"/>
  </r>
  <r>
    <x v="7"/>
    <x v="0"/>
    <n v="674"/>
  </r>
  <r>
    <x v="7"/>
    <x v="1"/>
    <n v="472"/>
  </r>
  <r>
    <x v="7"/>
    <x v="2"/>
    <n v="426"/>
  </r>
  <r>
    <x v="7"/>
    <x v="3"/>
    <n v="585"/>
  </r>
  <r>
    <x v="8"/>
    <x v="0"/>
    <n v="671"/>
  </r>
  <r>
    <x v="8"/>
    <x v="1"/>
    <n v="550"/>
  </r>
  <r>
    <x v="8"/>
    <x v="2"/>
    <n v="482"/>
  </r>
  <r>
    <x v="8"/>
    <x v="3"/>
    <n v="528"/>
  </r>
  <r>
    <x v="9"/>
    <x v="0"/>
    <n v="616"/>
  </r>
  <r>
    <x v="9"/>
    <x v="1"/>
    <n v="517"/>
  </r>
  <r>
    <x v="9"/>
    <x v="2"/>
    <n v="455"/>
  </r>
  <r>
    <x v="9"/>
    <x v="3"/>
    <n v="540"/>
  </r>
  <r>
    <x v="10"/>
    <x v="0"/>
    <n v="636"/>
  </r>
  <r>
    <x v="10"/>
    <x v="1"/>
    <n v="562"/>
  </r>
  <r>
    <x v="10"/>
    <x v="2"/>
    <n v="500"/>
  </r>
  <r>
    <x v="10"/>
    <x v="3"/>
    <n v="534"/>
  </r>
  <r>
    <x v="11"/>
    <x v="0"/>
    <n v="630"/>
  </r>
  <r>
    <x v="11"/>
    <x v="1"/>
    <n v="488"/>
  </r>
  <r>
    <x v="11"/>
    <x v="2"/>
    <n v="438"/>
  </r>
  <r>
    <x v="11"/>
    <x v="3"/>
    <n v="601"/>
  </r>
  <r>
    <x v="12"/>
    <x v="0"/>
    <n v="587"/>
  </r>
  <r>
    <x v="12"/>
    <x v="1"/>
    <n v="515"/>
  </r>
  <r>
    <x v="12"/>
    <x v="2"/>
    <n v="478"/>
  </r>
  <r>
    <x v="12"/>
    <x v="3"/>
    <n v="597"/>
  </r>
  <r>
    <x v="13"/>
    <x v="0"/>
    <n v="619"/>
  </r>
  <r>
    <x v="13"/>
    <x v="1"/>
    <n v="565"/>
  </r>
  <r>
    <x v="13"/>
    <x v="2"/>
    <n v="454"/>
  </r>
  <r>
    <x v="13"/>
    <x v="3"/>
    <n v="513"/>
  </r>
  <r>
    <x v="14"/>
    <x v="0"/>
    <n v="625"/>
  </r>
  <r>
    <x v="14"/>
    <x v="1"/>
    <n v="478"/>
  </r>
  <r>
    <x v="14"/>
    <x v="2"/>
    <n v="482"/>
  </r>
  <r>
    <x v="14"/>
    <x v="3"/>
    <n v="571"/>
  </r>
  <r>
    <x v="15"/>
    <x v="0"/>
    <n v="611"/>
  </r>
  <r>
    <x v="15"/>
    <x v="1"/>
    <n v="519"/>
  </r>
  <r>
    <x v="15"/>
    <x v="2"/>
    <n v="461"/>
  </r>
  <r>
    <x v="15"/>
    <x v="3"/>
    <n v="573"/>
  </r>
  <r>
    <x v="16"/>
    <x v="0"/>
    <n v="637"/>
  </r>
  <r>
    <x v="16"/>
    <x v="1"/>
    <n v="510"/>
  </r>
  <r>
    <x v="16"/>
    <x v="2"/>
    <n v="449"/>
  </r>
  <r>
    <x v="16"/>
    <x v="3"/>
    <n v="558"/>
  </r>
  <r>
    <x v="17"/>
    <x v="0"/>
    <n v="623"/>
  </r>
  <r>
    <x v="17"/>
    <x v="1"/>
    <n v="546"/>
  </r>
  <r>
    <x v="17"/>
    <x v="2"/>
    <n v="430"/>
  </r>
  <r>
    <x v="17"/>
    <x v="3"/>
    <n v="572"/>
  </r>
  <r>
    <x v="18"/>
    <x v="0"/>
    <n v="598"/>
  </r>
  <r>
    <x v="18"/>
    <x v="1"/>
    <n v="524"/>
  </r>
  <r>
    <x v="18"/>
    <x v="2"/>
    <n v="458"/>
  </r>
  <r>
    <x v="18"/>
    <x v="3"/>
    <n v="552"/>
  </r>
  <r>
    <x v="19"/>
    <x v="0"/>
    <n v="636"/>
  </r>
  <r>
    <x v="19"/>
    <x v="1"/>
    <n v="478"/>
  </r>
  <r>
    <x v="19"/>
    <x v="2"/>
    <n v="423"/>
  </r>
  <r>
    <x v="19"/>
    <x v="3"/>
    <n v="561"/>
  </r>
  <r>
    <x v="20"/>
    <x v="0"/>
    <n v="582"/>
  </r>
  <r>
    <x v="20"/>
    <x v="1"/>
    <n v="505"/>
  </r>
  <r>
    <x v="20"/>
    <x v="2"/>
    <n v="424"/>
  </r>
  <r>
    <x v="20"/>
    <x v="3"/>
    <n v="542"/>
  </r>
  <r>
    <x v="21"/>
    <x v="0"/>
    <n v="655"/>
  </r>
  <r>
    <x v="21"/>
    <x v="1"/>
    <n v="505"/>
  </r>
  <r>
    <x v="21"/>
    <x v="2"/>
    <n v="455"/>
  </r>
  <r>
    <x v="21"/>
    <x v="3"/>
    <n v="562"/>
  </r>
  <r>
    <x v="22"/>
    <x v="0"/>
    <n v="616"/>
  </r>
  <r>
    <x v="22"/>
    <x v="1"/>
    <n v="556"/>
  </r>
  <r>
    <x v="22"/>
    <x v="2"/>
    <n v="431"/>
  </r>
  <r>
    <x v="22"/>
    <x v="3"/>
    <n v="587"/>
  </r>
  <r>
    <x v="23"/>
    <x v="0"/>
    <n v="642"/>
  </r>
  <r>
    <x v="23"/>
    <x v="1"/>
    <n v="489"/>
  </r>
  <r>
    <x v="23"/>
    <x v="2"/>
    <n v="515"/>
  </r>
  <r>
    <x v="23"/>
    <x v="3"/>
    <n v="553"/>
  </r>
  <r>
    <x v="24"/>
    <x v="0"/>
    <n v="590"/>
  </r>
  <r>
    <x v="24"/>
    <x v="1"/>
    <n v="570"/>
  </r>
  <r>
    <x v="24"/>
    <x v="2"/>
    <n v="447"/>
  </r>
  <r>
    <x v="24"/>
    <x v="3"/>
    <n v="567"/>
  </r>
  <r>
    <x v="25"/>
    <x v="0"/>
    <n v="679"/>
  </r>
  <r>
    <x v="25"/>
    <x v="1"/>
    <n v="511"/>
  </r>
  <r>
    <x v="25"/>
    <x v="2"/>
    <n v="433"/>
  </r>
  <r>
    <x v="25"/>
    <x v="3"/>
    <n v="543"/>
  </r>
  <r>
    <x v="26"/>
    <x v="0"/>
    <n v="598"/>
  </r>
  <r>
    <x v="26"/>
    <x v="1"/>
    <n v="560"/>
  </r>
  <r>
    <x v="26"/>
    <x v="2"/>
    <n v="494"/>
  </r>
  <r>
    <x v="26"/>
    <x v="3"/>
    <n v="531"/>
  </r>
  <r>
    <x v="27"/>
    <x v="0"/>
    <n v="643"/>
  </r>
  <r>
    <x v="27"/>
    <x v="1"/>
    <n v="513"/>
  </r>
  <r>
    <x v="27"/>
    <x v="2"/>
    <n v="481"/>
  </r>
  <r>
    <x v="27"/>
    <x v="3"/>
    <n v="515"/>
  </r>
  <r>
    <x v="28"/>
    <x v="0"/>
    <n v="591"/>
  </r>
  <r>
    <x v="28"/>
    <x v="1"/>
    <n v="490"/>
  </r>
  <r>
    <x v="28"/>
    <x v="2"/>
    <n v="506"/>
  </r>
  <r>
    <x v="28"/>
    <x v="3"/>
    <n v="537"/>
  </r>
  <r>
    <x v="29"/>
    <x v="0"/>
    <n v="638"/>
  </r>
  <r>
    <x v="29"/>
    <x v="1"/>
    <n v="502"/>
  </r>
  <r>
    <x v="29"/>
    <x v="2"/>
    <n v="443"/>
  </r>
  <r>
    <x v="29"/>
    <x v="3"/>
    <n v="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8A0D0A-AC3C-46D1-B82B-8482BD785DAE}"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DATE">
  <location ref="A25:B57" firstHeaderRow="1" firstDataRow="2" firstDataCol="1"/>
  <pivotFields count="3">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5">
        <item h="1" x="3"/>
        <item x="2"/>
        <item h="1" x="0"/>
        <item h="1" x="1"/>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
  </colFields>
  <colItems count="1">
    <i>
      <x v="1"/>
    </i>
  </colItems>
  <dataFields count="1">
    <dataField name="Average of admissions" fld="2" subtotal="average" baseField="1" baseItem="0" numFmtId="2"/>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57F5F4-7E57-4C83-9963-D5188DDC1FA6}"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VENUE">
  <location ref="A3:C18" firstHeaderRow="1" firstDataRow="2" firstDataCol="1"/>
  <pivotFields count="12">
    <pivotField dataField="1" showAll="0"/>
    <pivotField showAll="0"/>
    <pivotField axis="axisRow" showAll="0">
      <items count="5">
        <item x="3"/>
        <item x="2"/>
        <item x="0"/>
        <item x="1"/>
        <item t="default"/>
      </items>
    </pivotField>
    <pivotField showAll="0"/>
    <pivotField axis="axisCol" showAll="0">
      <items count="3">
        <item x="1"/>
        <item x="0"/>
        <item t="default"/>
      </items>
    </pivotField>
    <pivotField showAll="0"/>
    <pivotField showAll="0"/>
    <pivotField showAll="0"/>
    <pivotField showAll="0"/>
    <pivotField numFmtId="4" showAll="0"/>
    <pivotField showAll="0"/>
    <pivotField axis="axisRow" showAll="0">
      <items count="4">
        <item x="2"/>
        <item x="1"/>
        <item x="0"/>
        <item t="default"/>
      </items>
    </pivotField>
  </pivotFields>
  <rowFields count="2">
    <field x="2"/>
    <field x="11"/>
  </rowFields>
  <rowItems count="14">
    <i>
      <x/>
    </i>
    <i r="1">
      <x v="1"/>
    </i>
    <i r="1">
      <x v="2"/>
    </i>
    <i>
      <x v="1"/>
    </i>
    <i r="1">
      <x/>
    </i>
    <i r="1">
      <x v="1"/>
    </i>
    <i r="1">
      <x v="2"/>
    </i>
    <i>
      <x v="2"/>
    </i>
    <i r="1">
      <x v="1"/>
    </i>
    <i r="1">
      <x v="2"/>
    </i>
    <i>
      <x v="3"/>
    </i>
    <i r="1">
      <x v="1"/>
    </i>
    <i r="1">
      <x v="2"/>
    </i>
    <i t="grand">
      <x/>
    </i>
  </rowItems>
  <colFields count="1">
    <field x="4"/>
  </colFields>
  <colItems count="2">
    <i>
      <x/>
    </i>
    <i>
      <x v="1"/>
    </i>
  </colItems>
  <dataFields count="1">
    <dataField name="Count of transaction_id" fld="0" subtotal="count" baseField="0" baseItem="0"/>
  </dataFields>
  <formats count="3">
    <format dxfId="26">
      <pivotArea collapsedLevelsAreSubtotals="1" fieldPosition="0">
        <references count="3">
          <reference field="2" count="1" selected="0">
            <x v="1"/>
          </reference>
          <reference field="4" count="1" selected="0">
            <x v="0"/>
          </reference>
          <reference field="11" count="1">
            <x v="0"/>
          </reference>
        </references>
      </pivotArea>
    </format>
    <format dxfId="25">
      <pivotArea collapsedLevelsAreSubtotals="1" fieldPosition="0">
        <references count="2">
          <reference field="2" count="1" selected="0">
            <x v="1"/>
          </reference>
          <reference field="11" count="1">
            <x v="0"/>
          </reference>
        </references>
      </pivotArea>
    </format>
    <format dxfId="24">
      <pivotArea dataOnly="0" labelOnly="1" fieldPosition="0">
        <references count="2">
          <reference field="2" count="1" selected="0">
            <x v="1"/>
          </reference>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65C781-5712-4132-BC2A-F78E78830B10}" autoFormatId="16" applyNumberFormats="0" applyBorderFormats="0" applyFontFormats="0" applyPatternFormats="0" applyAlignmentFormats="0" applyWidthHeightFormats="0">
  <queryTableRefresh nextId="9">
    <queryTableFields count="8">
      <queryTableField id="1" name="transaction_id" tableColumnId="1"/>
      <queryTableField id="2" name="date" tableColumnId="2"/>
      <queryTableField id="3" name="venue" tableColumnId="3"/>
      <queryTableField id="4" name="associate_id" tableColumnId="4"/>
      <queryTableField id="5" name="event_type" tableColumnId="5"/>
      <queryTableField id="6" name="amount_credits" tableColumnId="6"/>
      <queryTableField id="7" name="original_transaction_id" tableColumnId="7"/>
      <queryTableField id="8" name="exception_reas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A5B8EDEE-CF35-4299-BCAC-390374E9DA7F}" autoFormatId="16" applyNumberFormats="0" applyBorderFormats="0" applyFontFormats="0" applyPatternFormats="0" applyAlignmentFormats="0" applyWidthHeightFormats="0">
  <queryTableRefresh nextId="23">
    <queryTableFields count="22">
      <queryTableField id="1" name="transaction_id" tableColumnId="1"/>
      <queryTableField id="2" name="date" tableColumnId="2"/>
      <queryTableField id="3" name="venue" tableColumnId="3"/>
      <queryTableField id="4" name="associate_id" tableColumnId="4"/>
      <queryTableField id="5" name="event_type" tableColumnId="5"/>
      <queryTableField id="6" name="sale_kind" tableColumnId="6"/>
      <queryTableField id="7" name="product" tableColumnId="7"/>
      <queryTableField id="8" name="channel" tableColumnId="8"/>
      <queryTableField id="9" name="status" tableColumnId="9"/>
      <queryTableField id="10" name="amount_credits" tableColumnId="10"/>
      <queryTableField id="11" name="original_transaction_id" tableColumnId="11"/>
      <queryTableField id="12" name="offer_code" tableColumnId="12"/>
      <queryTableField id="13" name="orig_associate_id" tableColumnId="13"/>
      <queryTableField id="14" name="orig_sale_kind" tableColumnId="14"/>
      <queryTableField id="15" name="orig_channel" tableColumnId="15"/>
      <queryTableField id="16" name="orig_status" tableColumnId="16"/>
      <queryTableField id="17" name="orig_amount" tableColumnId="17"/>
      <queryTableField id="18" name="orig_product" tableColumnId="18"/>
      <queryTableField id="19" name="sale_incentive" tableColumnId="19"/>
      <queryTableField id="20" name="refund_reversal" tableColumnId="20"/>
      <queryTableField id="21" name="is_new_desk_sale" tableColumnId="21"/>
      <queryTableField id="22" name="is_new_desk_refund" tableColumnId="2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046AF-75F8-4DBA-AB92-82D210F33A11}" name="Table1" displayName="Table1" ref="A1:L2122" totalsRowShown="0" headerRowDxfId="22">
  <autoFilter ref="A1:L2122" xr:uid="{BAB046AF-75F8-4DBA-AB92-82D210F33A11}"/>
  <tableColumns count="12">
    <tableColumn id="1" xr3:uid="{1C6209C7-CB98-411C-81F8-F235F2097D36}" name="transaction_id"/>
    <tableColumn id="2" xr3:uid="{6895F979-E286-40D3-9850-4EF5D2085A73}" name="date"/>
    <tableColumn id="3" xr3:uid="{2BB68485-E6FA-4974-B187-93639D575C31}" name="venue"/>
    <tableColumn id="4" xr3:uid="{9BC4BF0B-49D8-462C-A319-5DE83A0C7CBF}" name="associate_id"/>
    <tableColumn id="5" xr3:uid="{398B92C9-0360-4BFF-A932-95297612C6C9}" name="event_type"/>
    <tableColumn id="6" xr3:uid="{375F67D9-8914-4464-AC55-08623C1263BF}" name="sale_kind"/>
    <tableColumn id="7" xr3:uid="{1738A445-D548-402E-9827-4DC641EAD0A7}" name="product"/>
    <tableColumn id="8" xr3:uid="{A21DA364-D50F-407E-AAB3-1CDBD73EF615}" name="channel"/>
    <tableColumn id="9" xr3:uid="{7578F7B2-FF1D-4B8C-8D69-25E376515416}" name="status"/>
    <tableColumn id="10" xr3:uid="{B3F3B544-3CC8-4A34-B3A9-91F09BF3B55F}" name="amount_credits" dataDxfId="21"/>
    <tableColumn id="11" xr3:uid="{478CB34F-5FF9-4576-944F-435BF6798D7F}" name="original_transaction_id"/>
    <tableColumn id="12" xr3:uid="{31ACE2D9-913B-4654-B613-F85BE61858E4}" name="offer_cod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541A9E-8C49-4FB1-912E-F2820B85BF75}" name="Table2" displayName="Table2" ref="A1:C121" totalsRowShown="0" headerRowDxfId="20">
  <autoFilter ref="A1:C121" xr:uid="{4C541A9E-8C49-4FB1-912E-F2820B85BF75}"/>
  <tableColumns count="3">
    <tableColumn id="1" xr3:uid="{8C08FAF8-5AAF-453D-AB7B-60A4C1AAE27C}" name="date"/>
    <tableColumn id="2" xr3:uid="{6EB90BD5-4EBF-4790-BB9B-4EEC36F63C22}" name="venue"/>
    <tableColumn id="3" xr3:uid="{17417D7D-BF85-46A2-AD81-C106617484E1}" name="admission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8BF09F-48F2-4CFC-B250-6E6E3A191A8F}" name="exception_register" displayName="exception_register" ref="A1:H7" tableType="queryTable" totalsRowShown="0">
  <autoFilter ref="A1:H7" xr:uid="{C58BF09F-48F2-4CFC-B250-6E6E3A191A8F}"/>
  <tableColumns count="8">
    <tableColumn id="1" xr3:uid="{36659F19-0C96-4E32-BB6A-87AAFDEC6B5D}" uniqueName="1" name="transaction_id" queryTableFieldId="1" dataDxfId="19"/>
    <tableColumn id="2" xr3:uid="{FAF0F1E7-5A05-47FD-9392-39206F7A9D60}" uniqueName="2" name="date" queryTableFieldId="2" dataDxfId="18"/>
    <tableColumn id="3" xr3:uid="{3E01D4DC-ADFC-4584-84A2-7F50046EE622}" uniqueName="3" name="venue" queryTableFieldId="3" dataDxfId="17"/>
    <tableColumn id="4" xr3:uid="{A6BEFB1E-E6C5-4701-90B7-2FD336576056}" uniqueName="4" name="associate_id" queryTableFieldId="4" dataDxfId="16"/>
    <tableColumn id="5" xr3:uid="{8B8294A0-C7AF-48B5-8BA3-12ED5194DEEB}" uniqueName="5" name="event_type" queryTableFieldId="5" dataDxfId="15"/>
    <tableColumn id="6" xr3:uid="{4518BD7D-5DAA-4A8F-805B-3E45A5C83F1D}" uniqueName="6" name="amount_credits" queryTableFieldId="6"/>
    <tableColumn id="7" xr3:uid="{E353FC79-7020-4488-A933-B3989F38AE37}" uniqueName="7" name="original_transaction_id" queryTableFieldId="7"/>
    <tableColumn id="8" xr3:uid="{F0C146FE-BD18-418D-9933-1EC4828E3541}" uniqueName="8" name="exception_reason"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C2210D-78F6-4116-BE9B-0CCBB14F08F5}" name="transaction_clean" displayName="transaction_clean" ref="A1:V2116" tableType="queryTable" totalsRowShown="0">
  <autoFilter ref="A1:V2116" xr:uid="{40C2210D-78F6-4116-BE9B-0CCBB14F08F5}"/>
  <tableColumns count="22">
    <tableColumn id="1" xr3:uid="{EA817C88-4946-4332-B1CD-64C8433319B7}" uniqueName="1" name="transaction_id" queryTableFieldId="1" dataDxfId="14"/>
    <tableColumn id="2" xr3:uid="{6BFB734A-2F2C-45E2-A4A7-937C6D985E65}" uniqueName="2" name="date" queryTableFieldId="2" dataDxfId="13"/>
    <tableColumn id="3" xr3:uid="{FA2F7686-7378-40D6-BEFF-B391B8D6984B}" uniqueName="3" name="venue" queryTableFieldId="3" dataDxfId="12"/>
    <tableColumn id="4" xr3:uid="{50696812-AE18-449B-819C-885E39225C4C}" uniqueName="4" name="associate_id" queryTableFieldId="4" dataDxfId="11"/>
    <tableColumn id="5" xr3:uid="{2B1F127B-B2E5-4A2D-873B-ED70893BD9C7}" uniqueName="5" name="event_type" queryTableFieldId="5" dataDxfId="10"/>
    <tableColumn id="6" xr3:uid="{ED935CD0-8DD1-4AB4-AECA-CED64E6A4286}" uniqueName="6" name="sale_kind" queryTableFieldId="6" dataDxfId="9"/>
    <tableColumn id="7" xr3:uid="{1143F9AC-3ADC-427E-B83C-4E3DE0567884}" uniqueName="7" name="product" queryTableFieldId="7" dataDxfId="8"/>
    <tableColumn id="8" xr3:uid="{8CDC32FC-EA8F-4D41-8094-7ECA15D7B821}" uniqueName="8" name="channel" queryTableFieldId="8" dataDxfId="7"/>
    <tableColumn id="9" xr3:uid="{97165E81-2DEA-4FEE-B441-DB2AF0833C98}" uniqueName="9" name="status" queryTableFieldId="9" dataDxfId="6"/>
    <tableColumn id="10" xr3:uid="{E3DAD601-2617-447F-97C3-4F3C0C0BB1F2}" uniqueName="10" name="amount_credits" queryTableFieldId="10"/>
    <tableColumn id="11" xr3:uid="{DC6BB60F-07BF-481B-880F-FA68E1D63137}" uniqueName="11" name="original_transaction_id" queryTableFieldId="11"/>
    <tableColumn id="12" xr3:uid="{8733B1CE-1F03-4981-A71A-12B36344820A}" uniqueName="12" name="offer_code" queryTableFieldId="12" dataDxfId="5"/>
    <tableColumn id="13" xr3:uid="{94C38DDA-19D3-4E82-8301-F5FA6899ECF8}" uniqueName="13" name="orig_associate_id" queryTableFieldId="13" dataDxfId="4"/>
    <tableColumn id="14" xr3:uid="{ADAEA6A1-4D03-4B71-8BB0-2957E767D5F5}" uniqueName="14" name="orig_sale_kind" queryTableFieldId="14" dataDxfId="3"/>
    <tableColumn id="15" xr3:uid="{5B199B1A-1989-47F0-9273-6D95AA4C9D5D}" uniqueName="15" name="orig_channel" queryTableFieldId="15" dataDxfId="2"/>
    <tableColumn id="16" xr3:uid="{AEAA084F-F7A3-4F2A-8D5F-8F299BEC9BDC}" uniqueName="16" name="orig_status" queryTableFieldId="16" dataDxfId="1"/>
    <tableColumn id="17" xr3:uid="{11E9FDEB-892D-49F5-A7E9-1BE8754A38D4}" uniqueName="17" name="orig_amount" queryTableFieldId="17"/>
    <tableColumn id="18" xr3:uid="{CB874313-E8C0-4700-A1D0-40BC2E6D2E3C}" uniqueName="18" name="orig_product" queryTableFieldId="18" dataDxfId="0"/>
    <tableColumn id="19" xr3:uid="{576E9D25-F5D8-4A1C-AB9C-ABC7A5558592}" uniqueName="19" name="sale_incentive" queryTableFieldId="19"/>
    <tableColumn id="20" xr3:uid="{8DE70137-04E9-4FAF-9557-9FB7C49C1301}" uniqueName="20" name="refund_reversal" queryTableFieldId="20"/>
    <tableColumn id="21" xr3:uid="{D29FA872-69A6-4938-8705-098E6253417F}" uniqueName="21" name="is_new_desk_sale" queryTableFieldId="21"/>
    <tableColumn id="22" xr3:uid="{AE979A9B-0BBA-4F1C-A5F4-B2291F4039A9}" uniqueName="22" name="is_new_desk_refund" queryTableFieldId="22"/>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22"/>
  <sheetViews>
    <sheetView showGridLines="0" workbookViewId="0">
      <pane ySplit="1" topLeftCell="A1175" activePane="bottomLeft" state="frozen"/>
      <selection pane="bottomLeft" activeCell="D1668" sqref="D1668"/>
    </sheetView>
  </sheetViews>
  <sheetFormatPr defaultRowHeight="13.8"/>
  <cols>
    <col min="1" max="1" width="18" customWidth="1"/>
    <col min="2" max="2" width="13" customWidth="1"/>
    <col min="3" max="3" width="20" customWidth="1"/>
    <col min="4" max="9" width="15" customWidth="1"/>
    <col min="10" max="10" width="18" customWidth="1"/>
    <col min="11" max="11" width="24" customWidth="1"/>
    <col min="12" max="12" width="21" customWidth="1"/>
  </cols>
  <sheetData>
    <row r="1" spans="1:12" ht="19.95" customHeight="1">
      <c r="A1" s="1" t="s">
        <v>0</v>
      </c>
      <c r="B1" s="1" t="s">
        <v>1</v>
      </c>
      <c r="C1" s="1" t="s">
        <v>2</v>
      </c>
      <c r="D1" s="1" t="s">
        <v>3</v>
      </c>
      <c r="E1" s="1" t="s">
        <v>4</v>
      </c>
      <c r="F1" s="1" t="s">
        <v>5</v>
      </c>
      <c r="G1" s="1" t="s">
        <v>6</v>
      </c>
      <c r="H1" s="1" t="s">
        <v>7</v>
      </c>
      <c r="I1" s="1" t="s">
        <v>8</v>
      </c>
      <c r="J1" s="1" t="s">
        <v>9</v>
      </c>
      <c r="K1" s="1" t="s">
        <v>10</v>
      </c>
      <c r="L1" s="1" t="s">
        <v>11</v>
      </c>
    </row>
    <row r="2" spans="1:12" ht="19.95" customHeight="1">
      <c r="A2" t="s">
        <v>12</v>
      </c>
      <c r="B2" t="s">
        <v>13</v>
      </c>
      <c r="C2" t="s">
        <v>14</v>
      </c>
      <c r="D2" t="s">
        <v>15</v>
      </c>
      <c r="E2" t="s">
        <v>16</v>
      </c>
      <c r="F2" t="s">
        <v>17</v>
      </c>
      <c r="G2" t="s">
        <v>18</v>
      </c>
      <c r="H2" t="s">
        <v>19</v>
      </c>
      <c r="I2" t="s">
        <v>20</v>
      </c>
      <c r="J2" s="2">
        <v>200</v>
      </c>
    </row>
    <row r="3" spans="1:12" ht="19.95" customHeight="1">
      <c r="A3" t="s">
        <v>21</v>
      </c>
      <c r="B3" t="s">
        <v>13</v>
      </c>
      <c r="C3" t="s">
        <v>14</v>
      </c>
      <c r="D3" t="s">
        <v>22</v>
      </c>
      <c r="E3" t="s">
        <v>16</v>
      </c>
      <c r="F3" t="s">
        <v>17</v>
      </c>
      <c r="G3" t="s">
        <v>23</v>
      </c>
      <c r="H3" t="s">
        <v>24</v>
      </c>
      <c r="I3" t="s">
        <v>20</v>
      </c>
      <c r="J3" s="2">
        <v>120</v>
      </c>
    </row>
    <row r="4" spans="1:12" ht="19.95" customHeight="1">
      <c r="A4" t="s">
        <v>25</v>
      </c>
      <c r="B4" t="s">
        <v>13</v>
      </c>
      <c r="C4" t="s">
        <v>14</v>
      </c>
      <c r="D4" t="s">
        <v>26</v>
      </c>
      <c r="E4" t="s">
        <v>16</v>
      </c>
      <c r="F4" t="s">
        <v>17</v>
      </c>
      <c r="G4" t="s">
        <v>18</v>
      </c>
      <c r="H4" t="s">
        <v>19</v>
      </c>
      <c r="I4" t="s">
        <v>20</v>
      </c>
      <c r="J4" s="2">
        <v>200</v>
      </c>
    </row>
    <row r="5" spans="1:12" ht="19.95" customHeight="1">
      <c r="A5" t="s">
        <v>27</v>
      </c>
      <c r="B5" t="s">
        <v>13</v>
      </c>
      <c r="C5" t="s">
        <v>14</v>
      </c>
      <c r="D5" t="s">
        <v>28</v>
      </c>
      <c r="E5" t="s">
        <v>16</v>
      </c>
      <c r="F5" t="s">
        <v>17</v>
      </c>
      <c r="G5" t="s">
        <v>23</v>
      </c>
      <c r="H5" t="s">
        <v>19</v>
      </c>
      <c r="I5" t="s">
        <v>20</v>
      </c>
      <c r="J5" s="2">
        <v>102</v>
      </c>
      <c r="L5" t="s">
        <v>29</v>
      </c>
    </row>
    <row r="6" spans="1:12" ht="19.95" customHeight="1">
      <c r="A6" t="s">
        <v>30</v>
      </c>
      <c r="B6" t="s">
        <v>13</v>
      </c>
      <c r="C6" t="s">
        <v>14</v>
      </c>
      <c r="D6" t="s">
        <v>31</v>
      </c>
      <c r="E6" t="s">
        <v>16</v>
      </c>
      <c r="F6" t="s">
        <v>17</v>
      </c>
      <c r="G6" t="s">
        <v>32</v>
      </c>
      <c r="H6" t="s">
        <v>19</v>
      </c>
      <c r="I6" t="s">
        <v>20</v>
      </c>
      <c r="J6" s="2">
        <v>300</v>
      </c>
    </row>
    <row r="7" spans="1:12" ht="19.95" customHeight="1">
      <c r="A7" t="s">
        <v>33</v>
      </c>
      <c r="B7" t="s">
        <v>13</v>
      </c>
      <c r="C7" t="s">
        <v>14</v>
      </c>
      <c r="D7" t="s">
        <v>34</v>
      </c>
      <c r="E7" t="s">
        <v>16</v>
      </c>
      <c r="F7" t="s">
        <v>35</v>
      </c>
      <c r="G7" t="s">
        <v>32</v>
      </c>
      <c r="H7" t="s">
        <v>19</v>
      </c>
      <c r="I7" t="s">
        <v>20</v>
      </c>
      <c r="J7" s="2">
        <v>300</v>
      </c>
    </row>
    <row r="8" spans="1:12" ht="19.95" customHeight="1">
      <c r="A8" t="s">
        <v>36</v>
      </c>
      <c r="B8" t="s">
        <v>13</v>
      </c>
      <c r="C8" t="s">
        <v>14</v>
      </c>
      <c r="D8" t="s">
        <v>37</v>
      </c>
      <c r="E8" t="s">
        <v>16</v>
      </c>
      <c r="F8" t="s">
        <v>17</v>
      </c>
      <c r="G8" t="s">
        <v>18</v>
      </c>
      <c r="H8" t="s">
        <v>19</v>
      </c>
      <c r="I8" t="s">
        <v>20</v>
      </c>
      <c r="J8" s="2">
        <v>200</v>
      </c>
    </row>
    <row r="9" spans="1:12" ht="19.95" customHeight="1">
      <c r="A9" t="s">
        <v>38</v>
      </c>
      <c r="B9" t="s">
        <v>13</v>
      </c>
      <c r="C9" t="s">
        <v>14</v>
      </c>
      <c r="D9" t="s">
        <v>28</v>
      </c>
      <c r="E9" t="s">
        <v>16</v>
      </c>
      <c r="F9" t="s">
        <v>17</v>
      </c>
      <c r="G9" t="s">
        <v>18</v>
      </c>
      <c r="H9" t="s">
        <v>19</v>
      </c>
      <c r="I9" t="s">
        <v>20</v>
      </c>
      <c r="J9" s="2">
        <v>200</v>
      </c>
    </row>
    <row r="10" spans="1:12" ht="19.95" customHeight="1">
      <c r="A10" t="s">
        <v>39</v>
      </c>
      <c r="B10" t="s">
        <v>13</v>
      </c>
      <c r="C10" t="s">
        <v>14</v>
      </c>
      <c r="D10" t="s">
        <v>40</v>
      </c>
      <c r="E10" t="s">
        <v>16</v>
      </c>
      <c r="F10" t="s">
        <v>17</v>
      </c>
      <c r="G10" t="s">
        <v>18</v>
      </c>
      <c r="H10" t="s">
        <v>19</v>
      </c>
      <c r="I10" t="s">
        <v>20</v>
      </c>
      <c r="J10" s="2">
        <v>200</v>
      </c>
    </row>
    <row r="11" spans="1:12" ht="19.95" customHeight="1">
      <c r="A11" t="s">
        <v>41</v>
      </c>
      <c r="B11" t="s">
        <v>13</v>
      </c>
      <c r="C11" t="s">
        <v>14</v>
      </c>
      <c r="D11" t="s">
        <v>42</v>
      </c>
      <c r="E11" t="s">
        <v>16</v>
      </c>
      <c r="F11" t="s">
        <v>17</v>
      </c>
      <c r="G11" t="s">
        <v>23</v>
      </c>
      <c r="H11" t="s">
        <v>19</v>
      </c>
      <c r="I11" t="s">
        <v>20</v>
      </c>
      <c r="J11" s="2">
        <v>120</v>
      </c>
    </row>
    <row r="12" spans="1:12" ht="19.95" customHeight="1">
      <c r="A12" t="s">
        <v>43</v>
      </c>
      <c r="B12" t="s">
        <v>13</v>
      </c>
      <c r="C12" t="s">
        <v>14</v>
      </c>
      <c r="D12" t="s">
        <v>34</v>
      </c>
      <c r="E12" t="s">
        <v>16</v>
      </c>
      <c r="F12" t="s">
        <v>17</v>
      </c>
      <c r="G12" t="s">
        <v>23</v>
      </c>
      <c r="H12" t="s">
        <v>19</v>
      </c>
      <c r="I12" t="s">
        <v>20</v>
      </c>
      <c r="J12" s="2">
        <v>120</v>
      </c>
    </row>
    <row r="13" spans="1:12" ht="19.95" customHeight="1">
      <c r="A13" t="s">
        <v>44</v>
      </c>
      <c r="B13" t="s">
        <v>13</v>
      </c>
      <c r="C13" t="s">
        <v>14</v>
      </c>
      <c r="D13" t="s">
        <v>42</v>
      </c>
      <c r="E13" t="s">
        <v>16</v>
      </c>
      <c r="F13" t="s">
        <v>17</v>
      </c>
      <c r="G13" t="s">
        <v>32</v>
      </c>
      <c r="H13" t="s">
        <v>19</v>
      </c>
      <c r="I13" t="s">
        <v>20</v>
      </c>
      <c r="J13" s="2">
        <v>300</v>
      </c>
    </row>
    <row r="14" spans="1:12" ht="19.95" customHeight="1">
      <c r="A14" t="s">
        <v>45</v>
      </c>
      <c r="B14" t="s">
        <v>13</v>
      </c>
      <c r="C14" t="s">
        <v>14</v>
      </c>
      <c r="D14" t="s">
        <v>40</v>
      </c>
      <c r="E14" t="s">
        <v>16</v>
      </c>
      <c r="F14" t="s">
        <v>17</v>
      </c>
      <c r="G14" t="s">
        <v>23</v>
      </c>
      <c r="H14" t="s">
        <v>19</v>
      </c>
      <c r="I14" t="s">
        <v>20</v>
      </c>
      <c r="J14" s="2">
        <v>120</v>
      </c>
    </row>
    <row r="15" spans="1:12" ht="19.95" customHeight="1">
      <c r="A15" t="s">
        <v>46</v>
      </c>
      <c r="B15" t="s">
        <v>13</v>
      </c>
      <c r="C15" t="s">
        <v>47</v>
      </c>
      <c r="D15" t="s">
        <v>48</v>
      </c>
      <c r="E15" t="s">
        <v>16</v>
      </c>
      <c r="F15" t="s">
        <v>17</v>
      </c>
      <c r="G15" t="s">
        <v>32</v>
      </c>
      <c r="H15" t="s">
        <v>19</v>
      </c>
      <c r="I15" t="s">
        <v>20</v>
      </c>
      <c r="J15" s="2">
        <v>255</v>
      </c>
      <c r="L15" t="s">
        <v>29</v>
      </c>
    </row>
    <row r="16" spans="1:12" ht="19.95" customHeight="1">
      <c r="A16" t="s">
        <v>49</v>
      </c>
      <c r="B16" t="s">
        <v>13</v>
      </c>
      <c r="C16" t="s">
        <v>47</v>
      </c>
      <c r="D16" t="s">
        <v>50</v>
      </c>
      <c r="E16" t="s">
        <v>16</v>
      </c>
      <c r="F16" t="s">
        <v>17</v>
      </c>
      <c r="G16" t="s">
        <v>23</v>
      </c>
      <c r="H16" t="s">
        <v>19</v>
      </c>
      <c r="I16" t="s">
        <v>20</v>
      </c>
      <c r="J16" s="2">
        <v>120</v>
      </c>
    </row>
    <row r="17" spans="1:12" ht="19.95" customHeight="1">
      <c r="A17" t="s">
        <v>51</v>
      </c>
      <c r="B17" t="s">
        <v>13</v>
      </c>
      <c r="C17" t="s">
        <v>47</v>
      </c>
      <c r="D17" t="s">
        <v>52</v>
      </c>
      <c r="E17" t="s">
        <v>16</v>
      </c>
      <c r="F17" t="s">
        <v>17</v>
      </c>
      <c r="G17" t="s">
        <v>18</v>
      </c>
      <c r="H17" t="s">
        <v>19</v>
      </c>
      <c r="I17" t="s">
        <v>53</v>
      </c>
      <c r="J17" s="2">
        <v>200</v>
      </c>
    </row>
    <row r="18" spans="1:12" ht="19.95" customHeight="1">
      <c r="A18" t="s">
        <v>54</v>
      </c>
      <c r="B18" t="s">
        <v>13</v>
      </c>
      <c r="C18" t="s">
        <v>47</v>
      </c>
      <c r="D18" t="s">
        <v>55</v>
      </c>
      <c r="E18" t="s">
        <v>16</v>
      </c>
      <c r="F18" t="s">
        <v>35</v>
      </c>
      <c r="G18" t="s">
        <v>23</v>
      </c>
      <c r="H18" t="s">
        <v>19</v>
      </c>
      <c r="I18" t="s">
        <v>53</v>
      </c>
      <c r="J18" s="2">
        <v>102</v>
      </c>
      <c r="L18" t="s">
        <v>29</v>
      </c>
    </row>
    <row r="19" spans="1:12" ht="19.95" customHeight="1">
      <c r="A19" t="s">
        <v>56</v>
      </c>
      <c r="B19" t="s">
        <v>13</v>
      </c>
      <c r="C19" t="s">
        <v>47</v>
      </c>
      <c r="D19" t="s">
        <v>52</v>
      </c>
      <c r="E19" t="s">
        <v>16</v>
      </c>
      <c r="F19" t="s">
        <v>17</v>
      </c>
      <c r="G19" t="s">
        <v>23</v>
      </c>
      <c r="H19" t="s">
        <v>19</v>
      </c>
      <c r="I19" t="s">
        <v>20</v>
      </c>
      <c r="J19" s="2">
        <v>120</v>
      </c>
    </row>
    <row r="20" spans="1:12" ht="19.95" customHeight="1">
      <c r="A20" t="s">
        <v>57</v>
      </c>
      <c r="B20" t="s">
        <v>13</v>
      </c>
      <c r="C20" t="s">
        <v>47</v>
      </c>
      <c r="D20" t="s">
        <v>55</v>
      </c>
      <c r="E20" t="s">
        <v>16</v>
      </c>
      <c r="F20" t="s">
        <v>17</v>
      </c>
      <c r="G20" t="s">
        <v>18</v>
      </c>
      <c r="H20" t="s">
        <v>19</v>
      </c>
      <c r="I20" t="s">
        <v>20</v>
      </c>
      <c r="J20" s="2">
        <v>200</v>
      </c>
    </row>
    <row r="21" spans="1:12" ht="19.95" customHeight="1">
      <c r="A21" t="s">
        <v>58</v>
      </c>
      <c r="B21" t="s">
        <v>13</v>
      </c>
      <c r="C21" t="s">
        <v>47</v>
      </c>
      <c r="D21" t="s">
        <v>59</v>
      </c>
      <c r="E21" t="s">
        <v>16</v>
      </c>
      <c r="F21" t="s">
        <v>17</v>
      </c>
      <c r="G21" t="s">
        <v>32</v>
      </c>
      <c r="H21" t="s">
        <v>19</v>
      </c>
      <c r="I21" t="s">
        <v>20</v>
      </c>
      <c r="J21" s="2">
        <v>300</v>
      </c>
    </row>
    <row r="22" spans="1:12" ht="19.95" customHeight="1">
      <c r="A22" t="s">
        <v>60</v>
      </c>
      <c r="B22" t="s">
        <v>13</v>
      </c>
      <c r="C22" t="s">
        <v>47</v>
      </c>
      <c r="D22" t="s">
        <v>52</v>
      </c>
      <c r="E22" t="s">
        <v>16</v>
      </c>
      <c r="F22" t="s">
        <v>35</v>
      </c>
      <c r="G22" t="s">
        <v>18</v>
      </c>
      <c r="H22" t="s">
        <v>19</v>
      </c>
      <c r="I22" t="s">
        <v>20</v>
      </c>
      <c r="J22" s="2">
        <v>150</v>
      </c>
      <c r="L22" t="s">
        <v>29</v>
      </c>
    </row>
    <row r="23" spans="1:12" ht="19.95" customHeight="1">
      <c r="A23" t="s">
        <v>61</v>
      </c>
      <c r="B23" t="s">
        <v>13</v>
      </c>
      <c r="C23" t="s">
        <v>47</v>
      </c>
      <c r="D23" t="s">
        <v>62</v>
      </c>
      <c r="E23" t="s">
        <v>16</v>
      </c>
      <c r="F23" t="s">
        <v>35</v>
      </c>
      <c r="G23" t="s">
        <v>23</v>
      </c>
      <c r="H23" t="s">
        <v>19</v>
      </c>
      <c r="I23" t="s">
        <v>20</v>
      </c>
      <c r="J23" s="2">
        <v>120</v>
      </c>
    </row>
    <row r="24" spans="1:12" ht="19.95" customHeight="1">
      <c r="A24" t="s">
        <v>63</v>
      </c>
      <c r="B24" t="s">
        <v>13</v>
      </c>
      <c r="C24" t="s">
        <v>47</v>
      </c>
      <c r="D24" t="s">
        <v>64</v>
      </c>
      <c r="E24" t="s">
        <v>16</v>
      </c>
      <c r="F24" t="s">
        <v>17</v>
      </c>
      <c r="G24" t="s">
        <v>32</v>
      </c>
      <c r="H24" t="s">
        <v>19</v>
      </c>
      <c r="I24" t="s">
        <v>20</v>
      </c>
      <c r="J24" s="2">
        <v>300</v>
      </c>
    </row>
    <row r="25" spans="1:12" ht="19.95" customHeight="1">
      <c r="A25" t="s">
        <v>65</v>
      </c>
      <c r="B25" t="s">
        <v>13</v>
      </c>
      <c r="C25" t="s">
        <v>47</v>
      </c>
      <c r="D25" t="s">
        <v>66</v>
      </c>
      <c r="E25" t="s">
        <v>16</v>
      </c>
      <c r="F25" t="s">
        <v>17</v>
      </c>
      <c r="G25" t="s">
        <v>32</v>
      </c>
      <c r="H25" t="s">
        <v>19</v>
      </c>
      <c r="I25" t="s">
        <v>20</v>
      </c>
      <c r="J25" s="2">
        <v>300</v>
      </c>
    </row>
    <row r="26" spans="1:12" ht="19.95" customHeight="1">
      <c r="A26" t="s">
        <v>67</v>
      </c>
      <c r="B26" t="s">
        <v>13</v>
      </c>
      <c r="C26" t="s">
        <v>47</v>
      </c>
      <c r="D26" t="s">
        <v>50</v>
      </c>
      <c r="E26" t="s">
        <v>16</v>
      </c>
      <c r="F26" t="s">
        <v>35</v>
      </c>
      <c r="G26" t="s">
        <v>23</v>
      </c>
      <c r="H26" t="s">
        <v>24</v>
      </c>
      <c r="I26" t="s">
        <v>20</v>
      </c>
      <c r="J26" s="2">
        <v>120</v>
      </c>
    </row>
    <row r="27" spans="1:12" ht="19.95" customHeight="1">
      <c r="A27" t="s">
        <v>68</v>
      </c>
      <c r="B27" t="s">
        <v>13</v>
      </c>
      <c r="C27" t="s">
        <v>47</v>
      </c>
      <c r="D27" t="s">
        <v>59</v>
      </c>
      <c r="E27" t="s">
        <v>16</v>
      </c>
      <c r="F27" t="s">
        <v>17</v>
      </c>
      <c r="G27" t="s">
        <v>32</v>
      </c>
      <c r="H27" t="s">
        <v>24</v>
      </c>
      <c r="I27" t="s">
        <v>20</v>
      </c>
      <c r="J27" s="2">
        <v>300</v>
      </c>
    </row>
    <row r="28" spans="1:12" ht="19.95" customHeight="1">
      <c r="A28" t="s">
        <v>69</v>
      </c>
      <c r="B28" t="s">
        <v>13</v>
      </c>
      <c r="C28" t="s">
        <v>47</v>
      </c>
      <c r="D28" t="s">
        <v>62</v>
      </c>
      <c r="E28" t="s">
        <v>16</v>
      </c>
      <c r="F28" t="s">
        <v>35</v>
      </c>
      <c r="G28" t="s">
        <v>18</v>
      </c>
      <c r="H28" t="s">
        <v>24</v>
      </c>
      <c r="I28" t="s">
        <v>20</v>
      </c>
      <c r="J28" s="2">
        <v>200</v>
      </c>
    </row>
    <row r="29" spans="1:12" ht="19.95" customHeight="1">
      <c r="A29" t="s">
        <v>70</v>
      </c>
      <c r="B29" t="s">
        <v>13</v>
      </c>
      <c r="C29" t="s">
        <v>47</v>
      </c>
      <c r="D29" t="s">
        <v>71</v>
      </c>
      <c r="E29" t="s">
        <v>16</v>
      </c>
      <c r="F29" t="s">
        <v>17</v>
      </c>
      <c r="G29" t="s">
        <v>23</v>
      </c>
      <c r="H29" t="s">
        <v>19</v>
      </c>
      <c r="I29" t="s">
        <v>20</v>
      </c>
      <c r="J29" s="2">
        <v>120</v>
      </c>
    </row>
    <row r="30" spans="1:12" ht="19.95" customHeight="1">
      <c r="A30" t="s">
        <v>72</v>
      </c>
      <c r="B30" t="s">
        <v>13</v>
      </c>
      <c r="C30" t="s">
        <v>47</v>
      </c>
      <c r="D30" t="s">
        <v>73</v>
      </c>
      <c r="E30" t="s">
        <v>16</v>
      </c>
      <c r="F30" t="s">
        <v>17</v>
      </c>
      <c r="G30" t="s">
        <v>18</v>
      </c>
      <c r="H30" t="s">
        <v>19</v>
      </c>
      <c r="I30" t="s">
        <v>74</v>
      </c>
      <c r="J30" s="2">
        <v>200</v>
      </c>
    </row>
    <row r="31" spans="1:12" ht="19.95" customHeight="1">
      <c r="A31" t="s">
        <v>75</v>
      </c>
      <c r="B31" t="s">
        <v>13</v>
      </c>
      <c r="C31" t="s">
        <v>47</v>
      </c>
      <c r="D31" t="s">
        <v>73</v>
      </c>
      <c r="E31" t="s">
        <v>16</v>
      </c>
      <c r="F31" t="s">
        <v>17</v>
      </c>
      <c r="G31" t="s">
        <v>32</v>
      </c>
      <c r="H31" t="s">
        <v>19</v>
      </c>
      <c r="I31" t="s">
        <v>20</v>
      </c>
      <c r="J31" s="2">
        <v>300</v>
      </c>
    </row>
    <row r="32" spans="1:12" ht="19.95" customHeight="1">
      <c r="A32" t="s">
        <v>76</v>
      </c>
      <c r="B32" t="s">
        <v>13</v>
      </c>
      <c r="C32" t="s">
        <v>47</v>
      </c>
      <c r="D32" t="s">
        <v>71</v>
      </c>
      <c r="E32" t="s">
        <v>16</v>
      </c>
      <c r="F32" t="s">
        <v>17</v>
      </c>
      <c r="G32" t="s">
        <v>18</v>
      </c>
      <c r="H32" t="s">
        <v>19</v>
      </c>
      <c r="I32" t="s">
        <v>20</v>
      </c>
      <c r="J32" s="2">
        <v>200</v>
      </c>
    </row>
    <row r="33" spans="1:12" ht="19.95" customHeight="1">
      <c r="A33" t="s">
        <v>77</v>
      </c>
      <c r="B33" t="s">
        <v>13</v>
      </c>
      <c r="C33" t="s">
        <v>78</v>
      </c>
      <c r="D33" t="s">
        <v>79</v>
      </c>
      <c r="E33" t="s">
        <v>16</v>
      </c>
      <c r="F33" t="s">
        <v>17</v>
      </c>
      <c r="G33" t="s">
        <v>23</v>
      </c>
      <c r="H33" t="s">
        <v>19</v>
      </c>
      <c r="I33" t="s">
        <v>20</v>
      </c>
      <c r="J33" s="2">
        <v>120</v>
      </c>
    </row>
    <row r="34" spans="1:12" ht="19.95" customHeight="1">
      <c r="A34" t="s">
        <v>80</v>
      </c>
      <c r="B34" t="s">
        <v>13</v>
      </c>
      <c r="C34" t="s">
        <v>78</v>
      </c>
      <c r="D34" t="s">
        <v>81</v>
      </c>
      <c r="E34" t="s">
        <v>16</v>
      </c>
      <c r="F34" t="s">
        <v>17</v>
      </c>
      <c r="G34" t="s">
        <v>18</v>
      </c>
      <c r="H34" t="s">
        <v>19</v>
      </c>
      <c r="I34" t="s">
        <v>20</v>
      </c>
      <c r="J34" s="2">
        <v>200</v>
      </c>
    </row>
    <row r="35" spans="1:12" ht="19.95" customHeight="1">
      <c r="A35" t="s">
        <v>82</v>
      </c>
      <c r="B35" t="s">
        <v>13</v>
      </c>
      <c r="C35" t="s">
        <v>78</v>
      </c>
      <c r="D35" t="s">
        <v>83</v>
      </c>
      <c r="E35" t="s">
        <v>16</v>
      </c>
      <c r="F35" t="s">
        <v>17</v>
      </c>
      <c r="G35" t="s">
        <v>23</v>
      </c>
      <c r="H35" t="s">
        <v>19</v>
      </c>
      <c r="I35" t="s">
        <v>20</v>
      </c>
      <c r="J35" s="2">
        <v>102</v>
      </c>
      <c r="L35" t="s">
        <v>29</v>
      </c>
    </row>
    <row r="36" spans="1:12" ht="19.95" customHeight="1">
      <c r="A36" t="s">
        <v>84</v>
      </c>
      <c r="B36" t="s">
        <v>13</v>
      </c>
      <c r="C36" t="s">
        <v>78</v>
      </c>
      <c r="D36" t="s">
        <v>85</v>
      </c>
      <c r="E36" t="s">
        <v>16</v>
      </c>
      <c r="F36" t="s">
        <v>17</v>
      </c>
      <c r="G36" t="s">
        <v>23</v>
      </c>
      <c r="H36" t="s">
        <v>19</v>
      </c>
      <c r="I36" t="s">
        <v>74</v>
      </c>
      <c r="J36" s="2">
        <v>120</v>
      </c>
    </row>
    <row r="37" spans="1:12" ht="19.95" customHeight="1">
      <c r="A37" t="s">
        <v>86</v>
      </c>
      <c r="B37" t="s">
        <v>13</v>
      </c>
      <c r="C37" t="s">
        <v>78</v>
      </c>
      <c r="D37" t="s">
        <v>87</v>
      </c>
      <c r="E37" t="s">
        <v>16</v>
      </c>
      <c r="F37" t="s">
        <v>17</v>
      </c>
      <c r="G37" t="s">
        <v>23</v>
      </c>
      <c r="H37" t="s">
        <v>19</v>
      </c>
      <c r="I37" t="s">
        <v>20</v>
      </c>
      <c r="J37" s="2">
        <v>120</v>
      </c>
    </row>
    <row r="38" spans="1:12" ht="19.95" customHeight="1">
      <c r="A38" t="s">
        <v>88</v>
      </c>
      <c r="B38" t="s">
        <v>13</v>
      </c>
      <c r="C38" t="s">
        <v>78</v>
      </c>
      <c r="D38" t="s">
        <v>89</v>
      </c>
      <c r="E38" t="s">
        <v>16</v>
      </c>
      <c r="F38" t="s">
        <v>17</v>
      </c>
      <c r="G38" t="s">
        <v>18</v>
      </c>
      <c r="H38" t="s">
        <v>24</v>
      </c>
      <c r="I38" t="s">
        <v>20</v>
      </c>
      <c r="J38" s="2">
        <v>200</v>
      </c>
    </row>
    <row r="39" spans="1:12" ht="19.95" customHeight="1">
      <c r="A39" t="s">
        <v>90</v>
      </c>
      <c r="B39" t="s">
        <v>13</v>
      </c>
      <c r="C39" t="s">
        <v>78</v>
      </c>
      <c r="D39" t="s">
        <v>89</v>
      </c>
      <c r="E39" t="s">
        <v>16</v>
      </c>
      <c r="F39" t="s">
        <v>17</v>
      </c>
      <c r="G39" t="s">
        <v>18</v>
      </c>
      <c r="H39" t="s">
        <v>19</v>
      </c>
      <c r="I39" t="s">
        <v>20</v>
      </c>
      <c r="J39" s="2">
        <v>200</v>
      </c>
    </row>
    <row r="40" spans="1:12" ht="19.95" customHeight="1">
      <c r="A40" t="s">
        <v>91</v>
      </c>
      <c r="B40" t="s">
        <v>13</v>
      </c>
      <c r="C40" t="s">
        <v>78</v>
      </c>
      <c r="D40" t="s">
        <v>85</v>
      </c>
      <c r="E40" t="s">
        <v>16</v>
      </c>
      <c r="F40" t="s">
        <v>17</v>
      </c>
      <c r="G40" t="s">
        <v>18</v>
      </c>
      <c r="H40" t="s">
        <v>19</v>
      </c>
      <c r="I40" t="s">
        <v>20</v>
      </c>
      <c r="J40" s="2">
        <v>200</v>
      </c>
    </row>
    <row r="41" spans="1:12" ht="19.95" customHeight="1">
      <c r="A41" t="s">
        <v>91</v>
      </c>
      <c r="B41" t="s">
        <v>13</v>
      </c>
      <c r="C41" t="s">
        <v>78</v>
      </c>
      <c r="D41" t="s">
        <v>85</v>
      </c>
      <c r="E41" t="s">
        <v>16</v>
      </c>
      <c r="F41" t="s">
        <v>17</v>
      </c>
      <c r="G41" t="s">
        <v>18</v>
      </c>
      <c r="H41" t="s">
        <v>19</v>
      </c>
      <c r="I41" t="s">
        <v>20</v>
      </c>
      <c r="J41" s="2">
        <v>200</v>
      </c>
    </row>
    <row r="42" spans="1:12" ht="19.95" customHeight="1">
      <c r="A42" t="s">
        <v>92</v>
      </c>
      <c r="B42" t="s">
        <v>13</v>
      </c>
      <c r="C42" t="s">
        <v>78</v>
      </c>
      <c r="D42" t="s">
        <v>93</v>
      </c>
      <c r="E42" t="s">
        <v>16</v>
      </c>
      <c r="F42" t="s">
        <v>17</v>
      </c>
      <c r="G42" t="s">
        <v>18</v>
      </c>
      <c r="H42" t="s">
        <v>19</v>
      </c>
      <c r="I42" t="s">
        <v>20</v>
      </c>
      <c r="J42" s="2">
        <v>200</v>
      </c>
    </row>
    <row r="43" spans="1:12" ht="19.95" customHeight="1">
      <c r="A43" t="s">
        <v>94</v>
      </c>
      <c r="B43" t="s">
        <v>13</v>
      </c>
      <c r="C43" t="s">
        <v>78</v>
      </c>
      <c r="D43" t="s">
        <v>81</v>
      </c>
      <c r="E43" t="s">
        <v>16</v>
      </c>
      <c r="F43" t="s">
        <v>17</v>
      </c>
      <c r="G43" t="s">
        <v>18</v>
      </c>
      <c r="H43" t="s">
        <v>19</v>
      </c>
      <c r="I43" t="s">
        <v>20</v>
      </c>
      <c r="J43" s="2">
        <v>150</v>
      </c>
      <c r="L43" t="s">
        <v>29</v>
      </c>
    </row>
    <row r="44" spans="1:12" ht="19.95" customHeight="1">
      <c r="A44" t="s">
        <v>95</v>
      </c>
      <c r="B44" t="s">
        <v>13</v>
      </c>
      <c r="C44" t="s">
        <v>78</v>
      </c>
      <c r="D44" t="s">
        <v>89</v>
      </c>
      <c r="E44" t="s">
        <v>16</v>
      </c>
      <c r="F44" t="s">
        <v>17</v>
      </c>
      <c r="G44" t="s">
        <v>18</v>
      </c>
      <c r="H44" t="s">
        <v>19</v>
      </c>
      <c r="I44" t="s">
        <v>20</v>
      </c>
      <c r="J44" s="2">
        <v>200</v>
      </c>
    </row>
    <row r="45" spans="1:12" ht="19.95" customHeight="1">
      <c r="A45" t="s">
        <v>96</v>
      </c>
      <c r="B45" t="s">
        <v>13</v>
      </c>
      <c r="C45" t="s">
        <v>78</v>
      </c>
      <c r="D45" t="s">
        <v>97</v>
      </c>
      <c r="E45" t="s">
        <v>16</v>
      </c>
      <c r="F45" t="s">
        <v>35</v>
      </c>
      <c r="G45" t="s">
        <v>18</v>
      </c>
      <c r="H45" t="s">
        <v>19</v>
      </c>
      <c r="I45" t="s">
        <v>53</v>
      </c>
      <c r="J45" s="2">
        <v>170</v>
      </c>
      <c r="L45" t="s">
        <v>29</v>
      </c>
    </row>
    <row r="46" spans="1:12" ht="19.95" customHeight="1">
      <c r="A46" t="s">
        <v>98</v>
      </c>
      <c r="B46" t="s">
        <v>13</v>
      </c>
      <c r="C46" t="s">
        <v>78</v>
      </c>
      <c r="D46" t="s">
        <v>97</v>
      </c>
      <c r="E46" t="s">
        <v>16</v>
      </c>
      <c r="F46" t="s">
        <v>17</v>
      </c>
      <c r="G46" t="s">
        <v>18</v>
      </c>
      <c r="H46" t="s">
        <v>19</v>
      </c>
      <c r="I46" t="s">
        <v>20</v>
      </c>
      <c r="J46" s="2">
        <v>200</v>
      </c>
    </row>
    <row r="47" spans="1:12" ht="19.95" customHeight="1">
      <c r="A47" t="s">
        <v>99</v>
      </c>
      <c r="B47" t="s">
        <v>13</v>
      </c>
      <c r="C47" t="s">
        <v>78</v>
      </c>
      <c r="D47" t="s">
        <v>87</v>
      </c>
      <c r="E47" t="s">
        <v>16</v>
      </c>
      <c r="F47" t="s">
        <v>17</v>
      </c>
      <c r="G47" t="s">
        <v>23</v>
      </c>
      <c r="H47" t="s">
        <v>19</v>
      </c>
      <c r="I47" t="s">
        <v>20</v>
      </c>
      <c r="J47" s="2">
        <v>120</v>
      </c>
    </row>
    <row r="48" spans="1:12" ht="19.95" customHeight="1">
      <c r="A48" t="s">
        <v>100</v>
      </c>
      <c r="B48" t="s">
        <v>13</v>
      </c>
      <c r="C48" t="s">
        <v>78</v>
      </c>
      <c r="D48" t="s">
        <v>97</v>
      </c>
      <c r="E48" t="s">
        <v>16</v>
      </c>
      <c r="F48" t="s">
        <v>17</v>
      </c>
      <c r="G48" t="s">
        <v>18</v>
      </c>
      <c r="H48" t="s">
        <v>19</v>
      </c>
      <c r="I48" t="s">
        <v>20</v>
      </c>
      <c r="J48" s="2">
        <v>200</v>
      </c>
    </row>
    <row r="49" spans="1:10" ht="19.95" customHeight="1">
      <c r="A49" t="s">
        <v>101</v>
      </c>
      <c r="B49" t="s">
        <v>13</v>
      </c>
      <c r="C49" t="s">
        <v>78</v>
      </c>
      <c r="D49" t="s">
        <v>102</v>
      </c>
      <c r="E49" t="s">
        <v>16</v>
      </c>
      <c r="F49" t="s">
        <v>17</v>
      </c>
      <c r="G49" t="s">
        <v>23</v>
      </c>
      <c r="H49" t="s">
        <v>24</v>
      </c>
      <c r="I49" t="s">
        <v>20</v>
      </c>
      <c r="J49" s="2">
        <v>120</v>
      </c>
    </row>
    <row r="50" spans="1:10" ht="19.95" customHeight="1">
      <c r="A50" t="s">
        <v>103</v>
      </c>
      <c r="B50" t="s">
        <v>13</v>
      </c>
      <c r="C50" t="s">
        <v>78</v>
      </c>
      <c r="D50" t="s">
        <v>89</v>
      </c>
      <c r="E50" t="s">
        <v>16</v>
      </c>
      <c r="F50" t="s">
        <v>17</v>
      </c>
      <c r="G50" t="s">
        <v>32</v>
      </c>
      <c r="H50" t="s">
        <v>19</v>
      </c>
      <c r="I50" t="s">
        <v>20</v>
      </c>
      <c r="J50" s="2">
        <v>300</v>
      </c>
    </row>
    <row r="51" spans="1:10" ht="19.95" customHeight="1">
      <c r="A51" t="s">
        <v>104</v>
      </c>
      <c r="B51" t="s">
        <v>13</v>
      </c>
      <c r="C51" t="s">
        <v>105</v>
      </c>
      <c r="D51" t="s">
        <v>106</v>
      </c>
      <c r="E51" t="s">
        <v>16</v>
      </c>
      <c r="F51" t="s">
        <v>17</v>
      </c>
      <c r="G51" t="s">
        <v>18</v>
      </c>
      <c r="H51" t="s">
        <v>19</v>
      </c>
      <c r="I51" t="s">
        <v>20</v>
      </c>
      <c r="J51" s="2">
        <v>200</v>
      </c>
    </row>
    <row r="52" spans="1:10" ht="19.95" customHeight="1">
      <c r="A52" t="s">
        <v>107</v>
      </c>
      <c r="B52" t="s">
        <v>13</v>
      </c>
      <c r="C52" t="s">
        <v>105</v>
      </c>
      <c r="D52" t="s">
        <v>108</v>
      </c>
      <c r="E52" t="s">
        <v>16</v>
      </c>
      <c r="F52" t="s">
        <v>17</v>
      </c>
      <c r="G52" t="s">
        <v>23</v>
      </c>
      <c r="H52" t="s">
        <v>19</v>
      </c>
      <c r="I52" t="s">
        <v>20</v>
      </c>
      <c r="J52" s="2">
        <v>120</v>
      </c>
    </row>
    <row r="53" spans="1:10" ht="19.95" customHeight="1">
      <c r="A53" t="s">
        <v>109</v>
      </c>
      <c r="B53" t="s">
        <v>13</v>
      </c>
      <c r="C53" t="s">
        <v>105</v>
      </c>
      <c r="D53" t="s">
        <v>110</v>
      </c>
      <c r="E53" t="s">
        <v>16</v>
      </c>
      <c r="F53" t="s">
        <v>17</v>
      </c>
      <c r="G53" t="s">
        <v>32</v>
      </c>
      <c r="H53" t="s">
        <v>19</v>
      </c>
      <c r="I53" t="s">
        <v>20</v>
      </c>
      <c r="J53" s="2">
        <v>300</v>
      </c>
    </row>
    <row r="54" spans="1:10" ht="19.95" customHeight="1">
      <c r="A54" t="s">
        <v>111</v>
      </c>
      <c r="B54" t="s">
        <v>13</v>
      </c>
      <c r="C54" t="s">
        <v>105</v>
      </c>
      <c r="D54" t="s">
        <v>112</v>
      </c>
      <c r="E54" t="s">
        <v>16</v>
      </c>
      <c r="F54" t="s">
        <v>17</v>
      </c>
      <c r="G54" t="s">
        <v>32</v>
      </c>
      <c r="H54" t="s">
        <v>19</v>
      </c>
      <c r="I54" t="s">
        <v>20</v>
      </c>
      <c r="J54" s="2">
        <v>300</v>
      </c>
    </row>
    <row r="55" spans="1:10" ht="19.95" customHeight="1">
      <c r="A55" t="s">
        <v>113</v>
      </c>
      <c r="B55" t="s">
        <v>13</v>
      </c>
      <c r="C55" t="s">
        <v>105</v>
      </c>
      <c r="D55" t="s">
        <v>108</v>
      </c>
      <c r="E55" t="s">
        <v>16</v>
      </c>
      <c r="F55" t="s">
        <v>35</v>
      </c>
      <c r="G55" t="s">
        <v>32</v>
      </c>
      <c r="H55" t="s">
        <v>19</v>
      </c>
      <c r="I55" t="s">
        <v>20</v>
      </c>
      <c r="J55" s="2">
        <v>300</v>
      </c>
    </row>
    <row r="56" spans="1:10" ht="19.95" customHeight="1">
      <c r="A56" t="s">
        <v>114</v>
      </c>
      <c r="B56" t="s">
        <v>13</v>
      </c>
      <c r="C56" t="s">
        <v>105</v>
      </c>
      <c r="D56" t="s">
        <v>108</v>
      </c>
      <c r="E56" t="s">
        <v>16</v>
      </c>
      <c r="F56" t="s">
        <v>17</v>
      </c>
      <c r="G56" t="s">
        <v>23</v>
      </c>
      <c r="H56" t="s">
        <v>19</v>
      </c>
      <c r="I56" t="s">
        <v>20</v>
      </c>
      <c r="J56" s="2">
        <v>120</v>
      </c>
    </row>
    <row r="57" spans="1:10" ht="19.95" customHeight="1">
      <c r="A57" t="s">
        <v>115</v>
      </c>
      <c r="B57" t="s">
        <v>13</v>
      </c>
      <c r="C57" t="s">
        <v>105</v>
      </c>
      <c r="D57" t="s">
        <v>116</v>
      </c>
      <c r="E57" t="s">
        <v>16</v>
      </c>
      <c r="F57" t="s">
        <v>17</v>
      </c>
      <c r="G57" t="s">
        <v>32</v>
      </c>
      <c r="H57" t="s">
        <v>19</v>
      </c>
      <c r="I57" t="s">
        <v>20</v>
      </c>
      <c r="J57" s="2">
        <v>300</v>
      </c>
    </row>
    <row r="58" spans="1:10" ht="19.95" customHeight="1">
      <c r="A58" t="s">
        <v>117</v>
      </c>
      <c r="B58" t="s">
        <v>13</v>
      </c>
      <c r="C58" t="s">
        <v>105</v>
      </c>
      <c r="D58" t="s">
        <v>118</v>
      </c>
      <c r="E58" t="s">
        <v>16</v>
      </c>
      <c r="F58" t="s">
        <v>17</v>
      </c>
      <c r="G58" t="s">
        <v>23</v>
      </c>
      <c r="H58" t="s">
        <v>24</v>
      </c>
      <c r="I58" t="s">
        <v>20</v>
      </c>
      <c r="J58" s="2">
        <v>120</v>
      </c>
    </row>
    <row r="59" spans="1:10" ht="19.95" customHeight="1">
      <c r="A59" t="s">
        <v>119</v>
      </c>
      <c r="B59" t="s">
        <v>13</v>
      </c>
      <c r="C59" t="s">
        <v>105</v>
      </c>
      <c r="D59" t="s">
        <v>120</v>
      </c>
      <c r="E59" t="s">
        <v>16</v>
      </c>
      <c r="F59" t="s">
        <v>17</v>
      </c>
      <c r="G59" t="s">
        <v>23</v>
      </c>
      <c r="H59" t="s">
        <v>19</v>
      </c>
      <c r="I59" t="s">
        <v>20</v>
      </c>
      <c r="J59" s="2">
        <v>120</v>
      </c>
    </row>
    <row r="60" spans="1:10" ht="19.95" customHeight="1">
      <c r="A60" t="s">
        <v>121</v>
      </c>
      <c r="B60" t="s">
        <v>13</v>
      </c>
      <c r="C60" t="s">
        <v>105</v>
      </c>
      <c r="D60" t="s">
        <v>120</v>
      </c>
      <c r="E60" t="s">
        <v>16</v>
      </c>
      <c r="F60" t="s">
        <v>17</v>
      </c>
      <c r="G60" t="s">
        <v>23</v>
      </c>
      <c r="H60" t="s">
        <v>19</v>
      </c>
      <c r="I60" t="s">
        <v>20</v>
      </c>
      <c r="J60" s="2">
        <v>120</v>
      </c>
    </row>
    <row r="61" spans="1:10" ht="19.95" customHeight="1">
      <c r="A61" t="s">
        <v>122</v>
      </c>
      <c r="B61" t="s">
        <v>13</v>
      </c>
      <c r="C61" t="s">
        <v>105</v>
      </c>
      <c r="D61" t="s">
        <v>110</v>
      </c>
      <c r="E61" t="s">
        <v>16</v>
      </c>
      <c r="F61" t="s">
        <v>17</v>
      </c>
      <c r="G61" t="s">
        <v>32</v>
      </c>
      <c r="H61" t="s">
        <v>24</v>
      </c>
      <c r="I61" t="s">
        <v>20</v>
      </c>
      <c r="J61" s="2">
        <v>300</v>
      </c>
    </row>
    <row r="62" spans="1:10" ht="19.95" customHeight="1">
      <c r="A62" t="s">
        <v>123</v>
      </c>
      <c r="B62" t="s">
        <v>13</v>
      </c>
      <c r="C62" t="s">
        <v>105</v>
      </c>
      <c r="D62" t="s">
        <v>108</v>
      </c>
      <c r="E62" t="s">
        <v>16</v>
      </c>
      <c r="F62" t="s">
        <v>17</v>
      </c>
      <c r="G62" t="s">
        <v>23</v>
      </c>
      <c r="H62" t="s">
        <v>19</v>
      </c>
      <c r="I62" t="s">
        <v>20</v>
      </c>
      <c r="J62" s="2">
        <v>120</v>
      </c>
    </row>
    <row r="63" spans="1:10" ht="19.95" customHeight="1">
      <c r="A63" t="s">
        <v>124</v>
      </c>
      <c r="B63" t="s">
        <v>13</v>
      </c>
      <c r="C63" t="s">
        <v>105</v>
      </c>
      <c r="D63" t="s">
        <v>108</v>
      </c>
      <c r="E63" t="s">
        <v>16</v>
      </c>
      <c r="F63" t="s">
        <v>35</v>
      </c>
      <c r="G63" t="s">
        <v>32</v>
      </c>
      <c r="H63" t="s">
        <v>19</v>
      </c>
      <c r="I63" t="s">
        <v>20</v>
      </c>
      <c r="J63" s="2">
        <v>300</v>
      </c>
    </row>
    <row r="64" spans="1:10" ht="19.95" customHeight="1">
      <c r="A64" t="s">
        <v>125</v>
      </c>
      <c r="B64" t="s">
        <v>13</v>
      </c>
      <c r="C64" t="s">
        <v>105</v>
      </c>
      <c r="D64" t="s">
        <v>108</v>
      </c>
      <c r="E64" t="s">
        <v>16</v>
      </c>
      <c r="F64" t="s">
        <v>17</v>
      </c>
      <c r="G64" t="s">
        <v>32</v>
      </c>
      <c r="H64" t="s">
        <v>19</v>
      </c>
      <c r="I64" t="s">
        <v>20</v>
      </c>
      <c r="J64" s="2">
        <v>300</v>
      </c>
    </row>
    <row r="65" spans="1:12" ht="19.95" customHeight="1">
      <c r="A65" t="s">
        <v>126</v>
      </c>
      <c r="B65" t="s">
        <v>127</v>
      </c>
      <c r="C65" t="s">
        <v>14</v>
      </c>
      <c r="D65" t="s">
        <v>40</v>
      </c>
      <c r="E65" t="s">
        <v>16</v>
      </c>
      <c r="F65" t="s">
        <v>17</v>
      </c>
      <c r="G65" t="s">
        <v>18</v>
      </c>
      <c r="H65" t="s">
        <v>19</v>
      </c>
      <c r="I65" t="s">
        <v>20</v>
      </c>
      <c r="J65" s="2">
        <v>200</v>
      </c>
    </row>
    <row r="66" spans="1:12" ht="19.95" customHeight="1">
      <c r="A66" t="s">
        <v>128</v>
      </c>
      <c r="B66" t="s">
        <v>127</v>
      </c>
      <c r="C66" t="s">
        <v>14</v>
      </c>
      <c r="D66" t="s">
        <v>40</v>
      </c>
      <c r="E66" t="s">
        <v>16</v>
      </c>
      <c r="F66" t="s">
        <v>17</v>
      </c>
      <c r="G66" t="s">
        <v>18</v>
      </c>
      <c r="H66" t="s">
        <v>19</v>
      </c>
      <c r="I66" t="s">
        <v>20</v>
      </c>
      <c r="J66" s="2">
        <v>170</v>
      </c>
      <c r="L66" t="s">
        <v>29</v>
      </c>
    </row>
    <row r="67" spans="1:12" ht="19.95" customHeight="1">
      <c r="A67" t="s">
        <v>129</v>
      </c>
      <c r="B67" t="s">
        <v>127</v>
      </c>
      <c r="C67" t="s">
        <v>14</v>
      </c>
      <c r="D67" t="s">
        <v>26</v>
      </c>
      <c r="E67" t="s">
        <v>16</v>
      </c>
      <c r="F67" t="s">
        <v>17</v>
      </c>
      <c r="G67" t="s">
        <v>32</v>
      </c>
      <c r="H67" t="s">
        <v>19</v>
      </c>
      <c r="I67" t="s">
        <v>20</v>
      </c>
      <c r="J67" s="2">
        <v>300</v>
      </c>
    </row>
    <row r="68" spans="1:12" ht="19.95" customHeight="1">
      <c r="A68" t="s">
        <v>130</v>
      </c>
      <c r="B68" t="s">
        <v>127</v>
      </c>
      <c r="C68" t="s">
        <v>14</v>
      </c>
      <c r="D68" t="s">
        <v>131</v>
      </c>
      <c r="E68" t="s">
        <v>16</v>
      </c>
      <c r="F68" t="s">
        <v>35</v>
      </c>
      <c r="G68" t="s">
        <v>23</v>
      </c>
      <c r="H68" t="s">
        <v>19</v>
      </c>
      <c r="I68" t="s">
        <v>20</v>
      </c>
      <c r="J68" s="2">
        <v>120</v>
      </c>
    </row>
    <row r="69" spans="1:12" ht="19.95" customHeight="1">
      <c r="A69" t="s">
        <v>132</v>
      </c>
      <c r="B69" t="s">
        <v>127</v>
      </c>
      <c r="C69" t="s">
        <v>14</v>
      </c>
      <c r="D69" t="s">
        <v>131</v>
      </c>
      <c r="E69" t="s">
        <v>16</v>
      </c>
      <c r="F69" t="s">
        <v>35</v>
      </c>
      <c r="G69" t="s">
        <v>18</v>
      </c>
      <c r="H69" t="s">
        <v>19</v>
      </c>
      <c r="I69" t="s">
        <v>20</v>
      </c>
      <c r="J69" s="2">
        <v>200</v>
      </c>
    </row>
    <row r="70" spans="1:12" ht="19.95" customHeight="1">
      <c r="A70" t="s">
        <v>133</v>
      </c>
      <c r="B70" t="s">
        <v>127</v>
      </c>
      <c r="C70" t="s">
        <v>14</v>
      </c>
      <c r="D70" t="s">
        <v>31</v>
      </c>
      <c r="E70" t="s">
        <v>16</v>
      </c>
      <c r="F70" t="s">
        <v>17</v>
      </c>
      <c r="G70" t="s">
        <v>32</v>
      </c>
      <c r="H70" t="s">
        <v>19</v>
      </c>
      <c r="I70" t="s">
        <v>20</v>
      </c>
      <c r="J70" s="2">
        <v>300</v>
      </c>
    </row>
    <row r="71" spans="1:12" ht="19.95" customHeight="1">
      <c r="A71" t="s">
        <v>134</v>
      </c>
      <c r="B71" t="s">
        <v>127</v>
      </c>
      <c r="C71" t="s">
        <v>14</v>
      </c>
      <c r="D71" t="s">
        <v>40</v>
      </c>
      <c r="E71" t="s">
        <v>16</v>
      </c>
      <c r="F71" t="s">
        <v>17</v>
      </c>
      <c r="G71" t="s">
        <v>23</v>
      </c>
      <c r="H71" t="s">
        <v>19</v>
      </c>
      <c r="I71" t="s">
        <v>20</v>
      </c>
      <c r="J71" s="2">
        <v>120</v>
      </c>
    </row>
    <row r="72" spans="1:12" ht="19.95" customHeight="1">
      <c r="A72" t="s">
        <v>135</v>
      </c>
      <c r="B72" t="s">
        <v>127</v>
      </c>
      <c r="C72" t="s">
        <v>14</v>
      </c>
      <c r="D72" t="s">
        <v>28</v>
      </c>
      <c r="E72" t="s">
        <v>16</v>
      </c>
      <c r="F72" t="s">
        <v>17</v>
      </c>
      <c r="G72" t="s">
        <v>23</v>
      </c>
      <c r="H72" t="s">
        <v>19</v>
      </c>
      <c r="I72" t="s">
        <v>20</v>
      </c>
      <c r="J72" s="2">
        <v>120</v>
      </c>
    </row>
    <row r="73" spans="1:12" ht="19.95" customHeight="1">
      <c r="A73" t="s">
        <v>136</v>
      </c>
      <c r="B73" t="s">
        <v>127</v>
      </c>
      <c r="C73" t="s">
        <v>14</v>
      </c>
      <c r="D73" t="s">
        <v>137</v>
      </c>
      <c r="E73" t="s">
        <v>16</v>
      </c>
      <c r="F73" t="s">
        <v>35</v>
      </c>
      <c r="G73" t="s">
        <v>32</v>
      </c>
      <c r="H73" t="s">
        <v>19</v>
      </c>
      <c r="I73" t="s">
        <v>20</v>
      </c>
      <c r="J73" s="2">
        <v>225</v>
      </c>
      <c r="L73" t="s">
        <v>29</v>
      </c>
    </row>
    <row r="74" spans="1:12" ht="19.95" customHeight="1">
      <c r="A74" t="s">
        <v>138</v>
      </c>
      <c r="B74" t="s">
        <v>127</v>
      </c>
      <c r="C74" t="s">
        <v>14</v>
      </c>
      <c r="D74" t="s">
        <v>42</v>
      </c>
      <c r="E74" t="s">
        <v>16</v>
      </c>
      <c r="F74" t="s">
        <v>17</v>
      </c>
      <c r="G74" t="s">
        <v>18</v>
      </c>
      <c r="H74" t="s">
        <v>19</v>
      </c>
      <c r="I74" t="s">
        <v>74</v>
      </c>
      <c r="J74" s="2">
        <v>200</v>
      </c>
    </row>
    <row r="75" spans="1:12" ht="19.95" customHeight="1">
      <c r="A75" t="s">
        <v>139</v>
      </c>
      <c r="B75" t="s">
        <v>127</v>
      </c>
      <c r="C75" t="s">
        <v>14</v>
      </c>
      <c r="D75" t="s">
        <v>28</v>
      </c>
      <c r="E75" t="s">
        <v>16</v>
      </c>
      <c r="F75" t="s">
        <v>17</v>
      </c>
      <c r="G75" t="s">
        <v>32</v>
      </c>
      <c r="H75" t="s">
        <v>19</v>
      </c>
      <c r="I75" t="s">
        <v>20</v>
      </c>
      <c r="J75" s="2">
        <v>300</v>
      </c>
    </row>
    <row r="76" spans="1:12" ht="19.95" customHeight="1">
      <c r="A76" t="s">
        <v>140</v>
      </c>
      <c r="B76" t="s">
        <v>127</v>
      </c>
      <c r="C76" t="s">
        <v>14</v>
      </c>
      <c r="D76" t="s">
        <v>34</v>
      </c>
      <c r="E76" t="s">
        <v>16</v>
      </c>
      <c r="F76" t="s">
        <v>17</v>
      </c>
      <c r="G76" t="s">
        <v>32</v>
      </c>
      <c r="H76" t="s">
        <v>19</v>
      </c>
      <c r="I76" t="s">
        <v>20</v>
      </c>
      <c r="J76" s="2">
        <v>300</v>
      </c>
    </row>
    <row r="77" spans="1:12" ht="19.95" customHeight="1">
      <c r="A77" t="s">
        <v>141</v>
      </c>
      <c r="B77" t="s">
        <v>127</v>
      </c>
      <c r="C77" t="s">
        <v>14</v>
      </c>
      <c r="D77" t="s">
        <v>26</v>
      </c>
      <c r="E77" t="s">
        <v>16</v>
      </c>
      <c r="F77" t="s">
        <v>17</v>
      </c>
      <c r="G77" t="s">
        <v>23</v>
      </c>
      <c r="H77" t="s">
        <v>19</v>
      </c>
      <c r="I77" t="s">
        <v>20</v>
      </c>
      <c r="J77" s="2">
        <v>120</v>
      </c>
    </row>
    <row r="78" spans="1:12" ht="19.95" customHeight="1">
      <c r="A78" t="s">
        <v>142</v>
      </c>
      <c r="B78" t="s">
        <v>127</v>
      </c>
      <c r="C78" t="s">
        <v>47</v>
      </c>
      <c r="D78" t="s">
        <v>59</v>
      </c>
      <c r="E78" t="s">
        <v>16</v>
      </c>
      <c r="F78" t="s">
        <v>17</v>
      </c>
      <c r="G78" t="s">
        <v>18</v>
      </c>
      <c r="H78" t="s">
        <v>19</v>
      </c>
      <c r="I78" t="s">
        <v>20</v>
      </c>
      <c r="J78" s="2">
        <v>200</v>
      </c>
    </row>
    <row r="79" spans="1:12" ht="19.95" customHeight="1">
      <c r="A79" t="s">
        <v>143</v>
      </c>
      <c r="B79" t="s">
        <v>127</v>
      </c>
      <c r="C79" t="s">
        <v>47</v>
      </c>
      <c r="D79" t="s">
        <v>59</v>
      </c>
      <c r="E79" t="s">
        <v>16</v>
      </c>
      <c r="F79" t="s">
        <v>17</v>
      </c>
      <c r="G79" t="s">
        <v>23</v>
      </c>
      <c r="H79" t="s">
        <v>19</v>
      </c>
      <c r="I79" t="s">
        <v>74</v>
      </c>
      <c r="J79" s="2">
        <v>120</v>
      </c>
    </row>
    <row r="80" spans="1:12" ht="19.95" customHeight="1">
      <c r="A80" t="s">
        <v>144</v>
      </c>
      <c r="B80" t="s">
        <v>127</v>
      </c>
      <c r="C80" t="s">
        <v>47</v>
      </c>
      <c r="D80" t="s">
        <v>48</v>
      </c>
      <c r="E80" t="s">
        <v>16</v>
      </c>
      <c r="F80" t="s">
        <v>17</v>
      </c>
      <c r="G80" t="s">
        <v>32</v>
      </c>
      <c r="H80" t="s">
        <v>19</v>
      </c>
      <c r="I80" t="s">
        <v>20</v>
      </c>
      <c r="J80" s="2">
        <v>300</v>
      </c>
    </row>
    <row r="81" spans="1:12" ht="19.95" customHeight="1">
      <c r="A81" t="s">
        <v>145</v>
      </c>
      <c r="B81" t="s">
        <v>127</v>
      </c>
      <c r="C81" t="s">
        <v>47</v>
      </c>
      <c r="D81" t="s">
        <v>73</v>
      </c>
      <c r="E81" t="s">
        <v>16</v>
      </c>
      <c r="F81" t="s">
        <v>17</v>
      </c>
      <c r="G81" t="s">
        <v>23</v>
      </c>
      <c r="H81" t="s">
        <v>19</v>
      </c>
      <c r="I81" t="s">
        <v>20</v>
      </c>
      <c r="J81" s="2">
        <v>120</v>
      </c>
    </row>
    <row r="82" spans="1:12" ht="19.95" customHeight="1">
      <c r="A82" t="s">
        <v>146</v>
      </c>
      <c r="B82" t="s">
        <v>127</v>
      </c>
      <c r="C82" t="s">
        <v>47</v>
      </c>
      <c r="D82" t="s">
        <v>52</v>
      </c>
      <c r="E82" t="s">
        <v>16</v>
      </c>
      <c r="F82" t="s">
        <v>17</v>
      </c>
      <c r="G82" t="s">
        <v>32</v>
      </c>
      <c r="H82" t="s">
        <v>19</v>
      </c>
      <c r="I82" t="s">
        <v>20</v>
      </c>
      <c r="J82" s="2">
        <v>300</v>
      </c>
    </row>
    <row r="83" spans="1:12" ht="19.95" customHeight="1">
      <c r="A83" t="s">
        <v>147</v>
      </c>
      <c r="B83" t="s">
        <v>127</v>
      </c>
      <c r="C83" t="s">
        <v>47</v>
      </c>
      <c r="D83" t="s">
        <v>148</v>
      </c>
      <c r="E83" t="s">
        <v>16</v>
      </c>
      <c r="F83" t="s">
        <v>17</v>
      </c>
      <c r="G83" t="s">
        <v>23</v>
      </c>
      <c r="H83" t="s">
        <v>19</v>
      </c>
      <c r="I83" t="s">
        <v>20</v>
      </c>
      <c r="J83" s="2">
        <v>90</v>
      </c>
      <c r="L83" t="s">
        <v>29</v>
      </c>
    </row>
    <row r="84" spans="1:12" ht="19.95" customHeight="1">
      <c r="A84" t="s">
        <v>149</v>
      </c>
      <c r="B84" t="s">
        <v>127</v>
      </c>
      <c r="C84" t="s">
        <v>47</v>
      </c>
      <c r="D84" t="s">
        <v>148</v>
      </c>
      <c r="E84" t="s">
        <v>16</v>
      </c>
      <c r="F84" t="s">
        <v>17</v>
      </c>
      <c r="G84" t="s">
        <v>23</v>
      </c>
      <c r="H84" t="s">
        <v>24</v>
      </c>
      <c r="I84" t="s">
        <v>20</v>
      </c>
      <c r="J84" s="2">
        <v>120</v>
      </c>
    </row>
    <row r="85" spans="1:12" ht="19.95" customHeight="1">
      <c r="A85" t="s">
        <v>150</v>
      </c>
      <c r="B85" t="s">
        <v>127</v>
      </c>
      <c r="C85" t="s">
        <v>47</v>
      </c>
      <c r="D85" t="s">
        <v>52</v>
      </c>
      <c r="E85" t="s">
        <v>16</v>
      </c>
      <c r="F85" t="s">
        <v>17</v>
      </c>
      <c r="G85" t="s">
        <v>23</v>
      </c>
      <c r="H85" t="s">
        <v>19</v>
      </c>
      <c r="I85" t="s">
        <v>20</v>
      </c>
      <c r="J85" s="2">
        <v>120</v>
      </c>
    </row>
    <row r="86" spans="1:12" ht="19.95" customHeight="1">
      <c r="A86" t="s">
        <v>151</v>
      </c>
      <c r="B86" t="s">
        <v>127</v>
      </c>
      <c r="C86" t="s">
        <v>47</v>
      </c>
      <c r="D86" t="s">
        <v>152</v>
      </c>
      <c r="E86" t="s">
        <v>16</v>
      </c>
      <c r="F86" t="s">
        <v>17</v>
      </c>
      <c r="G86" t="s">
        <v>32</v>
      </c>
      <c r="H86" t="s">
        <v>19</v>
      </c>
      <c r="I86" t="s">
        <v>20</v>
      </c>
      <c r="J86" s="2">
        <v>300</v>
      </c>
    </row>
    <row r="87" spans="1:12" ht="19.95" customHeight="1">
      <c r="A87" t="s">
        <v>153</v>
      </c>
      <c r="B87" t="s">
        <v>127</v>
      </c>
      <c r="C87" t="s">
        <v>47</v>
      </c>
      <c r="D87" t="s">
        <v>64</v>
      </c>
      <c r="E87" t="s">
        <v>16</v>
      </c>
      <c r="F87" t="s">
        <v>17</v>
      </c>
      <c r="G87" t="s">
        <v>18</v>
      </c>
      <c r="H87" t="s">
        <v>19</v>
      </c>
      <c r="I87" t="s">
        <v>20</v>
      </c>
      <c r="J87" s="2">
        <v>200</v>
      </c>
    </row>
    <row r="88" spans="1:12" ht="19.95" customHeight="1">
      <c r="A88" t="s">
        <v>154</v>
      </c>
      <c r="B88" t="s">
        <v>127</v>
      </c>
      <c r="C88" t="s">
        <v>47</v>
      </c>
      <c r="D88" t="s">
        <v>55</v>
      </c>
      <c r="E88" t="s">
        <v>16</v>
      </c>
      <c r="F88" t="s">
        <v>35</v>
      </c>
      <c r="G88" t="s">
        <v>23</v>
      </c>
      <c r="H88" t="s">
        <v>19</v>
      </c>
      <c r="I88" t="s">
        <v>20</v>
      </c>
      <c r="J88" s="2">
        <v>120</v>
      </c>
    </row>
    <row r="89" spans="1:12" ht="19.95" customHeight="1">
      <c r="A89" t="s">
        <v>155</v>
      </c>
      <c r="B89" t="s">
        <v>127</v>
      </c>
      <c r="C89" t="s">
        <v>47</v>
      </c>
      <c r="D89" t="s">
        <v>52</v>
      </c>
      <c r="E89" t="s">
        <v>16</v>
      </c>
      <c r="F89" t="s">
        <v>17</v>
      </c>
      <c r="G89" t="s">
        <v>18</v>
      </c>
      <c r="H89" t="s">
        <v>19</v>
      </c>
      <c r="I89" t="s">
        <v>20</v>
      </c>
      <c r="J89" s="2">
        <v>200</v>
      </c>
    </row>
    <row r="90" spans="1:12" ht="19.95" customHeight="1">
      <c r="A90" t="s">
        <v>156</v>
      </c>
      <c r="B90" t="s">
        <v>127</v>
      </c>
      <c r="C90" t="s">
        <v>47</v>
      </c>
      <c r="D90" t="s">
        <v>50</v>
      </c>
      <c r="E90" t="s">
        <v>16</v>
      </c>
      <c r="F90" t="s">
        <v>35</v>
      </c>
      <c r="G90" t="s">
        <v>18</v>
      </c>
      <c r="H90" t="s">
        <v>19</v>
      </c>
      <c r="I90" t="s">
        <v>20</v>
      </c>
      <c r="J90" s="2">
        <v>200</v>
      </c>
    </row>
    <row r="91" spans="1:12" ht="19.95" customHeight="1">
      <c r="A91" t="s">
        <v>157</v>
      </c>
      <c r="B91" t="s">
        <v>127</v>
      </c>
      <c r="C91" t="s">
        <v>47</v>
      </c>
      <c r="D91" t="s">
        <v>66</v>
      </c>
      <c r="E91" t="s">
        <v>16</v>
      </c>
      <c r="F91" t="s">
        <v>17</v>
      </c>
      <c r="G91" t="s">
        <v>32</v>
      </c>
      <c r="H91" t="s">
        <v>19</v>
      </c>
      <c r="I91" t="s">
        <v>20</v>
      </c>
      <c r="J91" s="2">
        <v>300</v>
      </c>
    </row>
    <row r="92" spans="1:12" ht="19.95" customHeight="1">
      <c r="A92" t="s">
        <v>158</v>
      </c>
      <c r="B92" t="s">
        <v>127</v>
      </c>
      <c r="C92" t="s">
        <v>47</v>
      </c>
      <c r="D92" t="s">
        <v>66</v>
      </c>
      <c r="E92" t="s">
        <v>16</v>
      </c>
      <c r="F92" t="s">
        <v>35</v>
      </c>
      <c r="G92" t="s">
        <v>18</v>
      </c>
      <c r="H92" t="s">
        <v>19</v>
      </c>
      <c r="I92" t="s">
        <v>20</v>
      </c>
      <c r="J92" s="2">
        <v>200</v>
      </c>
    </row>
    <row r="93" spans="1:12" ht="19.95" customHeight="1">
      <c r="A93" t="s">
        <v>159</v>
      </c>
      <c r="B93" t="s">
        <v>127</v>
      </c>
      <c r="C93" t="s">
        <v>47</v>
      </c>
      <c r="D93" t="s">
        <v>148</v>
      </c>
      <c r="E93" t="s">
        <v>16</v>
      </c>
      <c r="F93" t="s">
        <v>17</v>
      </c>
      <c r="G93" t="s">
        <v>23</v>
      </c>
      <c r="H93" t="s">
        <v>19</v>
      </c>
      <c r="I93" t="s">
        <v>20</v>
      </c>
      <c r="J93" s="2">
        <v>120</v>
      </c>
    </row>
    <row r="94" spans="1:12" ht="19.95" customHeight="1">
      <c r="A94" t="s">
        <v>160</v>
      </c>
      <c r="B94" t="s">
        <v>127</v>
      </c>
      <c r="C94" t="s">
        <v>78</v>
      </c>
      <c r="D94" t="s">
        <v>161</v>
      </c>
      <c r="E94" t="s">
        <v>16</v>
      </c>
      <c r="F94" t="s">
        <v>17</v>
      </c>
      <c r="G94" t="s">
        <v>23</v>
      </c>
      <c r="H94" t="s">
        <v>19</v>
      </c>
      <c r="I94" t="s">
        <v>20</v>
      </c>
      <c r="J94" s="2">
        <v>120</v>
      </c>
    </row>
    <row r="95" spans="1:12" ht="19.95" customHeight="1">
      <c r="A95" t="s">
        <v>162</v>
      </c>
      <c r="B95" t="s">
        <v>127</v>
      </c>
      <c r="C95" t="s">
        <v>78</v>
      </c>
      <c r="D95" t="s">
        <v>163</v>
      </c>
      <c r="E95" t="s">
        <v>16</v>
      </c>
      <c r="F95" t="s">
        <v>17</v>
      </c>
      <c r="G95" t="s">
        <v>32</v>
      </c>
      <c r="H95" t="s">
        <v>19</v>
      </c>
      <c r="I95" t="s">
        <v>20</v>
      </c>
      <c r="J95" s="2">
        <v>300</v>
      </c>
    </row>
    <row r="96" spans="1:12" ht="19.95" customHeight="1">
      <c r="A96" t="s">
        <v>164</v>
      </c>
      <c r="B96" t="s">
        <v>127</v>
      </c>
      <c r="C96" t="s">
        <v>78</v>
      </c>
      <c r="D96" t="s">
        <v>81</v>
      </c>
      <c r="E96" t="s">
        <v>16</v>
      </c>
      <c r="F96" t="s">
        <v>35</v>
      </c>
      <c r="G96" t="s">
        <v>23</v>
      </c>
      <c r="H96" t="s">
        <v>19</v>
      </c>
      <c r="I96" t="s">
        <v>20</v>
      </c>
      <c r="J96" s="2">
        <v>120</v>
      </c>
    </row>
    <row r="97" spans="1:12" ht="19.95" customHeight="1">
      <c r="A97" t="s">
        <v>165</v>
      </c>
      <c r="B97" t="s">
        <v>127</v>
      </c>
      <c r="C97" t="s">
        <v>78</v>
      </c>
      <c r="D97" t="s">
        <v>81</v>
      </c>
      <c r="E97" t="s">
        <v>16</v>
      </c>
      <c r="F97" t="s">
        <v>17</v>
      </c>
      <c r="G97" t="s">
        <v>23</v>
      </c>
      <c r="H97" t="s">
        <v>19</v>
      </c>
      <c r="I97" t="s">
        <v>20</v>
      </c>
      <c r="J97" s="2">
        <v>120</v>
      </c>
    </row>
    <row r="98" spans="1:12" ht="19.95" customHeight="1">
      <c r="A98" t="s">
        <v>166</v>
      </c>
      <c r="B98" t="s">
        <v>127</v>
      </c>
      <c r="C98" t="s">
        <v>78</v>
      </c>
      <c r="D98" t="s">
        <v>83</v>
      </c>
      <c r="E98" t="s">
        <v>16</v>
      </c>
      <c r="F98" t="s">
        <v>17</v>
      </c>
      <c r="G98" t="s">
        <v>23</v>
      </c>
      <c r="H98" t="s">
        <v>19</v>
      </c>
      <c r="I98" t="s">
        <v>20</v>
      </c>
      <c r="J98" s="2">
        <v>90</v>
      </c>
      <c r="L98" t="s">
        <v>29</v>
      </c>
    </row>
    <row r="99" spans="1:12" ht="19.95" customHeight="1">
      <c r="A99" t="s">
        <v>167</v>
      </c>
      <c r="B99" t="s">
        <v>127</v>
      </c>
      <c r="C99" t="s">
        <v>78</v>
      </c>
      <c r="D99" t="s">
        <v>93</v>
      </c>
      <c r="E99" t="s">
        <v>16</v>
      </c>
      <c r="F99" t="s">
        <v>17</v>
      </c>
      <c r="G99" t="s">
        <v>23</v>
      </c>
      <c r="H99" t="s">
        <v>19</v>
      </c>
      <c r="I99" t="s">
        <v>20</v>
      </c>
      <c r="J99" s="2">
        <v>120</v>
      </c>
    </row>
    <row r="100" spans="1:12" ht="19.95" customHeight="1">
      <c r="A100" t="s">
        <v>168</v>
      </c>
      <c r="B100" t="s">
        <v>127</v>
      </c>
      <c r="C100" t="s">
        <v>78</v>
      </c>
      <c r="D100" t="s">
        <v>87</v>
      </c>
      <c r="E100" t="s">
        <v>16</v>
      </c>
      <c r="F100" t="s">
        <v>17</v>
      </c>
      <c r="G100" t="s">
        <v>18</v>
      </c>
      <c r="H100" t="s">
        <v>19</v>
      </c>
      <c r="I100" t="s">
        <v>20</v>
      </c>
      <c r="J100" s="2">
        <v>200</v>
      </c>
    </row>
    <row r="101" spans="1:12" ht="19.95" customHeight="1">
      <c r="A101" t="s">
        <v>169</v>
      </c>
      <c r="B101" t="s">
        <v>127</v>
      </c>
      <c r="C101" t="s">
        <v>78</v>
      </c>
      <c r="D101" t="s">
        <v>163</v>
      </c>
      <c r="E101" t="s">
        <v>16</v>
      </c>
      <c r="F101" t="s">
        <v>17</v>
      </c>
      <c r="G101" t="s">
        <v>18</v>
      </c>
      <c r="H101" t="s">
        <v>19</v>
      </c>
      <c r="I101" t="s">
        <v>20</v>
      </c>
      <c r="J101" s="2">
        <v>200</v>
      </c>
    </row>
    <row r="102" spans="1:12" ht="19.95" customHeight="1">
      <c r="A102" t="s">
        <v>170</v>
      </c>
      <c r="B102" t="s">
        <v>127</v>
      </c>
      <c r="C102" t="s">
        <v>78</v>
      </c>
      <c r="D102" t="s">
        <v>163</v>
      </c>
      <c r="E102" t="s">
        <v>16</v>
      </c>
      <c r="F102" t="s">
        <v>17</v>
      </c>
      <c r="G102" t="s">
        <v>23</v>
      </c>
      <c r="H102" t="s">
        <v>19</v>
      </c>
      <c r="I102" t="s">
        <v>20</v>
      </c>
      <c r="J102" s="2">
        <v>102</v>
      </c>
      <c r="L102" t="s">
        <v>29</v>
      </c>
    </row>
    <row r="103" spans="1:12" ht="19.95" customHeight="1">
      <c r="A103" t="s">
        <v>171</v>
      </c>
      <c r="B103" t="s">
        <v>127</v>
      </c>
      <c r="C103" t="s">
        <v>78</v>
      </c>
      <c r="D103" t="s">
        <v>161</v>
      </c>
      <c r="E103" t="s">
        <v>16</v>
      </c>
      <c r="F103" t="s">
        <v>17</v>
      </c>
      <c r="G103" t="s">
        <v>32</v>
      </c>
      <c r="H103" t="s">
        <v>19</v>
      </c>
      <c r="I103" t="s">
        <v>20</v>
      </c>
      <c r="J103" s="2">
        <v>300</v>
      </c>
    </row>
    <row r="104" spans="1:12" ht="19.95" customHeight="1">
      <c r="A104" t="s">
        <v>172</v>
      </c>
      <c r="B104" t="s">
        <v>127</v>
      </c>
      <c r="C104" t="s">
        <v>78</v>
      </c>
      <c r="D104" t="s">
        <v>161</v>
      </c>
      <c r="E104" t="s">
        <v>16</v>
      </c>
      <c r="F104" t="s">
        <v>17</v>
      </c>
      <c r="G104" t="s">
        <v>23</v>
      </c>
      <c r="H104" t="s">
        <v>19</v>
      </c>
      <c r="I104" t="s">
        <v>20</v>
      </c>
      <c r="J104" s="2">
        <v>120</v>
      </c>
    </row>
    <row r="105" spans="1:12" ht="19.95" customHeight="1">
      <c r="A105" t="s">
        <v>173</v>
      </c>
      <c r="B105" t="s">
        <v>127</v>
      </c>
      <c r="C105" t="s">
        <v>78</v>
      </c>
      <c r="D105" t="s">
        <v>89</v>
      </c>
      <c r="E105" t="s">
        <v>16</v>
      </c>
      <c r="F105" t="s">
        <v>17</v>
      </c>
      <c r="G105" t="s">
        <v>23</v>
      </c>
      <c r="H105" t="s">
        <v>19</v>
      </c>
      <c r="I105" t="s">
        <v>20</v>
      </c>
      <c r="J105" s="2">
        <v>120</v>
      </c>
    </row>
    <row r="106" spans="1:12" ht="19.95" customHeight="1">
      <c r="A106" t="s">
        <v>174</v>
      </c>
      <c r="B106" t="s">
        <v>127</v>
      </c>
      <c r="C106" t="s">
        <v>78</v>
      </c>
      <c r="D106" t="s">
        <v>93</v>
      </c>
      <c r="E106" t="s">
        <v>16</v>
      </c>
      <c r="F106" t="s">
        <v>17</v>
      </c>
      <c r="G106" t="s">
        <v>32</v>
      </c>
      <c r="H106" t="s">
        <v>19</v>
      </c>
      <c r="I106" t="s">
        <v>20</v>
      </c>
      <c r="J106" s="2">
        <v>255</v>
      </c>
      <c r="L106" t="s">
        <v>29</v>
      </c>
    </row>
    <row r="107" spans="1:12" ht="19.95" customHeight="1">
      <c r="A107" t="s">
        <v>175</v>
      </c>
      <c r="B107" t="s">
        <v>127</v>
      </c>
      <c r="C107" t="s">
        <v>78</v>
      </c>
      <c r="D107" t="s">
        <v>97</v>
      </c>
      <c r="E107" t="s">
        <v>16</v>
      </c>
      <c r="F107" t="s">
        <v>17</v>
      </c>
      <c r="G107" t="s">
        <v>32</v>
      </c>
      <c r="H107" t="s">
        <v>19</v>
      </c>
      <c r="I107" t="s">
        <v>20</v>
      </c>
      <c r="J107" s="2">
        <v>300</v>
      </c>
    </row>
    <row r="108" spans="1:12" ht="19.95" customHeight="1">
      <c r="A108" t="s">
        <v>176</v>
      </c>
      <c r="B108" t="s">
        <v>127</v>
      </c>
      <c r="C108" t="s">
        <v>78</v>
      </c>
      <c r="D108" t="s">
        <v>97</v>
      </c>
      <c r="E108" t="s">
        <v>16</v>
      </c>
      <c r="F108" t="s">
        <v>35</v>
      </c>
      <c r="G108" t="s">
        <v>23</v>
      </c>
      <c r="H108" t="s">
        <v>19</v>
      </c>
      <c r="I108" t="s">
        <v>20</v>
      </c>
      <c r="J108" s="2">
        <v>120</v>
      </c>
    </row>
    <row r="109" spans="1:12" ht="19.95" customHeight="1">
      <c r="A109" t="s">
        <v>177</v>
      </c>
      <c r="B109" t="s">
        <v>127</v>
      </c>
      <c r="C109" t="s">
        <v>78</v>
      </c>
      <c r="D109" t="s">
        <v>163</v>
      </c>
      <c r="E109" t="s">
        <v>16</v>
      </c>
      <c r="F109" t="s">
        <v>35</v>
      </c>
      <c r="G109" t="s">
        <v>23</v>
      </c>
      <c r="H109" t="s">
        <v>19</v>
      </c>
      <c r="I109" t="s">
        <v>20</v>
      </c>
      <c r="J109" s="2">
        <v>120</v>
      </c>
    </row>
    <row r="110" spans="1:12" ht="19.95" customHeight="1">
      <c r="A110" t="s">
        <v>178</v>
      </c>
      <c r="B110" t="s">
        <v>127</v>
      </c>
      <c r="C110" t="s">
        <v>78</v>
      </c>
      <c r="D110" t="s">
        <v>79</v>
      </c>
      <c r="E110" t="s">
        <v>16</v>
      </c>
      <c r="F110" t="s">
        <v>17</v>
      </c>
      <c r="G110" t="s">
        <v>23</v>
      </c>
      <c r="H110" t="s">
        <v>19</v>
      </c>
      <c r="I110" t="s">
        <v>20</v>
      </c>
      <c r="J110" s="2">
        <v>102</v>
      </c>
      <c r="L110" t="s">
        <v>29</v>
      </c>
    </row>
    <row r="111" spans="1:12" ht="19.95" customHeight="1">
      <c r="A111" t="s">
        <v>179</v>
      </c>
      <c r="B111" t="s">
        <v>127</v>
      </c>
      <c r="C111" t="s">
        <v>78</v>
      </c>
      <c r="D111" t="s">
        <v>85</v>
      </c>
      <c r="E111" t="s">
        <v>16</v>
      </c>
      <c r="F111" t="s">
        <v>17</v>
      </c>
      <c r="G111" t="s">
        <v>18</v>
      </c>
      <c r="H111" t="s">
        <v>24</v>
      </c>
      <c r="I111" t="s">
        <v>20</v>
      </c>
      <c r="J111" s="2">
        <v>150</v>
      </c>
      <c r="L111" t="s">
        <v>29</v>
      </c>
    </row>
    <row r="112" spans="1:12" ht="19.95" customHeight="1">
      <c r="A112" t="s">
        <v>180</v>
      </c>
      <c r="B112" t="s">
        <v>127</v>
      </c>
      <c r="C112" t="s">
        <v>105</v>
      </c>
      <c r="D112" t="s">
        <v>112</v>
      </c>
      <c r="E112" t="s">
        <v>16</v>
      </c>
      <c r="F112" t="s">
        <v>35</v>
      </c>
      <c r="G112" t="s">
        <v>23</v>
      </c>
      <c r="H112" t="s">
        <v>19</v>
      </c>
      <c r="I112" t="s">
        <v>20</v>
      </c>
      <c r="J112" s="2">
        <v>90</v>
      </c>
      <c r="L112" t="s">
        <v>29</v>
      </c>
    </row>
    <row r="113" spans="1:12" ht="19.95" customHeight="1">
      <c r="A113" t="s">
        <v>181</v>
      </c>
      <c r="B113" t="s">
        <v>127</v>
      </c>
      <c r="C113" t="s">
        <v>105</v>
      </c>
      <c r="D113" t="s">
        <v>182</v>
      </c>
      <c r="E113" t="s">
        <v>16</v>
      </c>
      <c r="F113" t="s">
        <v>35</v>
      </c>
      <c r="G113" t="s">
        <v>23</v>
      </c>
      <c r="H113" t="s">
        <v>19</v>
      </c>
      <c r="I113" t="s">
        <v>20</v>
      </c>
      <c r="J113" s="2">
        <v>120</v>
      </c>
    </row>
    <row r="114" spans="1:12" ht="19.95" customHeight="1">
      <c r="A114" t="s">
        <v>183</v>
      </c>
      <c r="B114" t="s">
        <v>127</v>
      </c>
      <c r="C114" t="s">
        <v>105</v>
      </c>
      <c r="D114" t="s">
        <v>108</v>
      </c>
      <c r="E114" t="s">
        <v>16</v>
      </c>
      <c r="F114" t="s">
        <v>17</v>
      </c>
      <c r="G114" t="s">
        <v>18</v>
      </c>
      <c r="H114" t="s">
        <v>19</v>
      </c>
      <c r="I114" t="s">
        <v>74</v>
      </c>
      <c r="J114" s="2">
        <v>200</v>
      </c>
    </row>
    <row r="115" spans="1:12" ht="19.95" customHeight="1">
      <c r="A115" t="s">
        <v>184</v>
      </c>
      <c r="B115" t="s">
        <v>127</v>
      </c>
      <c r="C115" t="s">
        <v>105</v>
      </c>
      <c r="D115" t="s">
        <v>118</v>
      </c>
      <c r="E115" t="s">
        <v>16</v>
      </c>
      <c r="F115" t="s">
        <v>17</v>
      </c>
      <c r="G115" t="s">
        <v>23</v>
      </c>
      <c r="H115" t="s">
        <v>19</v>
      </c>
      <c r="I115" t="s">
        <v>20</v>
      </c>
      <c r="J115" s="2">
        <v>102</v>
      </c>
      <c r="L115" t="s">
        <v>29</v>
      </c>
    </row>
    <row r="116" spans="1:12" ht="19.95" customHeight="1">
      <c r="A116" t="s">
        <v>185</v>
      </c>
      <c r="B116" t="s">
        <v>127</v>
      </c>
      <c r="C116" t="s">
        <v>105</v>
      </c>
      <c r="D116" t="s">
        <v>110</v>
      </c>
      <c r="E116" t="s">
        <v>16</v>
      </c>
      <c r="F116" t="s">
        <v>35</v>
      </c>
      <c r="G116" t="s">
        <v>18</v>
      </c>
      <c r="H116" t="s">
        <v>19</v>
      </c>
      <c r="I116" t="s">
        <v>53</v>
      </c>
      <c r="J116" s="2">
        <v>170</v>
      </c>
      <c r="L116" t="s">
        <v>29</v>
      </c>
    </row>
    <row r="117" spans="1:12" ht="19.95" customHeight="1">
      <c r="A117" t="s">
        <v>186</v>
      </c>
      <c r="B117" t="s">
        <v>127</v>
      </c>
      <c r="C117" t="s">
        <v>105</v>
      </c>
      <c r="D117" t="s">
        <v>187</v>
      </c>
      <c r="E117" t="s">
        <v>16</v>
      </c>
      <c r="F117" t="s">
        <v>17</v>
      </c>
      <c r="G117" t="s">
        <v>18</v>
      </c>
      <c r="H117" t="s">
        <v>19</v>
      </c>
      <c r="I117" t="s">
        <v>20</v>
      </c>
      <c r="J117" s="2">
        <v>200</v>
      </c>
    </row>
    <row r="118" spans="1:12" ht="19.95" customHeight="1">
      <c r="A118" t="s">
        <v>188</v>
      </c>
      <c r="B118" t="s">
        <v>127</v>
      </c>
      <c r="C118" t="s">
        <v>105</v>
      </c>
      <c r="D118" t="s">
        <v>118</v>
      </c>
      <c r="E118" t="s">
        <v>16</v>
      </c>
      <c r="F118" t="s">
        <v>17</v>
      </c>
      <c r="G118" t="s">
        <v>23</v>
      </c>
      <c r="H118" t="s">
        <v>24</v>
      </c>
      <c r="I118" t="s">
        <v>20</v>
      </c>
      <c r="J118" s="2">
        <v>120</v>
      </c>
    </row>
    <row r="119" spans="1:12" ht="19.95" customHeight="1">
      <c r="A119" t="s">
        <v>189</v>
      </c>
      <c r="B119" t="s">
        <v>127</v>
      </c>
      <c r="C119" t="s">
        <v>105</v>
      </c>
      <c r="D119" t="s">
        <v>118</v>
      </c>
      <c r="E119" t="s">
        <v>16</v>
      </c>
      <c r="F119" t="s">
        <v>17</v>
      </c>
      <c r="G119" t="s">
        <v>18</v>
      </c>
      <c r="H119" t="s">
        <v>19</v>
      </c>
      <c r="I119" t="s">
        <v>20</v>
      </c>
      <c r="J119" s="2">
        <v>200</v>
      </c>
    </row>
    <row r="120" spans="1:12" ht="19.95" customHeight="1">
      <c r="A120" t="s">
        <v>190</v>
      </c>
      <c r="B120" t="s">
        <v>127</v>
      </c>
      <c r="C120" t="s">
        <v>105</v>
      </c>
      <c r="D120" t="s">
        <v>191</v>
      </c>
      <c r="E120" t="s">
        <v>16</v>
      </c>
      <c r="F120" t="s">
        <v>35</v>
      </c>
      <c r="G120" t="s">
        <v>18</v>
      </c>
      <c r="H120" t="s">
        <v>19</v>
      </c>
      <c r="I120" t="s">
        <v>20</v>
      </c>
      <c r="J120" s="2">
        <v>200</v>
      </c>
    </row>
    <row r="121" spans="1:12" ht="19.95" customHeight="1">
      <c r="A121" t="s">
        <v>192</v>
      </c>
      <c r="B121" t="s">
        <v>127</v>
      </c>
      <c r="C121" t="s">
        <v>105</v>
      </c>
      <c r="D121" t="s">
        <v>108</v>
      </c>
      <c r="E121" t="s">
        <v>16</v>
      </c>
      <c r="F121" t="s">
        <v>17</v>
      </c>
      <c r="G121" t="s">
        <v>32</v>
      </c>
      <c r="H121" t="s">
        <v>19</v>
      </c>
      <c r="I121" t="s">
        <v>20</v>
      </c>
      <c r="J121" s="2">
        <v>300</v>
      </c>
    </row>
    <row r="122" spans="1:12" ht="19.95" customHeight="1">
      <c r="A122" t="s">
        <v>193</v>
      </c>
      <c r="B122" t="s">
        <v>127</v>
      </c>
      <c r="C122" t="s">
        <v>105</v>
      </c>
      <c r="D122" t="s">
        <v>194</v>
      </c>
      <c r="E122" t="s">
        <v>16</v>
      </c>
      <c r="F122" t="s">
        <v>17</v>
      </c>
      <c r="G122" t="s">
        <v>18</v>
      </c>
      <c r="H122" t="s">
        <v>19</v>
      </c>
      <c r="I122" t="s">
        <v>20</v>
      </c>
      <c r="J122" s="2">
        <v>200</v>
      </c>
    </row>
    <row r="123" spans="1:12" ht="19.95" customHeight="1">
      <c r="A123" t="s">
        <v>195</v>
      </c>
      <c r="B123" t="s">
        <v>127</v>
      </c>
      <c r="C123" t="s">
        <v>105</v>
      </c>
      <c r="D123" t="s">
        <v>116</v>
      </c>
      <c r="E123" t="s">
        <v>16</v>
      </c>
      <c r="F123" t="s">
        <v>17</v>
      </c>
      <c r="G123" t="s">
        <v>23</v>
      </c>
      <c r="H123" t="s">
        <v>19</v>
      </c>
      <c r="I123" t="s">
        <v>20</v>
      </c>
      <c r="J123" s="2">
        <v>120</v>
      </c>
    </row>
    <row r="124" spans="1:12" ht="19.95" customHeight="1">
      <c r="A124" t="s">
        <v>196</v>
      </c>
      <c r="B124" t="s">
        <v>127</v>
      </c>
      <c r="C124" t="s">
        <v>105</v>
      </c>
      <c r="D124" t="s">
        <v>120</v>
      </c>
      <c r="E124" t="s">
        <v>16</v>
      </c>
      <c r="F124" t="s">
        <v>35</v>
      </c>
      <c r="G124" t="s">
        <v>23</v>
      </c>
      <c r="H124" t="s">
        <v>24</v>
      </c>
      <c r="I124" t="s">
        <v>20</v>
      </c>
      <c r="J124" s="2">
        <v>120</v>
      </c>
    </row>
    <row r="125" spans="1:12" ht="19.95" customHeight="1">
      <c r="A125" t="s">
        <v>197</v>
      </c>
      <c r="B125" t="s">
        <v>127</v>
      </c>
      <c r="C125" t="s">
        <v>105</v>
      </c>
      <c r="D125" t="s">
        <v>112</v>
      </c>
      <c r="E125" t="s">
        <v>16</v>
      </c>
      <c r="F125" t="s">
        <v>17</v>
      </c>
      <c r="G125" t="s">
        <v>23</v>
      </c>
      <c r="H125" t="s">
        <v>19</v>
      </c>
      <c r="I125" t="s">
        <v>20</v>
      </c>
      <c r="J125" s="2">
        <v>120</v>
      </c>
    </row>
    <row r="126" spans="1:12" ht="19.95" customHeight="1">
      <c r="A126" t="s">
        <v>198</v>
      </c>
      <c r="B126" t="s">
        <v>127</v>
      </c>
      <c r="C126" t="s">
        <v>105</v>
      </c>
      <c r="D126" t="s">
        <v>110</v>
      </c>
      <c r="E126" t="s">
        <v>16</v>
      </c>
      <c r="F126" t="s">
        <v>17</v>
      </c>
      <c r="G126" t="s">
        <v>18</v>
      </c>
      <c r="H126" t="s">
        <v>19</v>
      </c>
      <c r="I126" t="s">
        <v>20</v>
      </c>
      <c r="J126" s="2">
        <v>200</v>
      </c>
    </row>
    <row r="127" spans="1:12" ht="19.95" customHeight="1">
      <c r="A127" t="s">
        <v>199</v>
      </c>
      <c r="B127" t="s">
        <v>127</v>
      </c>
      <c r="C127" t="s">
        <v>105</v>
      </c>
      <c r="D127" t="s">
        <v>116</v>
      </c>
      <c r="E127" t="s">
        <v>16</v>
      </c>
      <c r="F127" t="s">
        <v>17</v>
      </c>
      <c r="G127" t="s">
        <v>23</v>
      </c>
      <c r="H127" t="s">
        <v>24</v>
      </c>
      <c r="I127" t="s">
        <v>20</v>
      </c>
      <c r="J127" s="2">
        <v>120</v>
      </c>
    </row>
    <row r="128" spans="1:12" ht="19.95" customHeight="1">
      <c r="A128" t="s">
        <v>200</v>
      </c>
      <c r="B128" t="s">
        <v>127</v>
      </c>
      <c r="C128" t="s">
        <v>105</v>
      </c>
      <c r="D128" t="s">
        <v>182</v>
      </c>
      <c r="E128" t="s">
        <v>16</v>
      </c>
      <c r="F128" t="s">
        <v>17</v>
      </c>
      <c r="G128" t="s">
        <v>32</v>
      </c>
      <c r="H128" t="s">
        <v>19</v>
      </c>
      <c r="I128" t="s">
        <v>20</v>
      </c>
      <c r="J128" s="2">
        <v>300</v>
      </c>
    </row>
    <row r="129" spans="1:12" ht="19.95" customHeight="1">
      <c r="A129" t="s">
        <v>201</v>
      </c>
      <c r="B129" t="s">
        <v>127</v>
      </c>
      <c r="C129" t="s">
        <v>105</v>
      </c>
      <c r="D129" t="s">
        <v>191</v>
      </c>
      <c r="E129" t="s">
        <v>16</v>
      </c>
      <c r="F129" t="s">
        <v>17</v>
      </c>
      <c r="G129" t="s">
        <v>18</v>
      </c>
      <c r="H129" t="s">
        <v>19</v>
      </c>
      <c r="I129" t="s">
        <v>20</v>
      </c>
      <c r="J129" s="2">
        <v>200</v>
      </c>
    </row>
    <row r="130" spans="1:12" ht="19.95" customHeight="1">
      <c r="A130" t="s">
        <v>202</v>
      </c>
      <c r="B130" t="s">
        <v>203</v>
      </c>
      <c r="C130" t="s">
        <v>14</v>
      </c>
      <c r="D130" t="s">
        <v>40</v>
      </c>
      <c r="E130" t="s">
        <v>16</v>
      </c>
      <c r="F130" t="s">
        <v>17</v>
      </c>
      <c r="G130" t="s">
        <v>23</v>
      </c>
      <c r="H130" t="s">
        <v>19</v>
      </c>
      <c r="I130" t="s">
        <v>20</v>
      </c>
      <c r="J130" s="2">
        <v>90</v>
      </c>
      <c r="L130" t="s">
        <v>29</v>
      </c>
    </row>
    <row r="131" spans="1:12" ht="19.95" customHeight="1">
      <c r="A131" t="s">
        <v>204</v>
      </c>
      <c r="B131" t="s">
        <v>203</v>
      </c>
      <c r="C131" t="s">
        <v>14</v>
      </c>
      <c r="D131" t="s">
        <v>42</v>
      </c>
      <c r="E131" t="s">
        <v>16</v>
      </c>
      <c r="F131" t="s">
        <v>17</v>
      </c>
      <c r="G131" t="s">
        <v>23</v>
      </c>
      <c r="H131" t="s">
        <v>19</v>
      </c>
      <c r="I131" t="s">
        <v>20</v>
      </c>
      <c r="J131" s="2">
        <v>120</v>
      </c>
    </row>
    <row r="132" spans="1:12" ht="19.95" customHeight="1">
      <c r="A132" t="s">
        <v>205</v>
      </c>
      <c r="B132" t="s">
        <v>203</v>
      </c>
      <c r="C132" t="s">
        <v>14</v>
      </c>
      <c r="D132" t="s">
        <v>40</v>
      </c>
      <c r="E132" t="s">
        <v>16</v>
      </c>
      <c r="F132" t="s">
        <v>17</v>
      </c>
      <c r="G132" t="s">
        <v>32</v>
      </c>
      <c r="H132" t="s">
        <v>19</v>
      </c>
      <c r="I132" t="s">
        <v>20</v>
      </c>
      <c r="J132" s="2">
        <v>300</v>
      </c>
    </row>
    <row r="133" spans="1:12" ht="19.95" customHeight="1">
      <c r="A133" t="s">
        <v>206</v>
      </c>
      <c r="B133" t="s">
        <v>203</v>
      </c>
      <c r="C133" t="s">
        <v>14</v>
      </c>
      <c r="D133" t="s">
        <v>26</v>
      </c>
      <c r="E133" t="s">
        <v>16</v>
      </c>
      <c r="F133" t="s">
        <v>17</v>
      </c>
      <c r="G133" t="s">
        <v>32</v>
      </c>
      <c r="H133" t="s">
        <v>19</v>
      </c>
      <c r="I133" t="s">
        <v>20</v>
      </c>
      <c r="J133" s="2">
        <v>300</v>
      </c>
    </row>
    <row r="134" spans="1:12" ht="19.95" customHeight="1">
      <c r="A134" t="s">
        <v>207</v>
      </c>
      <c r="B134" t="s">
        <v>203</v>
      </c>
      <c r="C134" t="s">
        <v>14</v>
      </c>
      <c r="D134" t="s">
        <v>15</v>
      </c>
      <c r="E134" t="s">
        <v>16</v>
      </c>
      <c r="F134" t="s">
        <v>17</v>
      </c>
      <c r="G134" t="s">
        <v>32</v>
      </c>
      <c r="H134" t="s">
        <v>19</v>
      </c>
      <c r="I134" t="s">
        <v>74</v>
      </c>
      <c r="J134" s="2">
        <v>300</v>
      </c>
    </row>
    <row r="135" spans="1:12" ht="19.95" customHeight="1">
      <c r="A135" t="s">
        <v>208</v>
      </c>
      <c r="B135" t="s">
        <v>203</v>
      </c>
      <c r="C135" t="s">
        <v>14</v>
      </c>
      <c r="D135" t="s">
        <v>137</v>
      </c>
      <c r="E135" t="s">
        <v>16</v>
      </c>
      <c r="F135" t="s">
        <v>17</v>
      </c>
      <c r="G135" t="s">
        <v>23</v>
      </c>
      <c r="H135" t="s">
        <v>19</v>
      </c>
      <c r="I135" t="s">
        <v>20</v>
      </c>
      <c r="J135" s="2">
        <v>120</v>
      </c>
    </row>
    <row r="136" spans="1:12" ht="19.95" customHeight="1">
      <c r="A136" t="s">
        <v>209</v>
      </c>
      <c r="B136" t="s">
        <v>203</v>
      </c>
      <c r="C136" t="s">
        <v>14</v>
      </c>
      <c r="D136" t="s">
        <v>210</v>
      </c>
      <c r="E136" t="s">
        <v>16</v>
      </c>
      <c r="F136" t="s">
        <v>17</v>
      </c>
      <c r="G136" t="s">
        <v>32</v>
      </c>
      <c r="H136" t="s">
        <v>24</v>
      </c>
      <c r="I136" t="s">
        <v>20</v>
      </c>
      <c r="J136" s="2">
        <v>300</v>
      </c>
    </row>
    <row r="137" spans="1:12" ht="19.95" customHeight="1">
      <c r="A137" t="s">
        <v>211</v>
      </c>
      <c r="B137" t="s">
        <v>203</v>
      </c>
      <c r="C137" t="s">
        <v>14</v>
      </c>
      <c r="D137" t="s">
        <v>31</v>
      </c>
      <c r="E137" t="s">
        <v>16</v>
      </c>
      <c r="F137" t="s">
        <v>17</v>
      </c>
      <c r="G137" t="s">
        <v>18</v>
      </c>
      <c r="H137" t="s">
        <v>19</v>
      </c>
      <c r="I137" t="s">
        <v>20</v>
      </c>
      <c r="J137" s="2">
        <v>200</v>
      </c>
    </row>
    <row r="138" spans="1:12" ht="19.95" customHeight="1">
      <c r="A138" t="s">
        <v>212</v>
      </c>
      <c r="B138" t="s">
        <v>203</v>
      </c>
      <c r="C138" t="s">
        <v>14</v>
      </c>
      <c r="D138" t="s">
        <v>42</v>
      </c>
      <c r="E138" t="s">
        <v>16</v>
      </c>
      <c r="F138" t="s">
        <v>17</v>
      </c>
      <c r="G138" t="s">
        <v>32</v>
      </c>
      <c r="H138" t="s">
        <v>19</v>
      </c>
      <c r="I138" t="s">
        <v>20</v>
      </c>
      <c r="J138" s="2">
        <v>300</v>
      </c>
    </row>
    <row r="139" spans="1:12" ht="19.95" customHeight="1">
      <c r="A139" t="s">
        <v>213</v>
      </c>
      <c r="B139" t="s">
        <v>203</v>
      </c>
      <c r="C139" t="s">
        <v>14</v>
      </c>
      <c r="D139" t="s">
        <v>137</v>
      </c>
      <c r="E139" t="s">
        <v>16</v>
      </c>
      <c r="F139" t="s">
        <v>17</v>
      </c>
      <c r="G139" t="s">
        <v>18</v>
      </c>
      <c r="H139" t="s">
        <v>24</v>
      </c>
      <c r="I139" t="s">
        <v>20</v>
      </c>
      <c r="J139" s="2">
        <v>200</v>
      </c>
    </row>
    <row r="140" spans="1:12" ht="19.95" customHeight="1">
      <c r="A140" t="s">
        <v>214</v>
      </c>
      <c r="B140" t="s">
        <v>203</v>
      </c>
      <c r="C140" t="s">
        <v>14</v>
      </c>
      <c r="D140" t="s">
        <v>15</v>
      </c>
      <c r="E140" t="s">
        <v>16</v>
      </c>
      <c r="F140" t="s">
        <v>17</v>
      </c>
      <c r="G140" t="s">
        <v>18</v>
      </c>
      <c r="H140" t="s">
        <v>24</v>
      </c>
      <c r="I140" t="s">
        <v>20</v>
      </c>
      <c r="J140" s="2">
        <v>200</v>
      </c>
    </row>
    <row r="141" spans="1:12" ht="19.95" customHeight="1">
      <c r="A141" t="s">
        <v>215</v>
      </c>
      <c r="B141" t="s">
        <v>203</v>
      </c>
      <c r="C141" t="s">
        <v>14</v>
      </c>
      <c r="D141" t="s">
        <v>42</v>
      </c>
      <c r="E141" t="s">
        <v>16</v>
      </c>
      <c r="F141" t="s">
        <v>35</v>
      </c>
      <c r="G141" t="s">
        <v>18</v>
      </c>
      <c r="H141" t="s">
        <v>19</v>
      </c>
      <c r="I141" t="s">
        <v>20</v>
      </c>
      <c r="J141" s="2">
        <v>150</v>
      </c>
      <c r="L141" t="s">
        <v>29</v>
      </c>
    </row>
    <row r="142" spans="1:12" ht="19.95" customHeight="1">
      <c r="A142" t="s">
        <v>216</v>
      </c>
      <c r="B142" t="s">
        <v>203</v>
      </c>
      <c r="C142" t="s">
        <v>14</v>
      </c>
      <c r="D142" t="s">
        <v>210</v>
      </c>
      <c r="E142" t="s">
        <v>16</v>
      </c>
      <c r="F142" t="s">
        <v>17</v>
      </c>
      <c r="G142" t="s">
        <v>18</v>
      </c>
      <c r="H142" t="s">
        <v>19</v>
      </c>
      <c r="I142" t="s">
        <v>20</v>
      </c>
      <c r="J142" s="2">
        <v>200</v>
      </c>
    </row>
    <row r="143" spans="1:12" ht="19.95" customHeight="1">
      <c r="A143" t="s">
        <v>217</v>
      </c>
      <c r="B143" t="s">
        <v>203</v>
      </c>
      <c r="C143" t="s">
        <v>14</v>
      </c>
      <c r="D143" t="s">
        <v>40</v>
      </c>
      <c r="E143" t="s">
        <v>16</v>
      </c>
      <c r="F143" t="s">
        <v>17</v>
      </c>
      <c r="G143" t="s">
        <v>32</v>
      </c>
      <c r="H143" t="s">
        <v>19</v>
      </c>
      <c r="I143" t="s">
        <v>20</v>
      </c>
      <c r="J143" s="2">
        <v>300</v>
      </c>
    </row>
    <row r="144" spans="1:12" ht="19.95" customHeight="1">
      <c r="A144" t="s">
        <v>218</v>
      </c>
      <c r="B144" t="s">
        <v>203</v>
      </c>
      <c r="C144" t="s">
        <v>14</v>
      </c>
      <c r="D144" t="s">
        <v>42</v>
      </c>
      <c r="E144" t="s">
        <v>16</v>
      </c>
      <c r="F144" t="s">
        <v>17</v>
      </c>
      <c r="G144" t="s">
        <v>23</v>
      </c>
      <c r="H144" t="s">
        <v>24</v>
      </c>
      <c r="I144" t="s">
        <v>20</v>
      </c>
      <c r="J144" s="2">
        <v>120</v>
      </c>
    </row>
    <row r="145" spans="1:12" ht="19.95" customHeight="1">
      <c r="A145" t="s">
        <v>219</v>
      </c>
      <c r="B145" t="s">
        <v>203</v>
      </c>
      <c r="C145" t="s">
        <v>14</v>
      </c>
      <c r="D145" t="s">
        <v>26</v>
      </c>
      <c r="E145" t="s">
        <v>16</v>
      </c>
      <c r="F145" t="s">
        <v>17</v>
      </c>
      <c r="G145" t="s">
        <v>18</v>
      </c>
      <c r="H145" t="s">
        <v>19</v>
      </c>
      <c r="I145" t="s">
        <v>20</v>
      </c>
      <c r="J145" s="2">
        <v>200</v>
      </c>
    </row>
    <row r="146" spans="1:12" ht="19.95" customHeight="1">
      <c r="A146" t="s">
        <v>220</v>
      </c>
      <c r="B146" t="s">
        <v>203</v>
      </c>
      <c r="C146" t="s">
        <v>14</v>
      </c>
      <c r="D146" t="s">
        <v>40</v>
      </c>
      <c r="E146" t="s">
        <v>16</v>
      </c>
      <c r="F146" t="s">
        <v>17</v>
      </c>
      <c r="G146" t="s">
        <v>32</v>
      </c>
      <c r="H146" t="s">
        <v>19</v>
      </c>
      <c r="I146" t="s">
        <v>20</v>
      </c>
      <c r="J146" s="2">
        <v>300</v>
      </c>
    </row>
    <row r="147" spans="1:12" ht="19.95" customHeight="1">
      <c r="A147" t="s">
        <v>221</v>
      </c>
      <c r="B147" t="s">
        <v>203</v>
      </c>
      <c r="C147" t="s">
        <v>14</v>
      </c>
      <c r="D147" t="s">
        <v>31</v>
      </c>
      <c r="E147" t="s">
        <v>16</v>
      </c>
      <c r="F147" t="s">
        <v>17</v>
      </c>
      <c r="G147" t="s">
        <v>32</v>
      </c>
      <c r="H147" t="s">
        <v>24</v>
      </c>
      <c r="I147" t="s">
        <v>20</v>
      </c>
      <c r="J147" s="2">
        <v>225</v>
      </c>
      <c r="L147" t="s">
        <v>29</v>
      </c>
    </row>
    <row r="148" spans="1:12" ht="19.95" customHeight="1">
      <c r="A148" t="s">
        <v>222</v>
      </c>
      <c r="B148" t="s">
        <v>203</v>
      </c>
      <c r="C148" t="s">
        <v>47</v>
      </c>
      <c r="D148" t="s">
        <v>66</v>
      </c>
      <c r="E148" t="s">
        <v>16</v>
      </c>
      <c r="F148" t="s">
        <v>35</v>
      </c>
      <c r="G148" t="s">
        <v>23</v>
      </c>
      <c r="H148" t="s">
        <v>19</v>
      </c>
      <c r="I148" t="s">
        <v>20</v>
      </c>
      <c r="J148" s="2">
        <v>120</v>
      </c>
    </row>
    <row r="149" spans="1:12" ht="19.95" customHeight="1">
      <c r="A149" t="s">
        <v>223</v>
      </c>
      <c r="B149" t="s">
        <v>203</v>
      </c>
      <c r="C149" t="s">
        <v>47</v>
      </c>
      <c r="D149" t="s">
        <v>52</v>
      </c>
      <c r="E149" t="s">
        <v>16</v>
      </c>
      <c r="F149" t="s">
        <v>35</v>
      </c>
      <c r="G149" t="s">
        <v>32</v>
      </c>
      <c r="H149" t="s">
        <v>19</v>
      </c>
      <c r="I149" t="s">
        <v>20</v>
      </c>
      <c r="J149" s="2">
        <v>300</v>
      </c>
    </row>
    <row r="150" spans="1:12" ht="19.95" customHeight="1">
      <c r="A150" t="s">
        <v>224</v>
      </c>
      <c r="B150" t="s">
        <v>203</v>
      </c>
      <c r="C150" t="s">
        <v>47</v>
      </c>
      <c r="D150" t="s">
        <v>73</v>
      </c>
      <c r="E150" t="s">
        <v>16</v>
      </c>
      <c r="F150" t="s">
        <v>17</v>
      </c>
      <c r="G150" t="s">
        <v>23</v>
      </c>
      <c r="H150" t="s">
        <v>24</v>
      </c>
      <c r="I150" t="s">
        <v>20</v>
      </c>
      <c r="J150" s="2">
        <v>120</v>
      </c>
    </row>
    <row r="151" spans="1:12" ht="19.95" customHeight="1">
      <c r="A151" t="s">
        <v>225</v>
      </c>
      <c r="B151" t="s">
        <v>203</v>
      </c>
      <c r="C151" t="s">
        <v>47</v>
      </c>
      <c r="D151" t="s">
        <v>50</v>
      </c>
      <c r="E151" t="s">
        <v>16</v>
      </c>
      <c r="F151" t="s">
        <v>17</v>
      </c>
      <c r="G151" t="s">
        <v>23</v>
      </c>
      <c r="H151" t="s">
        <v>19</v>
      </c>
      <c r="I151" t="s">
        <v>20</v>
      </c>
      <c r="J151" s="2">
        <v>120</v>
      </c>
    </row>
    <row r="152" spans="1:12" ht="19.95" customHeight="1">
      <c r="A152" t="s">
        <v>226</v>
      </c>
      <c r="B152" t="s">
        <v>203</v>
      </c>
      <c r="C152" t="s">
        <v>47</v>
      </c>
      <c r="D152" t="s">
        <v>148</v>
      </c>
      <c r="E152" t="s">
        <v>16</v>
      </c>
      <c r="F152" t="s">
        <v>17</v>
      </c>
      <c r="G152" t="s">
        <v>23</v>
      </c>
      <c r="H152" t="s">
        <v>19</v>
      </c>
      <c r="I152" t="s">
        <v>20</v>
      </c>
      <c r="J152" s="2">
        <v>120</v>
      </c>
    </row>
    <row r="153" spans="1:12" ht="19.95" customHeight="1">
      <c r="A153" t="s">
        <v>227</v>
      </c>
      <c r="B153" t="s">
        <v>203</v>
      </c>
      <c r="C153" t="s">
        <v>47</v>
      </c>
      <c r="D153" t="s">
        <v>64</v>
      </c>
      <c r="E153" t="s">
        <v>16</v>
      </c>
      <c r="F153" t="s">
        <v>17</v>
      </c>
      <c r="G153" t="s">
        <v>32</v>
      </c>
      <c r="H153" t="s">
        <v>19</v>
      </c>
      <c r="I153" t="s">
        <v>20</v>
      </c>
      <c r="J153" s="2">
        <v>300</v>
      </c>
    </row>
    <row r="154" spans="1:12" ht="19.95" customHeight="1">
      <c r="A154" t="s">
        <v>228</v>
      </c>
      <c r="B154" t="s">
        <v>203</v>
      </c>
      <c r="C154" t="s">
        <v>47</v>
      </c>
      <c r="D154" t="s">
        <v>59</v>
      </c>
      <c r="E154" t="s">
        <v>16</v>
      </c>
      <c r="F154" t="s">
        <v>17</v>
      </c>
      <c r="G154" t="s">
        <v>18</v>
      </c>
      <c r="H154" t="s">
        <v>19</v>
      </c>
      <c r="I154" t="s">
        <v>20</v>
      </c>
      <c r="J154" s="2">
        <v>150</v>
      </c>
      <c r="L154" t="s">
        <v>29</v>
      </c>
    </row>
    <row r="155" spans="1:12" ht="19.95" customHeight="1">
      <c r="A155" t="s">
        <v>229</v>
      </c>
      <c r="B155" t="s">
        <v>203</v>
      </c>
      <c r="C155" t="s">
        <v>47</v>
      </c>
      <c r="D155" t="s">
        <v>64</v>
      </c>
      <c r="E155" t="s">
        <v>16</v>
      </c>
      <c r="F155" t="s">
        <v>35</v>
      </c>
      <c r="G155" t="s">
        <v>32</v>
      </c>
      <c r="H155" t="s">
        <v>19</v>
      </c>
      <c r="I155" t="s">
        <v>20</v>
      </c>
      <c r="J155" s="2">
        <v>300</v>
      </c>
    </row>
    <row r="156" spans="1:12" ht="19.95" customHeight="1">
      <c r="A156" t="s">
        <v>230</v>
      </c>
      <c r="B156" t="s">
        <v>203</v>
      </c>
      <c r="C156" t="s">
        <v>47</v>
      </c>
      <c r="D156" t="s">
        <v>73</v>
      </c>
      <c r="E156" t="s">
        <v>16</v>
      </c>
      <c r="F156" t="s">
        <v>17</v>
      </c>
      <c r="G156" t="s">
        <v>32</v>
      </c>
      <c r="H156" t="s">
        <v>19</v>
      </c>
      <c r="I156" t="s">
        <v>20</v>
      </c>
      <c r="J156" s="2">
        <v>300</v>
      </c>
    </row>
    <row r="157" spans="1:12" ht="19.95" customHeight="1">
      <c r="A157" t="s">
        <v>231</v>
      </c>
      <c r="B157" t="s">
        <v>203</v>
      </c>
      <c r="C157" t="s">
        <v>47</v>
      </c>
      <c r="D157" t="s">
        <v>52</v>
      </c>
      <c r="E157" t="s">
        <v>16</v>
      </c>
      <c r="F157" t="s">
        <v>17</v>
      </c>
      <c r="G157" t="s">
        <v>32</v>
      </c>
      <c r="H157" t="s">
        <v>24</v>
      </c>
      <c r="I157" t="s">
        <v>20</v>
      </c>
      <c r="J157" s="2">
        <v>300</v>
      </c>
    </row>
    <row r="158" spans="1:12" ht="19.95" customHeight="1">
      <c r="A158" t="s">
        <v>232</v>
      </c>
      <c r="B158" t="s">
        <v>203</v>
      </c>
      <c r="C158" t="s">
        <v>47</v>
      </c>
      <c r="D158" t="s">
        <v>52</v>
      </c>
      <c r="E158" t="s">
        <v>16</v>
      </c>
      <c r="F158" t="s">
        <v>17</v>
      </c>
      <c r="G158" t="s">
        <v>23</v>
      </c>
      <c r="H158" t="s">
        <v>19</v>
      </c>
      <c r="I158" t="s">
        <v>20</v>
      </c>
      <c r="J158" s="2">
        <v>120</v>
      </c>
    </row>
    <row r="159" spans="1:12" ht="19.95" customHeight="1">
      <c r="A159" t="s">
        <v>233</v>
      </c>
      <c r="B159" t="s">
        <v>203</v>
      </c>
      <c r="C159" t="s">
        <v>47</v>
      </c>
      <c r="D159" t="s">
        <v>55</v>
      </c>
      <c r="E159" t="s">
        <v>16</v>
      </c>
      <c r="F159" t="s">
        <v>17</v>
      </c>
      <c r="G159" t="s">
        <v>18</v>
      </c>
      <c r="H159" t="s">
        <v>24</v>
      </c>
      <c r="I159" t="s">
        <v>20</v>
      </c>
      <c r="J159" s="2">
        <v>170</v>
      </c>
      <c r="L159" t="s">
        <v>29</v>
      </c>
    </row>
    <row r="160" spans="1:12" ht="19.95" customHeight="1">
      <c r="A160" t="s">
        <v>234</v>
      </c>
      <c r="B160" t="s">
        <v>203</v>
      </c>
      <c r="C160" t="s">
        <v>47</v>
      </c>
      <c r="D160" t="s">
        <v>55</v>
      </c>
      <c r="E160" t="s">
        <v>16</v>
      </c>
      <c r="F160" t="s">
        <v>17</v>
      </c>
      <c r="G160" t="s">
        <v>18</v>
      </c>
      <c r="H160" t="s">
        <v>19</v>
      </c>
      <c r="I160" t="s">
        <v>20</v>
      </c>
      <c r="J160" s="2">
        <v>200</v>
      </c>
    </row>
    <row r="161" spans="1:12" ht="19.95" customHeight="1">
      <c r="A161" t="s">
        <v>235</v>
      </c>
      <c r="B161" t="s">
        <v>203</v>
      </c>
      <c r="C161" t="s">
        <v>47</v>
      </c>
      <c r="D161" t="s">
        <v>71</v>
      </c>
      <c r="E161" t="s">
        <v>16</v>
      </c>
      <c r="F161" t="s">
        <v>17</v>
      </c>
      <c r="G161" t="s">
        <v>32</v>
      </c>
      <c r="H161" t="s">
        <v>19</v>
      </c>
      <c r="I161" t="s">
        <v>20</v>
      </c>
      <c r="J161" s="2">
        <v>300</v>
      </c>
    </row>
    <row r="162" spans="1:12" ht="19.95" customHeight="1">
      <c r="A162" t="s">
        <v>236</v>
      </c>
      <c r="B162" t="s">
        <v>203</v>
      </c>
      <c r="C162" t="s">
        <v>47</v>
      </c>
      <c r="D162" t="s">
        <v>148</v>
      </c>
      <c r="E162" t="s">
        <v>16</v>
      </c>
      <c r="F162" t="s">
        <v>17</v>
      </c>
      <c r="G162" t="s">
        <v>18</v>
      </c>
      <c r="H162" t="s">
        <v>19</v>
      </c>
      <c r="I162" t="s">
        <v>20</v>
      </c>
      <c r="J162" s="2">
        <v>200</v>
      </c>
    </row>
    <row r="163" spans="1:12" ht="19.95" customHeight="1">
      <c r="A163" t="s">
        <v>237</v>
      </c>
      <c r="B163" t="s">
        <v>203</v>
      </c>
      <c r="C163" t="s">
        <v>47</v>
      </c>
      <c r="D163" t="s">
        <v>48</v>
      </c>
      <c r="E163" t="s">
        <v>16</v>
      </c>
      <c r="F163" t="s">
        <v>17</v>
      </c>
      <c r="G163" t="s">
        <v>18</v>
      </c>
      <c r="H163" t="s">
        <v>19</v>
      </c>
      <c r="I163" t="s">
        <v>20</v>
      </c>
      <c r="J163" s="2">
        <v>200</v>
      </c>
    </row>
    <row r="164" spans="1:12" ht="19.95" customHeight="1">
      <c r="A164" t="s">
        <v>238</v>
      </c>
      <c r="B164" t="s">
        <v>203</v>
      </c>
      <c r="C164" t="s">
        <v>47</v>
      </c>
      <c r="D164" t="s">
        <v>148</v>
      </c>
      <c r="E164" t="s">
        <v>16</v>
      </c>
      <c r="F164" t="s">
        <v>17</v>
      </c>
      <c r="G164" t="s">
        <v>23</v>
      </c>
      <c r="H164" t="s">
        <v>19</v>
      </c>
      <c r="I164" t="s">
        <v>20</v>
      </c>
      <c r="J164" s="2">
        <v>120</v>
      </c>
    </row>
    <row r="165" spans="1:12" ht="19.95" customHeight="1">
      <c r="A165" t="s">
        <v>239</v>
      </c>
      <c r="B165" t="s">
        <v>203</v>
      </c>
      <c r="C165" t="s">
        <v>78</v>
      </c>
      <c r="D165" t="s">
        <v>97</v>
      </c>
      <c r="E165" t="s">
        <v>16</v>
      </c>
      <c r="F165" t="s">
        <v>17</v>
      </c>
      <c r="G165" t="s">
        <v>18</v>
      </c>
      <c r="H165" t="s">
        <v>19</v>
      </c>
      <c r="I165" t="s">
        <v>20</v>
      </c>
      <c r="J165" s="2">
        <v>200</v>
      </c>
    </row>
    <row r="166" spans="1:12" ht="19.95" customHeight="1">
      <c r="A166" t="s">
        <v>240</v>
      </c>
      <c r="B166" t="s">
        <v>203</v>
      </c>
      <c r="C166" t="s">
        <v>78</v>
      </c>
      <c r="D166" t="s">
        <v>163</v>
      </c>
      <c r="E166" t="s">
        <v>16</v>
      </c>
      <c r="F166" t="s">
        <v>17</v>
      </c>
      <c r="G166" t="s">
        <v>18</v>
      </c>
      <c r="H166" t="s">
        <v>19</v>
      </c>
      <c r="I166" t="s">
        <v>20</v>
      </c>
      <c r="J166" s="2">
        <v>200</v>
      </c>
    </row>
    <row r="167" spans="1:12" ht="19.95" customHeight="1">
      <c r="A167" t="s">
        <v>241</v>
      </c>
      <c r="B167" t="s">
        <v>203</v>
      </c>
      <c r="C167" t="s">
        <v>78</v>
      </c>
      <c r="D167" t="s">
        <v>242</v>
      </c>
      <c r="E167" t="s">
        <v>16</v>
      </c>
      <c r="F167" t="s">
        <v>17</v>
      </c>
      <c r="G167" t="s">
        <v>18</v>
      </c>
      <c r="H167" t="s">
        <v>19</v>
      </c>
      <c r="I167" t="s">
        <v>20</v>
      </c>
      <c r="J167" s="2">
        <v>200</v>
      </c>
    </row>
    <row r="168" spans="1:12" ht="19.95" customHeight="1">
      <c r="A168" t="s">
        <v>243</v>
      </c>
      <c r="B168" t="s">
        <v>203</v>
      </c>
      <c r="C168" t="s">
        <v>78</v>
      </c>
      <c r="D168" t="s">
        <v>102</v>
      </c>
      <c r="E168" t="s">
        <v>16</v>
      </c>
      <c r="F168" t="s">
        <v>17</v>
      </c>
      <c r="G168" t="s">
        <v>18</v>
      </c>
      <c r="H168" t="s">
        <v>19</v>
      </c>
      <c r="I168" t="s">
        <v>20</v>
      </c>
      <c r="J168" s="2">
        <v>200</v>
      </c>
    </row>
    <row r="169" spans="1:12" ht="19.95" customHeight="1">
      <c r="A169" t="s">
        <v>244</v>
      </c>
      <c r="B169" t="s">
        <v>203</v>
      </c>
      <c r="C169" t="s">
        <v>78</v>
      </c>
      <c r="D169" t="s">
        <v>102</v>
      </c>
      <c r="E169" t="s">
        <v>16</v>
      </c>
      <c r="F169" t="s">
        <v>35</v>
      </c>
      <c r="G169" t="s">
        <v>18</v>
      </c>
      <c r="H169" t="s">
        <v>19</v>
      </c>
      <c r="I169" t="s">
        <v>53</v>
      </c>
      <c r="J169" s="2">
        <v>200</v>
      </c>
    </row>
    <row r="170" spans="1:12" ht="19.95" customHeight="1">
      <c r="A170" t="s">
        <v>245</v>
      </c>
      <c r="B170" t="s">
        <v>203</v>
      </c>
      <c r="C170" t="s">
        <v>78</v>
      </c>
      <c r="D170" t="s">
        <v>81</v>
      </c>
      <c r="E170" t="s">
        <v>16</v>
      </c>
      <c r="F170" t="s">
        <v>35</v>
      </c>
      <c r="G170" t="s">
        <v>18</v>
      </c>
      <c r="H170" t="s">
        <v>19</v>
      </c>
      <c r="I170" t="s">
        <v>20</v>
      </c>
      <c r="J170" s="2">
        <v>200</v>
      </c>
    </row>
    <row r="171" spans="1:12" ht="19.95" customHeight="1">
      <c r="A171" t="s">
        <v>246</v>
      </c>
      <c r="B171" t="s">
        <v>203</v>
      </c>
      <c r="C171" t="s">
        <v>78</v>
      </c>
      <c r="D171" t="s">
        <v>102</v>
      </c>
      <c r="E171" t="s">
        <v>16</v>
      </c>
      <c r="F171" t="s">
        <v>17</v>
      </c>
      <c r="G171" t="s">
        <v>32</v>
      </c>
      <c r="H171" t="s">
        <v>19</v>
      </c>
      <c r="I171" t="s">
        <v>20</v>
      </c>
      <c r="J171" s="2">
        <v>300</v>
      </c>
    </row>
    <row r="172" spans="1:12" ht="19.95" customHeight="1">
      <c r="A172" t="s">
        <v>247</v>
      </c>
      <c r="B172" t="s">
        <v>203</v>
      </c>
      <c r="C172" t="s">
        <v>78</v>
      </c>
      <c r="D172" t="s">
        <v>97</v>
      </c>
      <c r="E172" t="s">
        <v>16</v>
      </c>
      <c r="F172" t="s">
        <v>17</v>
      </c>
      <c r="G172" t="s">
        <v>23</v>
      </c>
      <c r="H172" t="s">
        <v>24</v>
      </c>
      <c r="I172" t="s">
        <v>20</v>
      </c>
      <c r="J172" s="2">
        <v>120</v>
      </c>
    </row>
    <row r="173" spans="1:12" ht="19.95" customHeight="1">
      <c r="A173" t="s">
        <v>248</v>
      </c>
      <c r="B173" t="s">
        <v>203</v>
      </c>
      <c r="C173" t="s">
        <v>78</v>
      </c>
      <c r="D173" t="s">
        <v>161</v>
      </c>
      <c r="E173" t="s">
        <v>16</v>
      </c>
      <c r="F173" t="s">
        <v>17</v>
      </c>
      <c r="G173" t="s">
        <v>32</v>
      </c>
      <c r="H173" t="s">
        <v>19</v>
      </c>
      <c r="I173" t="s">
        <v>20</v>
      </c>
      <c r="J173" s="2">
        <v>300</v>
      </c>
    </row>
    <row r="174" spans="1:12" ht="19.95" customHeight="1">
      <c r="A174" t="s">
        <v>249</v>
      </c>
      <c r="B174" t="s">
        <v>203</v>
      </c>
      <c r="C174" t="s">
        <v>78</v>
      </c>
      <c r="D174" t="s">
        <v>163</v>
      </c>
      <c r="E174" t="s">
        <v>16</v>
      </c>
      <c r="F174" t="s">
        <v>17</v>
      </c>
      <c r="G174" t="s">
        <v>18</v>
      </c>
      <c r="H174" t="s">
        <v>19</v>
      </c>
      <c r="I174" t="s">
        <v>20</v>
      </c>
      <c r="J174" s="2">
        <v>200</v>
      </c>
    </row>
    <row r="175" spans="1:12" ht="19.95" customHeight="1">
      <c r="A175" t="s">
        <v>250</v>
      </c>
      <c r="B175" t="s">
        <v>203</v>
      </c>
      <c r="C175" t="s">
        <v>78</v>
      </c>
      <c r="D175" t="s">
        <v>161</v>
      </c>
      <c r="E175" t="s">
        <v>16</v>
      </c>
      <c r="F175" t="s">
        <v>17</v>
      </c>
      <c r="G175" t="s">
        <v>18</v>
      </c>
      <c r="H175" t="s">
        <v>19</v>
      </c>
      <c r="I175" t="s">
        <v>74</v>
      </c>
      <c r="J175" s="2">
        <v>200</v>
      </c>
    </row>
    <row r="176" spans="1:12" ht="19.95" customHeight="1">
      <c r="A176" t="s">
        <v>251</v>
      </c>
      <c r="B176" t="s">
        <v>203</v>
      </c>
      <c r="C176" t="s">
        <v>78</v>
      </c>
      <c r="D176" t="s">
        <v>242</v>
      </c>
      <c r="E176" t="s">
        <v>16</v>
      </c>
      <c r="F176" t="s">
        <v>17</v>
      </c>
      <c r="G176" t="s">
        <v>23</v>
      </c>
      <c r="H176" t="s">
        <v>24</v>
      </c>
      <c r="I176" t="s">
        <v>20</v>
      </c>
      <c r="J176" s="2">
        <v>102</v>
      </c>
      <c r="L176" t="s">
        <v>29</v>
      </c>
    </row>
    <row r="177" spans="1:12" ht="19.95" customHeight="1">
      <c r="A177" t="s">
        <v>252</v>
      </c>
      <c r="B177" t="s">
        <v>203</v>
      </c>
      <c r="C177" t="s">
        <v>78</v>
      </c>
      <c r="D177" t="s">
        <v>93</v>
      </c>
      <c r="E177" t="s">
        <v>16</v>
      </c>
      <c r="F177" t="s">
        <v>17</v>
      </c>
      <c r="G177" t="s">
        <v>18</v>
      </c>
      <c r="H177" t="s">
        <v>24</v>
      </c>
      <c r="I177" t="s">
        <v>20</v>
      </c>
      <c r="J177" s="2">
        <v>200</v>
      </c>
    </row>
    <row r="178" spans="1:12" ht="19.95" customHeight="1">
      <c r="A178" t="s">
        <v>253</v>
      </c>
      <c r="B178" t="s">
        <v>203</v>
      </c>
      <c r="C178" t="s">
        <v>78</v>
      </c>
      <c r="D178" t="s">
        <v>85</v>
      </c>
      <c r="E178" t="s">
        <v>16</v>
      </c>
      <c r="F178" t="s">
        <v>17</v>
      </c>
      <c r="G178" t="s">
        <v>23</v>
      </c>
      <c r="H178" t="s">
        <v>19</v>
      </c>
      <c r="I178" t="s">
        <v>20</v>
      </c>
      <c r="J178" s="2">
        <v>120</v>
      </c>
    </row>
    <row r="179" spans="1:12" ht="19.95" customHeight="1">
      <c r="A179" t="s">
        <v>254</v>
      </c>
      <c r="B179" t="s">
        <v>203</v>
      </c>
      <c r="C179" t="s">
        <v>105</v>
      </c>
      <c r="D179" t="s">
        <v>108</v>
      </c>
      <c r="E179" t="s">
        <v>16</v>
      </c>
      <c r="F179" t="s">
        <v>17</v>
      </c>
      <c r="G179" t="s">
        <v>32</v>
      </c>
      <c r="H179" t="s">
        <v>19</v>
      </c>
      <c r="I179" t="s">
        <v>20</v>
      </c>
      <c r="J179" s="2">
        <v>300</v>
      </c>
    </row>
    <row r="180" spans="1:12" ht="19.95" customHeight="1">
      <c r="A180" t="s">
        <v>255</v>
      </c>
      <c r="B180" t="s">
        <v>203</v>
      </c>
      <c r="C180" t="s">
        <v>105</v>
      </c>
      <c r="D180" t="s">
        <v>191</v>
      </c>
      <c r="E180" t="s">
        <v>16</v>
      </c>
      <c r="F180" t="s">
        <v>17</v>
      </c>
      <c r="G180" t="s">
        <v>18</v>
      </c>
      <c r="H180" t="s">
        <v>19</v>
      </c>
      <c r="I180" t="s">
        <v>20</v>
      </c>
      <c r="J180" s="2">
        <v>200</v>
      </c>
    </row>
    <row r="181" spans="1:12" ht="19.95" customHeight="1">
      <c r="A181" t="s">
        <v>256</v>
      </c>
      <c r="B181" t="s">
        <v>203</v>
      </c>
      <c r="C181" t="s">
        <v>105</v>
      </c>
      <c r="D181" t="s">
        <v>116</v>
      </c>
      <c r="E181" t="s">
        <v>16</v>
      </c>
      <c r="F181" t="s">
        <v>17</v>
      </c>
      <c r="G181" t="s">
        <v>32</v>
      </c>
      <c r="H181" t="s">
        <v>19</v>
      </c>
      <c r="I181" t="s">
        <v>74</v>
      </c>
      <c r="J181" s="2">
        <v>300</v>
      </c>
    </row>
    <row r="182" spans="1:12" ht="19.95" customHeight="1">
      <c r="A182" t="s">
        <v>257</v>
      </c>
      <c r="B182" t="s">
        <v>203</v>
      </c>
      <c r="C182" t="s">
        <v>105</v>
      </c>
      <c r="D182" t="s">
        <v>108</v>
      </c>
      <c r="E182" t="s">
        <v>16</v>
      </c>
      <c r="F182" t="s">
        <v>17</v>
      </c>
      <c r="G182" t="s">
        <v>23</v>
      </c>
      <c r="H182" t="s">
        <v>19</v>
      </c>
      <c r="I182" t="s">
        <v>20</v>
      </c>
      <c r="J182" s="2">
        <v>120</v>
      </c>
    </row>
    <row r="183" spans="1:12" ht="19.95" customHeight="1">
      <c r="A183" t="s">
        <v>258</v>
      </c>
      <c r="B183" t="s">
        <v>203</v>
      </c>
      <c r="C183" t="s">
        <v>105</v>
      </c>
      <c r="D183" t="s">
        <v>108</v>
      </c>
      <c r="E183" t="s">
        <v>16</v>
      </c>
      <c r="F183" t="s">
        <v>17</v>
      </c>
      <c r="G183" t="s">
        <v>32</v>
      </c>
      <c r="H183" t="s">
        <v>19</v>
      </c>
      <c r="I183" t="s">
        <v>20</v>
      </c>
      <c r="J183" s="2">
        <v>300</v>
      </c>
    </row>
    <row r="184" spans="1:12" ht="19.95" customHeight="1">
      <c r="A184" t="s">
        <v>259</v>
      </c>
      <c r="B184" t="s">
        <v>203</v>
      </c>
      <c r="C184" t="s">
        <v>105</v>
      </c>
      <c r="D184" t="s">
        <v>191</v>
      </c>
      <c r="E184" t="s">
        <v>16</v>
      </c>
      <c r="F184" t="s">
        <v>17</v>
      </c>
      <c r="G184" t="s">
        <v>23</v>
      </c>
      <c r="H184" t="s">
        <v>19</v>
      </c>
      <c r="I184" t="s">
        <v>20</v>
      </c>
      <c r="J184" s="2">
        <v>102</v>
      </c>
      <c r="L184" t="s">
        <v>29</v>
      </c>
    </row>
    <row r="185" spans="1:12" ht="19.95" customHeight="1">
      <c r="A185" t="s">
        <v>260</v>
      </c>
      <c r="B185" t="s">
        <v>203</v>
      </c>
      <c r="C185" t="s">
        <v>105</v>
      </c>
      <c r="D185" t="s">
        <v>118</v>
      </c>
      <c r="E185" t="s">
        <v>16</v>
      </c>
      <c r="F185" t="s">
        <v>17</v>
      </c>
      <c r="G185" t="s">
        <v>32</v>
      </c>
      <c r="H185" t="s">
        <v>19</v>
      </c>
      <c r="I185" t="s">
        <v>20</v>
      </c>
      <c r="J185" s="2">
        <v>300</v>
      </c>
    </row>
    <row r="186" spans="1:12" ht="19.95" customHeight="1">
      <c r="A186" t="s">
        <v>261</v>
      </c>
      <c r="B186" t="s">
        <v>203</v>
      </c>
      <c r="C186" t="s">
        <v>105</v>
      </c>
      <c r="D186" t="s">
        <v>194</v>
      </c>
      <c r="E186" t="s">
        <v>16</v>
      </c>
      <c r="F186" t="s">
        <v>17</v>
      </c>
      <c r="G186" t="s">
        <v>32</v>
      </c>
      <c r="H186" t="s">
        <v>19</v>
      </c>
      <c r="I186" t="s">
        <v>20</v>
      </c>
      <c r="J186" s="2">
        <v>300</v>
      </c>
    </row>
    <row r="187" spans="1:12" ht="19.95" customHeight="1">
      <c r="A187" t="s">
        <v>262</v>
      </c>
      <c r="B187" t="s">
        <v>203</v>
      </c>
      <c r="C187" t="s">
        <v>105</v>
      </c>
      <c r="D187" t="s">
        <v>118</v>
      </c>
      <c r="E187" t="s">
        <v>16</v>
      </c>
      <c r="F187" t="s">
        <v>17</v>
      </c>
      <c r="G187" t="s">
        <v>18</v>
      </c>
      <c r="H187" t="s">
        <v>19</v>
      </c>
      <c r="I187" t="s">
        <v>20</v>
      </c>
      <c r="J187" s="2">
        <v>200</v>
      </c>
    </row>
    <row r="188" spans="1:12" ht="19.95" customHeight="1">
      <c r="A188" t="s">
        <v>263</v>
      </c>
      <c r="B188" t="s">
        <v>203</v>
      </c>
      <c r="C188" t="s">
        <v>105</v>
      </c>
      <c r="D188" t="s">
        <v>110</v>
      </c>
      <c r="E188" t="s">
        <v>16</v>
      </c>
      <c r="F188" t="s">
        <v>35</v>
      </c>
      <c r="G188" t="s">
        <v>18</v>
      </c>
      <c r="H188" t="s">
        <v>19</v>
      </c>
      <c r="I188" t="s">
        <v>20</v>
      </c>
      <c r="J188" s="2">
        <v>200</v>
      </c>
    </row>
    <row r="189" spans="1:12" ht="19.95" customHeight="1">
      <c r="A189" t="s">
        <v>264</v>
      </c>
      <c r="B189" t="s">
        <v>203</v>
      </c>
      <c r="C189" t="s">
        <v>105</v>
      </c>
      <c r="D189" t="s">
        <v>265</v>
      </c>
      <c r="E189" t="s">
        <v>16</v>
      </c>
      <c r="F189" t="s">
        <v>35</v>
      </c>
      <c r="G189" t="s">
        <v>23</v>
      </c>
      <c r="H189" t="s">
        <v>24</v>
      </c>
      <c r="I189" t="s">
        <v>20</v>
      </c>
      <c r="J189" s="2">
        <v>120</v>
      </c>
    </row>
    <row r="190" spans="1:12" ht="19.95" customHeight="1">
      <c r="A190" t="s">
        <v>266</v>
      </c>
      <c r="B190" t="s">
        <v>203</v>
      </c>
      <c r="C190" t="s">
        <v>105</v>
      </c>
      <c r="D190" t="s">
        <v>191</v>
      </c>
      <c r="E190" t="s">
        <v>16</v>
      </c>
      <c r="F190" t="s">
        <v>17</v>
      </c>
      <c r="G190" t="s">
        <v>23</v>
      </c>
      <c r="H190" t="s">
        <v>19</v>
      </c>
      <c r="I190" t="s">
        <v>20</v>
      </c>
      <c r="J190" s="2">
        <v>120</v>
      </c>
    </row>
    <row r="191" spans="1:12" ht="19.95" customHeight="1">
      <c r="A191" t="s">
        <v>267</v>
      </c>
      <c r="B191" t="s">
        <v>203</v>
      </c>
      <c r="C191" t="s">
        <v>105</v>
      </c>
      <c r="D191" t="s">
        <v>106</v>
      </c>
      <c r="E191" t="s">
        <v>16</v>
      </c>
      <c r="F191" t="s">
        <v>35</v>
      </c>
      <c r="G191" t="s">
        <v>32</v>
      </c>
      <c r="H191" t="s">
        <v>19</v>
      </c>
      <c r="I191" t="s">
        <v>53</v>
      </c>
      <c r="J191" s="2">
        <v>300</v>
      </c>
    </row>
    <row r="192" spans="1:12" ht="19.95" customHeight="1">
      <c r="A192" t="s">
        <v>268</v>
      </c>
      <c r="B192" t="s">
        <v>203</v>
      </c>
      <c r="C192" t="s">
        <v>105</v>
      </c>
      <c r="D192" t="s">
        <v>110</v>
      </c>
      <c r="E192" t="s">
        <v>16</v>
      </c>
      <c r="F192" t="s">
        <v>17</v>
      </c>
      <c r="G192" t="s">
        <v>32</v>
      </c>
      <c r="H192" t="s">
        <v>19</v>
      </c>
      <c r="I192" t="s">
        <v>20</v>
      </c>
      <c r="J192" s="2">
        <v>300</v>
      </c>
    </row>
    <row r="193" spans="1:12" ht="19.95" customHeight="1">
      <c r="A193" t="s">
        <v>269</v>
      </c>
      <c r="B193" t="s">
        <v>203</v>
      </c>
      <c r="C193" t="s">
        <v>105</v>
      </c>
      <c r="D193" t="s">
        <v>116</v>
      </c>
      <c r="E193" t="s">
        <v>16</v>
      </c>
      <c r="F193" t="s">
        <v>17</v>
      </c>
      <c r="G193" t="s">
        <v>18</v>
      </c>
      <c r="H193" t="s">
        <v>19</v>
      </c>
      <c r="I193" t="s">
        <v>20</v>
      </c>
      <c r="J193" s="2">
        <v>200</v>
      </c>
    </row>
    <row r="194" spans="1:12" ht="19.95" customHeight="1">
      <c r="A194" t="s">
        <v>269</v>
      </c>
      <c r="B194" t="s">
        <v>203</v>
      </c>
      <c r="C194" t="s">
        <v>105</v>
      </c>
      <c r="D194" t="s">
        <v>116</v>
      </c>
      <c r="E194" t="s">
        <v>16</v>
      </c>
      <c r="F194" t="s">
        <v>17</v>
      </c>
      <c r="G194" t="s">
        <v>18</v>
      </c>
      <c r="H194" t="s">
        <v>19</v>
      </c>
      <c r="I194" t="s">
        <v>20</v>
      </c>
      <c r="J194" s="2">
        <v>200</v>
      </c>
    </row>
    <row r="195" spans="1:12" ht="19.95" customHeight="1">
      <c r="A195" t="s">
        <v>270</v>
      </c>
      <c r="B195" t="s">
        <v>203</v>
      </c>
      <c r="C195" t="s">
        <v>105</v>
      </c>
      <c r="D195" t="s">
        <v>112</v>
      </c>
      <c r="E195" t="s">
        <v>16</v>
      </c>
      <c r="F195" t="s">
        <v>17</v>
      </c>
      <c r="G195" t="s">
        <v>18</v>
      </c>
      <c r="H195" t="s">
        <v>19</v>
      </c>
      <c r="I195" t="s">
        <v>20</v>
      </c>
      <c r="J195" s="2">
        <v>200</v>
      </c>
    </row>
    <row r="196" spans="1:12" ht="19.95" customHeight="1">
      <c r="A196" t="s">
        <v>271</v>
      </c>
      <c r="B196" t="s">
        <v>272</v>
      </c>
      <c r="C196" t="s">
        <v>14</v>
      </c>
      <c r="D196" t="s">
        <v>137</v>
      </c>
      <c r="E196" t="s">
        <v>16</v>
      </c>
      <c r="F196" t="s">
        <v>17</v>
      </c>
      <c r="G196" t="s">
        <v>23</v>
      </c>
      <c r="H196" t="s">
        <v>19</v>
      </c>
      <c r="I196" t="s">
        <v>20</v>
      </c>
      <c r="J196" s="2">
        <v>120</v>
      </c>
    </row>
    <row r="197" spans="1:12" ht="19.95" customHeight="1">
      <c r="A197" t="s">
        <v>273</v>
      </c>
      <c r="B197" t="s">
        <v>272</v>
      </c>
      <c r="C197" t="s">
        <v>14</v>
      </c>
      <c r="D197" t="s">
        <v>28</v>
      </c>
      <c r="E197" t="s">
        <v>16</v>
      </c>
      <c r="F197" t="s">
        <v>17</v>
      </c>
      <c r="G197" t="s">
        <v>32</v>
      </c>
      <c r="H197" t="s">
        <v>24</v>
      </c>
      <c r="I197" t="s">
        <v>20</v>
      </c>
      <c r="J197" s="2">
        <v>300</v>
      </c>
    </row>
    <row r="198" spans="1:12" ht="19.95" customHeight="1">
      <c r="A198" t="s">
        <v>274</v>
      </c>
      <c r="B198" t="s">
        <v>272</v>
      </c>
      <c r="C198" t="s">
        <v>14</v>
      </c>
      <c r="D198" t="s">
        <v>34</v>
      </c>
      <c r="E198" t="s">
        <v>16</v>
      </c>
      <c r="F198" t="s">
        <v>17</v>
      </c>
      <c r="G198" t="s">
        <v>32</v>
      </c>
      <c r="H198" t="s">
        <v>19</v>
      </c>
      <c r="I198" t="s">
        <v>20</v>
      </c>
      <c r="J198" s="2">
        <v>300</v>
      </c>
    </row>
    <row r="199" spans="1:12" ht="19.95" customHeight="1">
      <c r="A199" t="s">
        <v>275</v>
      </c>
      <c r="B199" t="s">
        <v>272</v>
      </c>
      <c r="C199" t="s">
        <v>14</v>
      </c>
      <c r="D199" t="s">
        <v>42</v>
      </c>
      <c r="E199" t="s">
        <v>16</v>
      </c>
      <c r="F199" t="s">
        <v>35</v>
      </c>
      <c r="G199" t="s">
        <v>18</v>
      </c>
      <c r="H199" t="s">
        <v>19</v>
      </c>
      <c r="I199" t="s">
        <v>20</v>
      </c>
      <c r="J199" s="2">
        <v>200</v>
      </c>
    </row>
    <row r="200" spans="1:12" ht="19.95" customHeight="1">
      <c r="A200" t="s">
        <v>276</v>
      </c>
      <c r="B200" t="s">
        <v>272</v>
      </c>
      <c r="C200" t="s">
        <v>14</v>
      </c>
      <c r="D200" t="s">
        <v>22</v>
      </c>
      <c r="E200" t="s">
        <v>16</v>
      </c>
      <c r="F200" t="s">
        <v>17</v>
      </c>
      <c r="G200" t="s">
        <v>18</v>
      </c>
      <c r="H200" t="s">
        <v>19</v>
      </c>
      <c r="I200" t="s">
        <v>20</v>
      </c>
      <c r="J200" s="2">
        <v>200</v>
      </c>
    </row>
    <row r="201" spans="1:12" ht="19.95" customHeight="1">
      <c r="A201" t="s">
        <v>277</v>
      </c>
      <c r="B201" t="s">
        <v>272</v>
      </c>
      <c r="C201" t="s">
        <v>14</v>
      </c>
      <c r="D201" t="s">
        <v>15</v>
      </c>
      <c r="E201" t="s">
        <v>16</v>
      </c>
      <c r="F201" t="s">
        <v>35</v>
      </c>
      <c r="G201" t="s">
        <v>18</v>
      </c>
      <c r="H201" t="s">
        <v>19</v>
      </c>
      <c r="I201" t="s">
        <v>20</v>
      </c>
      <c r="J201" s="2">
        <v>150</v>
      </c>
      <c r="L201" t="s">
        <v>29</v>
      </c>
    </row>
    <row r="202" spans="1:12" ht="19.95" customHeight="1">
      <c r="A202" t="s">
        <v>278</v>
      </c>
      <c r="B202" t="s">
        <v>272</v>
      </c>
      <c r="C202" t="s">
        <v>14</v>
      </c>
      <c r="D202" t="s">
        <v>42</v>
      </c>
      <c r="E202" t="s">
        <v>16</v>
      </c>
      <c r="F202" t="s">
        <v>17</v>
      </c>
      <c r="G202" t="s">
        <v>18</v>
      </c>
      <c r="H202" t="s">
        <v>19</v>
      </c>
      <c r="I202" t="s">
        <v>20</v>
      </c>
      <c r="J202" s="2">
        <v>170</v>
      </c>
      <c r="L202" t="s">
        <v>29</v>
      </c>
    </row>
    <row r="203" spans="1:12" ht="19.95" customHeight="1">
      <c r="A203" t="s">
        <v>279</v>
      </c>
      <c r="B203" t="s">
        <v>272</v>
      </c>
      <c r="C203" t="s">
        <v>14</v>
      </c>
      <c r="D203" t="s">
        <v>42</v>
      </c>
      <c r="E203" t="s">
        <v>16</v>
      </c>
      <c r="F203" t="s">
        <v>17</v>
      </c>
      <c r="G203" t="s">
        <v>32</v>
      </c>
      <c r="H203" t="s">
        <v>19</v>
      </c>
      <c r="I203" t="s">
        <v>20</v>
      </c>
      <c r="J203" s="2">
        <v>300</v>
      </c>
    </row>
    <row r="204" spans="1:12" ht="19.95" customHeight="1">
      <c r="A204" t="s">
        <v>280</v>
      </c>
      <c r="B204" t="s">
        <v>272</v>
      </c>
      <c r="C204" t="s">
        <v>14</v>
      </c>
      <c r="D204" t="s">
        <v>22</v>
      </c>
      <c r="E204" t="s">
        <v>16</v>
      </c>
      <c r="F204" t="s">
        <v>17</v>
      </c>
      <c r="G204" t="s">
        <v>23</v>
      </c>
      <c r="H204" t="s">
        <v>24</v>
      </c>
      <c r="I204" t="s">
        <v>20</v>
      </c>
      <c r="J204" s="2">
        <v>102</v>
      </c>
      <c r="L204" t="s">
        <v>29</v>
      </c>
    </row>
    <row r="205" spans="1:12" ht="19.95" customHeight="1">
      <c r="A205" t="s">
        <v>281</v>
      </c>
      <c r="B205" t="s">
        <v>272</v>
      </c>
      <c r="C205" t="s">
        <v>14</v>
      </c>
      <c r="D205" t="s">
        <v>31</v>
      </c>
      <c r="E205" t="s">
        <v>16</v>
      </c>
      <c r="F205" t="s">
        <v>17</v>
      </c>
      <c r="G205" t="s">
        <v>23</v>
      </c>
      <c r="H205" t="s">
        <v>19</v>
      </c>
      <c r="I205" t="s">
        <v>20</v>
      </c>
      <c r="J205" s="2">
        <v>120</v>
      </c>
    </row>
    <row r="206" spans="1:12" ht="19.95" customHeight="1">
      <c r="A206" t="s">
        <v>282</v>
      </c>
      <c r="B206" t="s">
        <v>272</v>
      </c>
      <c r="C206" t="s">
        <v>14</v>
      </c>
      <c r="D206" t="s">
        <v>34</v>
      </c>
      <c r="E206" t="s">
        <v>16</v>
      </c>
      <c r="F206" t="s">
        <v>17</v>
      </c>
      <c r="G206" t="s">
        <v>23</v>
      </c>
      <c r="H206" t="s">
        <v>19</v>
      </c>
      <c r="I206" t="s">
        <v>20</v>
      </c>
      <c r="J206" s="2">
        <v>120</v>
      </c>
    </row>
    <row r="207" spans="1:12" ht="19.95" customHeight="1">
      <c r="A207" t="s">
        <v>283</v>
      </c>
      <c r="B207" t="s">
        <v>272</v>
      </c>
      <c r="C207" t="s">
        <v>14</v>
      </c>
      <c r="D207" t="s">
        <v>42</v>
      </c>
      <c r="E207" t="s">
        <v>16</v>
      </c>
      <c r="F207" t="s">
        <v>17</v>
      </c>
      <c r="G207" t="s">
        <v>18</v>
      </c>
      <c r="H207" t="s">
        <v>19</v>
      </c>
      <c r="I207" t="s">
        <v>20</v>
      </c>
      <c r="J207" s="2">
        <v>200</v>
      </c>
    </row>
    <row r="208" spans="1:12" ht="19.95" customHeight="1">
      <c r="A208" t="s">
        <v>284</v>
      </c>
      <c r="B208" t="s">
        <v>272</v>
      </c>
      <c r="C208" t="s">
        <v>14</v>
      </c>
      <c r="D208" t="s">
        <v>40</v>
      </c>
      <c r="E208" t="s">
        <v>16</v>
      </c>
      <c r="F208" t="s">
        <v>17</v>
      </c>
      <c r="G208" t="s">
        <v>23</v>
      </c>
      <c r="H208" t="s">
        <v>19</v>
      </c>
      <c r="I208" t="s">
        <v>20</v>
      </c>
      <c r="J208" s="2">
        <v>120</v>
      </c>
    </row>
    <row r="209" spans="1:12" ht="19.95" customHeight="1">
      <c r="A209" t="s">
        <v>285</v>
      </c>
      <c r="B209" t="s">
        <v>272</v>
      </c>
      <c r="C209" t="s">
        <v>14</v>
      </c>
      <c r="D209" t="s">
        <v>31</v>
      </c>
      <c r="E209" t="s">
        <v>16</v>
      </c>
      <c r="F209" t="s">
        <v>17</v>
      </c>
      <c r="G209" t="s">
        <v>18</v>
      </c>
      <c r="H209" t="s">
        <v>19</v>
      </c>
      <c r="I209" t="s">
        <v>20</v>
      </c>
      <c r="J209" s="2">
        <v>200</v>
      </c>
    </row>
    <row r="210" spans="1:12" ht="19.95" customHeight="1">
      <c r="A210" t="s">
        <v>286</v>
      </c>
      <c r="B210" t="s">
        <v>272</v>
      </c>
      <c r="C210" t="s">
        <v>14</v>
      </c>
      <c r="D210" t="s">
        <v>31</v>
      </c>
      <c r="E210" t="s">
        <v>16</v>
      </c>
      <c r="F210" t="s">
        <v>17</v>
      </c>
      <c r="G210" t="s">
        <v>32</v>
      </c>
      <c r="H210" t="s">
        <v>19</v>
      </c>
      <c r="I210" t="s">
        <v>20</v>
      </c>
      <c r="J210" s="2">
        <v>300</v>
      </c>
    </row>
    <row r="211" spans="1:12" ht="19.95" customHeight="1">
      <c r="A211" t="s">
        <v>287</v>
      </c>
      <c r="B211" t="s">
        <v>272</v>
      </c>
      <c r="C211" t="s">
        <v>14</v>
      </c>
      <c r="D211" t="s">
        <v>210</v>
      </c>
      <c r="E211" t="s">
        <v>16</v>
      </c>
      <c r="F211" t="s">
        <v>17</v>
      </c>
      <c r="G211" t="s">
        <v>18</v>
      </c>
      <c r="H211" t="s">
        <v>19</v>
      </c>
      <c r="I211" t="s">
        <v>20</v>
      </c>
      <c r="J211" s="2">
        <v>200</v>
      </c>
    </row>
    <row r="212" spans="1:12" ht="19.95" customHeight="1">
      <c r="A212" t="s">
        <v>288</v>
      </c>
      <c r="B212" t="s">
        <v>272</v>
      </c>
      <c r="C212" t="s">
        <v>14</v>
      </c>
      <c r="D212" t="s">
        <v>40</v>
      </c>
      <c r="E212" t="s">
        <v>16</v>
      </c>
      <c r="F212" t="s">
        <v>17</v>
      </c>
      <c r="G212" t="s">
        <v>32</v>
      </c>
      <c r="H212" t="s">
        <v>19</v>
      </c>
      <c r="I212" t="s">
        <v>20</v>
      </c>
      <c r="J212" s="2">
        <v>300</v>
      </c>
    </row>
    <row r="213" spans="1:12" ht="19.95" customHeight="1">
      <c r="A213" t="s">
        <v>289</v>
      </c>
      <c r="B213" t="s">
        <v>272</v>
      </c>
      <c r="C213" t="s">
        <v>14</v>
      </c>
      <c r="D213" t="s">
        <v>137</v>
      </c>
      <c r="E213" t="s">
        <v>16</v>
      </c>
      <c r="F213" t="s">
        <v>17</v>
      </c>
      <c r="G213" t="s">
        <v>32</v>
      </c>
      <c r="H213" t="s">
        <v>19</v>
      </c>
      <c r="I213" t="s">
        <v>20</v>
      </c>
      <c r="J213" s="2">
        <v>300</v>
      </c>
    </row>
    <row r="214" spans="1:12" ht="19.95" customHeight="1">
      <c r="A214" t="s">
        <v>290</v>
      </c>
      <c r="B214" t="s">
        <v>272</v>
      </c>
      <c r="C214" t="s">
        <v>14</v>
      </c>
      <c r="D214" t="s">
        <v>40</v>
      </c>
      <c r="E214" t="s">
        <v>16</v>
      </c>
      <c r="F214" t="s">
        <v>17</v>
      </c>
      <c r="G214" t="s">
        <v>18</v>
      </c>
      <c r="H214" t="s">
        <v>19</v>
      </c>
      <c r="I214" t="s">
        <v>20</v>
      </c>
      <c r="J214" s="2">
        <v>150</v>
      </c>
      <c r="L214" t="s">
        <v>29</v>
      </c>
    </row>
    <row r="215" spans="1:12" ht="19.95" customHeight="1">
      <c r="A215" t="s">
        <v>291</v>
      </c>
      <c r="B215" t="s">
        <v>272</v>
      </c>
      <c r="C215" t="s">
        <v>47</v>
      </c>
      <c r="D215" t="s">
        <v>148</v>
      </c>
      <c r="E215" t="s">
        <v>16</v>
      </c>
      <c r="F215" t="s">
        <v>17</v>
      </c>
      <c r="G215" t="s">
        <v>23</v>
      </c>
      <c r="H215" t="s">
        <v>24</v>
      </c>
      <c r="I215" t="s">
        <v>20</v>
      </c>
      <c r="J215" s="2">
        <v>120</v>
      </c>
    </row>
    <row r="216" spans="1:12" ht="19.95" customHeight="1">
      <c r="A216" t="s">
        <v>292</v>
      </c>
      <c r="B216" t="s">
        <v>272</v>
      </c>
      <c r="C216" t="s">
        <v>47</v>
      </c>
      <c r="D216" t="s">
        <v>55</v>
      </c>
      <c r="E216" t="s">
        <v>16</v>
      </c>
      <c r="F216" t="s">
        <v>17</v>
      </c>
      <c r="G216" t="s">
        <v>18</v>
      </c>
      <c r="H216" t="s">
        <v>19</v>
      </c>
      <c r="I216" t="s">
        <v>20</v>
      </c>
      <c r="J216" s="2">
        <v>200</v>
      </c>
    </row>
    <row r="217" spans="1:12" ht="19.95" customHeight="1">
      <c r="A217" t="s">
        <v>293</v>
      </c>
      <c r="B217" t="s">
        <v>272</v>
      </c>
      <c r="C217" t="s">
        <v>47</v>
      </c>
      <c r="D217" t="s">
        <v>152</v>
      </c>
      <c r="E217" t="s">
        <v>16</v>
      </c>
      <c r="F217" t="s">
        <v>17</v>
      </c>
      <c r="G217" t="s">
        <v>32</v>
      </c>
      <c r="H217" t="s">
        <v>19</v>
      </c>
      <c r="I217" t="s">
        <v>20</v>
      </c>
      <c r="J217" s="2">
        <v>300</v>
      </c>
    </row>
    <row r="218" spans="1:12" ht="19.95" customHeight="1">
      <c r="A218" t="s">
        <v>294</v>
      </c>
      <c r="B218" t="s">
        <v>272</v>
      </c>
      <c r="C218" t="s">
        <v>47</v>
      </c>
      <c r="D218" t="s">
        <v>66</v>
      </c>
      <c r="E218" t="s">
        <v>16</v>
      </c>
      <c r="F218" t="s">
        <v>17</v>
      </c>
      <c r="G218" t="s">
        <v>18</v>
      </c>
      <c r="H218" t="s">
        <v>19</v>
      </c>
      <c r="I218" t="s">
        <v>20</v>
      </c>
      <c r="J218" s="2">
        <v>200</v>
      </c>
    </row>
    <row r="219" spans="1:12" ht="19.95" customHeight="1">
      <c r="A219" t="s">
        <v>295</v>
      </c>
      <c r="B219" t="s">
        <v>272</v>
      </c>
      <c r="C219" t="s">
        <v>47</v>
      </c>
      <c r="D219" t="s">
        <v>52</v>
      </c>
      <c r="E219" t="s">
        <v>16</v>
      </c>
      <c r="F219" t="s">
        <v>17</v>
      </c>
      <c r="G219" t="s">
        <v>32</v>
      </c>
      <c r="H219" t="s">
        <v>19</v>
      </c>
      <c r="I219" t="s">
        <v>20</v>
      </c>
      <c r="J219" s="2">
        <v>300</v>
      </c>
    </row>
    <row r="220" spans="1:12" ht="19.95" customHeight="1">
      <c r="A220" t="s">
        <v>296</v>
      </c>
      <c r="B220" t="s">
        <v>272</v>
      </c>
      <c r="C220" t="s">
        <v>47</v>
      </c>
      <c r="D220" t="s">
        <v>52</v>
      </c>
      <c r="E220" t="s">
        <v>16</v>
      </c>
      <c r="F220" t="s">
        <v>17</v>
      </c>
      <c r="G220" t="s">
        <v>23</v>
      </c>
      <c r="H220" t="s">
        <v>19</v>
      </c>
      <c r="I220" t="s">
        <v>20</v>
      </c>
      <c r="J220" s="2">
        <v>90</v>
      </c>
      <c r="L220" t="s">
        <v>29</v>
      </c>
    </row>
    <row r="221" spans="1:12" ht="19.95" customHeight="1">
      <c r="A221" t="s">
        <v>297</v>
      </c>
      <c r="B221" t="s">
        <v>272</v>
      </c>
      <c r="C221" t="s">
        <v>47</v>
      </c>
      <c r="D221" t="s">
        <v>50</v>
      </c>
      <c r="E221" t="s">
        <v>16</v>
      </c>
      <c r="F221" t="s">
        <v>17</v>
      </c>
      <c r="G221" t="s">
        <v>23</v>
      </c>
      <c r="H221" t="s">
        <v>19</v>
      </c>
      <c r="I221" t="s">
        <v>20</v>
      </c>
      <c r="J221" s="2">
        <v>120</v>
      </c>
    </row>
    <row r="222" spans="1:12" ht="19.95" customHeight="1">
      <c r="A222" t="s">
        <v>298</v>
      </c>
      <c r="B222" t="s">
        <v>272</v>
      </c>
      <c r="C222" t="s">
        <v>47</v>
      </c>
      <c r="D222" t="s">
        <v>62</v>
      </c>
      <c r="E222" t="s">
        <v>16</v>
      </c>
      <c r="F222" t="s">
        <v>17</v>
      </c>
      <c r="G222" t="s">
        <v>18</v>
      </c>
      <c r="H222" t="s">
        <v>24</v>
      </c>
      <c r="I222" t="s">
        <v>20</v>
      </c>
      <c r="J222" s="2">
        <v>200</v>
      </c>
    </row>
    <row r="223" spans="1:12" ht="19.95" customHeight="1">
      <c r="A223" t="s">
        <v>299</v>
      </c>
      <c r="B223" t="s">
        <v>272</v>
      </c>
      <c r="C223" t="s">
        <v>47</v>
      </c>
      <c r="D223" t="s">
        <v>64</v>
      </c>
      <c r="E223" t="s">
        <v>16</v>
      </c>
      <c r="F223" t="s">
        <v>17</v>
      </c>
      <c r="G223" t="s">
        <v>32</v>
      </c>
      <c r="H223" t="s">
        <v>19</v>
      </c>
      <c r="I223" t="s">
        <v>20</v>
      </c>
      <c r="J223" s="2">
        <v>300</v>
      </c>
    </row>
    <row r="224" spans="1:12" ht="19.95" customHeight="1">
      <c r="A224" t="s">
        <v>300</v>
      </c>
      <c r="B224" t="s">
        <v>272</v>
      </c>
      <c r="C224" t="s">
        <v>47</v>
      </c>
      <c r="D224" t="s">
        <v>71</v>
      </c>
      <c r="E224" t="s">
        <v>16</v>
      </c>
      <c r="F224" t="s">
        <v>17</v>
      </c>
      <c r="G224" t="s">
        <v>32</v>
      </c>
      <c r="H224" t="s">
        <v>19</v>
      </c>
      <c r="I224" t="s">
        <v>20</v>
      </c>
      <c r="J224" s="2">
        <v>300</v>
      </c>
    </row>
    <row r="225" spans="1:12" ht="19.95" customHeight="1">
      <c r="A225" t="s">
        <v>301</v>
      </c>
      <c r="B225" t="s">
        <v>272</v>
      </c>
      <c r="C225" t="s">
        <v>47</v>
      </c>
      <c r="D225" t="s">
        <v>66</v>
      </c>
      <c r="E225" t="s">
        <v>16</v>
      </c>
      <c r="F225" t="s">
        <v>35</v>
      </c>
      <c r="G225" t="s">
        <v>23</v>
      </c>
      <c r="H225" t="s">
        <v>19</v>
      </c>
      <c r="I225" t="s">
        <v>20</v>
      </c>
      <c r="J225" s="2">
        <v>120</v>
      </c>
    </row>
    <row r="226" spans="1:12" ht="19.95" customHeight="1">
      <c r="A226" t="s">
        <v>302</v>
      </c>
      <c r="B226" t="s">
        <v>272</v>
      </c>
      <c r="C226" t="s">
        <v>47</v>
      </c>
      <c r="D226" t="s">
        <v>52</v>
      </c>
      <c r="E226" t="s">
        <v>16</v>
      </c>
      <c r="F226" t="s">
        <v>17</v>
      </c>
      <c r="G226" t="s">
        <v>23</v>
      </c>
      <c r="H226" t="s">
        <v>24</v>
      </c>
      <c r="I226" t="s">
        <v>53</v>
      </c>
      <c r="J226" s="2">
        <v>120</v>
      </c>
    </row>
    <row r="227" spans="1:12" ht="19.95" customHeight="1">
      <c r="A227" t="s">
        <v>303</v>
      </c>
      <c r="B227" t="s">
        <v>272</v>
      </c>
      <c r="C227" t="s">
        <v>47</v>
      </c>
      <c r="D227" t="s">
        <v>50</v>
      </c>
      <c r="E227" t="s">
        <v>16</v>
      </c>
      <c r="F227" t="s">
        <v>17</v>
      </c>
      <c r="G227" t="s">
        <v>18</v>
      </c>
      <c r="H227" t="s">
        <v>19</v>
      </c>
      <c r="I227" t="s">
        <v>20</v>
      </c>
      <c r="J227" s="2">
        <v>200</v>
      </c>
    </row>
    <row r="228" spans="1:12" ht="19.95" customHeight="1">
      <c r="A228" t="s">
        <v>304</v>
      </c>
      <c r="B228" t="s">
        <v>272</v>
      </c>
      <c r="C228" t="s">
        <v>47</v>
      </c>
      <c r="D228" t="s">
        <v>62</v>
      </c>
      <c r="E228" t="s">
        <v>16</v>
      </c>
      <c r="F228" t="s">
        <v>17</v>
      </c>
      <c r="G228" t="s">
        <v>23</v>
      </c>
      <c r="H228" t="s">
        <v>19</v>
      </c>
      <c r="I228" t="s">
        <v>20</v>
      </c>
      <c r="J228" s="2">
        <v>120</v>
      </c>
    </row>
    <row r="229" spans="1:12" ht="19.95" customHeight="1">
      <c r="A229" t="s">
        <v>305</v>
      </c>
      <c r="B229" t="s">
        <v>272</v>
      </c>
      <c r="C229" t="s">
        <v>47</v>
      </c>
      <c r="D229" t="s">
        <v>59</v>
      </c>
      <c r="E229" t="s">
        <v>16</v>
      </c>
      <c r="F229" t="s">
        <v>17</v>
      </c>
      <c r="G229" t="s">
        <v>32</v>
      </c>
      <c r="H229" t="s">
        <v>19</v>
      </c>
      <c r="I229" t="s">
        <v>74</v>
      </c>
      <c r="J229" s="2">
        <v>225</v>
      </c>
      <c r="L229" t="s">
        <v>29</v>
      </c>
    </row>
    <row r="230" spans="1:12" ht="19.95" customHeight="1">
      <c r="A230" t="s">
        <v>306</v>
      </c>
      <c r="B230" t="s">
        <v>272</v>
      </c>
      <c r="C230" t="s">
        <v>47</v>
      </c>
      <c r="D230" t="s">
        <v>50</v>
      </c>
      <c r="E230" t="s">
        <v>16</v>
      </c>
      <c r="F230" t="s">
        <v>35</v>
      </c>
      <c r="G230" t="s">
        <v>18</v>
      </c>
      <c r="H230" t="s">
        <v>19</v>
      </c>
      <c r="I230" t="s">
        <v>20</v>
      </c>
      <c r="J230" s="2">
        <v>200</v>
      </c>
    </row>
    <row r="231" spans="1:12" ht="19.95" customHeight="1">
      <c r="A231" t="s">
        <v>307</v>
      </c>
      <c r="B231" t="s">
        <v>272</v>
      </c>
      <c r="C231" t="s">
        <v>47</v>
      </c>
      <c r="D231" t="s">
        <v>48</v>
      </c>
      <c r="E231" t="s">
        <v>16</v>
      </c>
      <c r="F231" t="s">
        <v>17</v>
      </c>
      <c r="G231" t="s">
        <v>32</v>
      </c>
      <c r="H231" t="s">
        <v>19</v>
      </c>
      <c r="I231" t="s">
        <v>20</v>
      </c>
      <c r="J231" s="2">
        <v>300</v>
      </c>
    </row>
    <row r="232" spans="1:12" ht="19.95" customHeight="1">
      <c r="A232" t="s">
        <v>308</v>
      </c>
      <c r="B232" t="s">
        <v>272</v>
      </c>
      <c r="C232" t="s">
        <v>47</v>
      </c>
      <c r="D232" t="s">
        <v>71</v>
      </c>
      <c r="E232" t="s">
        <v>16</v>
      </c>
      <c r="F232" t="s">
        <v>35</v>
      </c>
      <c r="G232" t="s">
        <v>32</v>
      </c>
      <c r="H232" t="s">
        <v>19</v>
      </c>
      <c r="I232" t="s">
        <v>20</v>
      </c>
      <c r="J232" s="2">
        <v>300</v>
      </c>
    </row>
    <row r="233" spans="1:12" ht="19.95" customHeight="1">
      <c r="A233" t="s">
        <v>309</v>
      </c>
      <c r="B233" t="s">
        <v>272</v>
      </c>
      <c r="C233" t="s">
        <v>78</v>
      </c>
      <c r="D233" t="s">
        <v>85</v>
      </c>
      <c r="E233" t="s">
        <v>16</v>
      </c>
      <c r="F233" t="s">
        <v>17</v>
      </c>
      <c r="G233" t="s">
        <v>23</v>
      </c>
      <c r="H233" t="s">
        <v>19</v>
      </c>
      <c r="I233" t="s">
        <v>74</v>
      </c>
      <c r="J233" s="2">
        <v>90</v>
      </c>
      <c r="L233" t="s">
        <v>29</v>
      </c>
    </row>
    <row r="234" spans="1:12" ht="19.95" customHeight="1">
      <c r="A234" t="s">
        <v>310</v>
      </c>
      <c r="B234" t="s">
        <v>272</v>
      </c>
      <c r="C234" t="s">
        <v>78</v>
      </c>
      <c r="D234" t="s">
        <v>83</v>
      </c>
      <c r="E234" t="s">
        <v>16</v>
      </c>
      <c r="F234" t="s">
        <v>17</v>
      </c>
      <c r="G234" t="s">
        <v>23</v>
      </c>
      <c r="H234" t="s">
        <v>19</v>
      </c>
      <c r="I234" t="s">
        <v>20</v>
      </c>
      <c r="J234" s="2">
        <v>120</v>
      </c>
    </row>
    <row r="235" spans="1:12" ht="19.95" customHeight="1">
      <c r="A235" t="s">
        <v>311</v>
      </c>
      <c r="B235" t="s">
        <v>272</v>
      </c>
      <c r="C235" t="s">
        <v>78</v>
      </c>
      <c r="D235" t="s">
        <v>97</v>
      </c>
      <c r="E235" t="s">
        <v>16</v>
      </c>
      <c r="F235" t="s">
        <v>17</v>
      </c>
      <c r="G235" t="s">
        <v>18</v>
      </c>
      <c r="H235" t="s">
        <v>19</v>
      </c>
      <c r="I235" t="s">
        <v>20</v>
      </c>
      <c r="J235" s="2">
        <v>170</v>
      </c>
      <c r="L235" t="s">
        <v>29</v>
      </c>
    </row>
    <row r="236" spans="1:12" ht="19.95" customHeight="1">
      <c r="A236" t="s">
        <v>312</v>
      </c>
      <c r="B236" t="s">
        <v>272</v>
      </c>
      <c r="C236" t="s">
        <v>78</v>
      </c>
      <c r="D236" t="s">
        <v>102</v>
      </c>
      <c r="E236" t="s">
        <v>16</v>
      </c>
      <c r="F236" t="s">
        <v>17</v>
      </c>
      <c r="G236" t="s">
        <v>23</v>
      </c>
      <c r="H236" t="s">
        <v>24</v>
      </c>
      <c r="I236" t="s">
        <v>20</v>
      </c>
      <c r="J236" s="2">
        <v>120</v>
      </c>
    </row>
    <row r="237" spans="1:12" ht="19.95" customHeight="1">
      <c r="A237" t="s">
        <v>313</v>
      </c>
      <c r="B237" t="s">
        <v>272</v>
      </c>
      <c r="C237" t="s">
        <v>78</v>
      </c>
      <c r="D237" t="s">
        <v>163</v>
      </c>
      <c r="E237" t="s">
        <v>16</v>
      </c>
      <c r="F237" t="s">
        <v>17</v>
      </c>
      <c r="G237" t="s">
        <v>18</v>
      </c>
      <c r="H237" t="s">
        <v>24</v>
      </c>
      <c r="I237" t="s">
        <v>20</v>
      </c>
      <c r="J237" s="2">
        <v>200</v>
      </c>
    </row>
    <row r="238" spans="1:12" ht="19.95" customHeight="1">
      <c r="A238" t="s">
        <v>314</v>
      </c>
      <c r="B238" t="s">
        <v>272</v>
      </c>
      <c r="C238" t="s">
        <v>78</v>
      </c>
      <c r="D238" t="s">
        <v>161</v>
      </c>
      <c r="E238" t="s">
        <v>16</v>
      </c>
      <c r="F238" t="s">
        <v>17</v>
      </c>
      <c r="G238" t="s">
        <v>32</v>
      </c>
      <c r="H238" t="s">
        <v>19</v>
      </c>
      <c r="I238" t="s">
        <v>20</v>
      </c>
      <c r="J238" s="2">
        <v>300</v>
      </c>
    </row>
    <row r="239" spans="1:12" ht="19.95" customHeight="1">
      <c r="A239" t="s">
        <v>315</v>
      </c>
      <c r="B239" t="s">
        <v>272</v>
      </c>
      <c r="C239" t="s">
        <v>78</v>
      </c>
      <c r="D239" t="s">
        <v>83</v>
      </c>
      <c r="E239" t="s">
        <v>16</v>
      </c>
      <c r="F239" t="s">
        <v>35</v>
      </c>
      <c r="G239" t="s">
        <v>18</v>
      </c>
      <c r="H239" t="s">
        <v>19</v>
      </c>
      <c r="I239" t="s">
        <v>20</v>
      </c>
      <c r="J239" s="2">
        <v>200</v>
      </c>
    </row>
    <row r="240" spans="1:12" ht="19.95" customHeight="1">
      <c r="A240" t="s">
        <v>316</v>
      </c>
      <c r="B240" t="s">
        <v>272</v>
      </c>
      <c r="C240" t="s">
        <v>78</v>
      </c>
      <c r="D240" t="s">
        <v>161</v>
      </c>
      <c r="E240" t="s">
        <v>16</v>
      </c>
      <c r="F240" t="s">
        <v>17</v>
      </c>
      <c r="G240" t="s">
        <v>32</v>
      </c>
      <c r="H240" t="s">
        <v>19</v>
      </c>
      <c r="I240" t="s">
        <v>20</v>
      </c>
      <c r="J240" s="2">
        <v>300</v>
      </c>
    </row>
    <row r="241" spans="1:12" ht="19.95" customHeight="1">
      <c r="A241" t="s">
        <v>317</v>
      </c>
      <c r="B241" t="s">
        <v>272</v>
      </c>
      <c r="C241" t="s">
        <v>78</v>
      </c>
      <c r="D241" t="s">
        <v>79</v>
      </c>
      <c r="E241" t="s">
        <v>16</v>
      </c>
      <c r="F241" t="s">
        <v>35</v>
      </c>
      <c r="G241" t="s">
        <v>23</v>
      </c>
      <c r="H241" t="s">
        <v>19</v>
      </c>
      <c r="I241" t="s">
        <v>20</v>
      </c>
      <c r="J241" s="2">
        <v>120</v>
      </c>
    </row>
    <row r="242" spans="1:12" ht="19.95" customHeight="1">
      <c r="A242" t="s">
        <v>318</v>
      </c>
      <c r="B242" t="s">
        <v>272</v>
      </c>
      <c r="C242" t="s">
        <v>78</v>
      </c>
      <c r="D242" t="s">
        <v>83</v>
      </c>
      <c r="E242" t="s">
        <v>16</v>
      </c>
      <c r="F242" t="s">
        <v>17</v>
      </c>
      <c r="G242" t="s">
        <v>32</v>
      </c>
      <c r="H242" t="s">
        <v>19</v>
      </c>
      <c r="I242" t="s">
        <v>20</v>
      </c>
      <c r="J242" s="2">
        <v>300</v>
      </c>
    </row>
    <row r="243" spans="1:12" ht="19.95" customHeight="1">
      <c r="A243" t="s">
        <v>319</v>
      </c>
      <c r="B243" t="s">
        <v>272</v>
      </c>
      <c r="C243" t="s">
        <v>78</v>
      </c>
      <c r="D243" t="s">
        <v>242</v>
      </c>
      <c r="E243" t="s">
        <v>16</v>
      </c>
      <c r="F243" t="s">
        <v>17</v>
      </c>
      <c r="G243" t="s">
        <v>18</v>
      </c>
      <c r="H243" t="s">
        <v>19</v>
      </c>
      <c r="I243" t="s">
        <v>20</v>
      </c>
      <c r="J243" s="2">
        <v>200</v>
      </c>
    </row>
    <row r="244" spans="1:12" ht="19.95" customHeight="1">
      <c r="A244" t="s">
        <v>320</v>
      </c>
      <c r="B244" t="s">
        <v>272</v>
      </c>
      <c r="C244" t="s">
        <v>78</v>
      </c>
      <c r="D244" t="s">
        <v>93</v>
      </c>
      <c r="E244" t="s">
        <v>16</v>
      </c>
      <c r="F244" t="s">
        <v>17</v>
      </c>
      <c r="G244" t="s">
        <v>32</v>
      </c>
      <c r="H244" t="s">
        <v>19</v>
      </c>
      <c r="I244" t="s">
        <v>20</v>
      </c>
      <c r="J244" s="2">
        <v>300</v>
      </c>
    </row>
    <row r="245" spans="1:12" ht="19.95" customHeight="1">
      <c r="A245" t="s">
        <v>321</v>
      </c>
      <c r="B245" t="s">
        <v>272</v>
      </c>
      <c r="C245" t="s">
        <v>78</v>
      </c>
      <c r="D245" t="s">
        <v>89</v>
      </c>
      <c r="E245" t="s">
        <v>16</v>
      </c>
      <c r="F245" t="s">
        <v>17</v>
      </c>
      <c r="G245" t="s">
        <v>23</v>
      </c>
      <c r="H245" t="s">
        <v>19</v>
      </c>
      <c r="I245" t="s">
        <v>20</v>
      </c>
      <c r="J245" s="2">
        <v>120</v>
      </c>
    </row>
    <row r="246" spans="1:12" ht="19.95" customHeight="1">
      <c r="A246" t="s">
        <v>322</v>
      </c>
      <c r="B246" t="s">
        <v>272</v>
      </c>
      <c r="C246" t="s">
        <v>78</v>
      </c>
      <c r="D246" t="s">
        <v>93</v>
      </c>
      <c r="E246" t="s">
        <v>16</v>
      </c>
      <c r="F246" t="s">
        <v>17</v>
      </c>
      <c r="G246" t="s">
        <v>18</v>
      </c>
      <c r="H246" t="s">
        <v>19</v>
      </c>
      <c r="I246" t="s">
        <v>20</v>
      </c>
      <c r="J246" s="2">
        <v>200</v>
      </c>
    </row>
    <row r="247" spans="1:12" ht="19.95" customHeight="1">
      <c r="A247" t="s">
        <v>323</v>
      </c>
      <c r="B247" t="s">
        <v>272</v>
      </c>
      <c r="C247" t="s">
        <v>78</v>
      </c>
      <c r="D247" t="s">
        <v>163</v>
      </c>
      <c r="E247" t="s">
        <v>16</v>
      </c>
      <c r="F247" t="s">
        <v>35</v>
      </c>
      <c r="G247" t="s">
        <v>18</v>
      </c>
      <c r="H247" t="s">
        <v>19</v>
      </c>
      <c r="I247" t="s">
        <v>20</v>
      </c>
      <c r="J247" s="2">
        <v>200</v>
      </c>
    </row>
    <row r="248" spans="1:12" ht="19.95" customHeight="1">
      <c r="A248" t="s">
        <v>324</v>
      </c>
      <c r="B248" t="s">
        <v>272</v>
      </c>
      <c r="C248" t="s">
        <v>105</v>
      </c>
      <c r="D248" t="s">
        <v>182</v>
      </c>
      <c r="E248" t="s">
        <v>16</v>
      </c>
      <c r="F248" t="s">
        <v>17</v>
      </c>
      <c r="G248" t="s">
        <v>32</v>
      </c>
      <c r="H248" t="s">
        <v>19</v>
      </c>
      <c r="I248" t="s">
        <v>20</v>
      </c>
      <c r="J248" s="2">
        <v>300</v>
      </c>
    </row>
    <row r="249" spans="1:12" ht="19.95" customHeight="1">
      <c r="A249" t="s">
        <v>325</v>
      </c>
      <c r="B249" t="s">
        <v>272</v>
      </c>
      <c r="C249" t="s">
        <v>105</v>
      </c>
      <c r="D249" t="s">
        <v>120</v>
      </c>
      <c r="E249" t="s">
        <v>16</v>
      </c>
      <c r="F249" t="s">
        <v>17</v>
      </c>
      <c r="G249" t="s">
        <v>32</v>
      </c>
      <c r="H249" t="s">
        <v>19</v>
      </c>
      <c r="I249" t="s">
        <v>20</v>
      </c>
      <c r="J249" s="2">
        <v>300</v>
      </c>
    </row>
    <row r="250" spans="1:12" ht="19.95" customHeight="1">
      <c r="A250" t="s">
        <v>326</v>
      </c>
      <c r="B250" t="s">
        <v>272</v>
      </c>
      <c r="C250" t="s">
        <v>105</v>
      </c>
      <c r="D250" t="s">
        <v>182</v>
      </c>
      <c r="E250" t="s">
        <v>16</v>
      </c>
      <c r="F250" t="s">
        <v>17</v>
      </c>
      <c r="G250" t="s">
        <v>23</v>
      </c>
      <c r="H250" t="s">
        <v>19</v>
      </c>
      <c r="I250" t="s">
        <v>20</v>
      </c>
      <c r="J250" s="2">
        <v>120</v>
      </c>
    </row>
    <row r="251" spans="1:12" ht="19.95" customHeight="1">
      <c r="A251" t="s">
        <v>327</v>
      </c>
      <c r="B251" t="s">
        <v>272</v>
      </c>
      <c r="C251" t="s">
        <v>105</v>
      </c>
      <c r="D251" t="s">
        <v>194</v>
      </c>
      <c r="E251" t="s">
        <v>16</v>
      </c>
      <c r="F251" t="s">
        <v>17</v>
      </c>
      <c r="G251" t="s">
        <v>23</v>
      </c>
      <c r="H251" t="s">
        <v>19</v>
      </c>
      <c r="I251" t="s">
        <v>20</v>
      </c>
      <c r="J251" s="2">
        <v>102</v>
      </c>
      <c r="L251" t="s">
        <v>29</v>
      </c>
    </row>
    <row r="252" spans="1:12" ht="19.95" customHeight="1">
      <c r="A252" t="s">
        <v>328</v>
      </c>
      <c r="B252" t="s">
        <v>272</v>
      </c>
      <c r="C252" t="s">
        <v>105</v>
      </c>
      <c r="D252" t="s">
        <v>106</v>
      </c>
      <c r="E252" t="s">
        <v>16</v>
      </c>
      <c r="F252" t="s">
        <v>17</v>
      </c>
      <c r="G252" t="s">
        <v>32</v>
      </c>
      <c r="H252" t="s">
        <v>19</v>
      </c>
      <c r="I252" t="s">
        <v>20</v>
      </c>
      <c r="J252" s="2">
        <v>255</v>
      </c>
      <c r="L252" t="s">
        <v>29</v>
      </c>
    </row>
    <row r="253" spans="1:12" ht="19.95" customHeight="1">
      <c r="A253" t="s">
        <v>329</v>
      </c>
      <c r="B253" t="s">
        <v>272</v>
      </c>
      <c r="C253" t="s">
        <v>105</v>
      </c>
      <c r="D253" t="s">
        <v>182</v>
      </c>
      <c r="E253" t="s">
        <v>16</v>
      </c>
      <c r="F253" t="s">
        <v>17</v>
      </c>
      <c r="G253" t="s">
        <v>23</v>
      </c>
      <c r="H253" t="s">
        <v>19</v>
      </c>
      <c r="I253" t="s">
        <v>20</v>
      </c>
      <c r="J253" s="2">
        <v>120</v>
      </c>
    </row>
    <row r="254" spans="1:12" ht="19.95" customHeight="1">
      <c r="A254" t="s">
        <v>330</v>
      </c>
      <c r="B254" t="s">
        <v>272</v>
      </c>
      <c r="C254" t="s">
        <v>105</v>
      </c>
      <c r="D254" t="s">
        <v>120</v>
      </c>
      <c r="E254" t="s">
        <v>16</v>
      </c>
      <c r="F254" t="s">
        <v>17</v>
      </c>
      <c r="G254" t="s">
        <v>32</v>
      </c>
      <c r="H254" t="s">
        <v>24</v>
      </c>
      <c r="I254" t="s">
        <v>20</v>
      </c>
      <c r="J254" s="2">
        <v>300</v>
      </c>
    </row>
    <row r="255" spans="1:12" ht="19.95" customHeight="1">
      <c r="A255" t="s">
        <v>331</v>
      </c>
      <c r="B255" t="s">
        <v>272</v>
      </c>
      <c r="C255" t="s">
        <v>105</v>
      </c>
      <c r="D255" t="s">
        <v>265</v>
      </c>
      <c r="E255" t="s">
        <v>16</v>
      </c>
      <c r="F255" t="s">
        <v>17</v>
      </c>
      <c r="G255" t="s">
        <v>32</v>
      </c>
      <c r="H255" t="s">
        <v>19</v>
      </c>
      <c r="I255" t="s">
        <v>20</v>
      </c>
      <c r="J255" s="2">
        <v>300</v>
      </c>
    </row>
    <row r="256" spans="1:12" ht="19.95" customHeight="1">
      <c r="A256" t="s">
        <v>332</v>
      </c>
      <c r="B256" t="s">
        <v>272</v>
      </c>
      <c r="C256" t="s">
        <v>105</v>
      </c>
      <c r="D256" t="s">
        <v>106</v>
      </c>
      <c r="E256" t="s">
        <v>16</v>
      </c>
      <c r="F256" t="s">
        <v>17</v>
      </c>
      <c r="G256" t="s">
        <v>18</v>
      </c>
      <c r="H256" t="s">
        <v>19</v>
      </c>
      <c r="I256" t="s">
        <v>20</v>
      </c>
      <c r="J256" s="2">
        <v>150</v>
      </c>
      <c r="L256" t="s">
        <v>29</v>
      </c>
    </row>
    <row r="257" spans="1:12" ht="19.95" customHeight="1">
      <c r="A257" t="s">
        <v>333</v>
      </c>
      <c r="B257" t="s">
        <v>272</v>
      </c>
      <c r="C257" t="s">
        <v>105</v>
      </c>
      <c r="D257" t="s">
        <v>106</v>
      </c>
      <c r="E257" t="s">
        <v>16</v>
      </c>
      <c r="F257" t="s">
        <v>17</v>
      </c>
      <c r="G257" t="s">
        <v>32</v>
      </c>
      <c r="H257" t="s">
        <v>19</v>
      </c>
      <c r="I257" t="s">
        <v>20</v>
      </c>
      <c r="J257" s="2">
        <v>300</v>
      </c>
    </row>
    <row r="258" spans="1:12" ht="19.95" customHeight="1">
      <c r="A258" t="s">
        <v>334</v>
      </c>
      <c r="B258" t="s">
        <v>272</v>
      </c>
      <c r="C258" t="s">
        <v>105</v>
      </c>
      <c r="D258" t="s">
        <v>112</v>
      </c>
      <c r="E258" t="s">
        <v>16</v>
      </c>
      <c r="F258" t="s">
        <v>17</v>
      </c>
      <c r="G258" t="s">
        <v>18</v>
      </c>
      <c r="H258" t="s">
        <v>19</v>
      </c>
      <c r="I258" t="s">
        <v>20</v>
      </c>
      <c r="J258" s="2">
        <v>200</v>
      </c>
    </row>
    <row r="259" spans="1:12" ht="19.95" customHeight="1">
      <c r="A259" t="s">
        <v>335</v>
      </c>
      <c r="B259" t="s">
        <v>272</v>
      </c>
      <c r="C259" t="s">
        <v>105</v>
      </c>
      <c r="D259" t="s">
        <v>112</v>
      </c>
      <c r="E259" t="s">
        <v>16</v>
      </c>
      <c r="F259" t="s">
        <v>17</v>
      </c>
      <c r="G259" t="s">
        <v>23</v>
      </c>
      <c r="H259" t="s">
        <v>19</v>
      </c>
      <c r="I259" t="s">
        <v>20</v>
      </c>
      <c r="J259" s="2">
        <v>120</v>
      </c>
    </row>
    <row r="260" spans="1:12" ht="19.95" customHeight="1">
      <c r="A260" t="s">
        <v>336</v>
      </c>
      <c r="B260" t="s">
        <v>272</v>
      </c>
      <c r="C260" t="s">
        <v>105</v>
      </c>
      <c r="D260" t="s">
        <v>191</v>
      </c>
      <c r="E260" t="s">
        <v>16</v>
      </c>
      <c r="F260" t="s">
        <v>17</v>
      </c>
      <c r="G260" t="s">
        <v>32</v>
      </c>
      <c r="H260" t="s">
        <v>19</v>
      </c>
      <c r="I260" t="s">
        <v>20</v>
      </c>
      <c r="J260" s="2">
        <v>225</v>
      </c>
      <c r="L260" t="s">
        <v>29</v>
      </c>
    </row>
    <row r="261" spans="1:12" ht="19.95" customHeight="1">
      <c r="A261" t="s">
        <v>337</v>
      </c>
      <c r="B261" t="s">
        <v>272</v>
      </c>
      <c r="C261" t="s">
        <v>105</v>
      </c>
      <c r="D261" t="s">
        <v>118</v>
      </c>
      <c r="E261" t="s">
        <v>16</v>
      </c>
      <c r="F261" t="s">
        <v>17</v>
      </c>
      <c r="G261" t="s">
        <v>32</v>
      </c>
      <c r="H261" t="s">
        <v>19</v>
      </c>
      <c r="I261" t="s">
        <v>20</v>
      </c>
      <c r="J261" s="2">
        <v>300</v>
      </c>
    </row>
    <row r="262" spans="1:12" ht="19.95" customHeight="1">
      <c r="A262" t="s">
        <v>338</v>
      </c>
      <c r="B262" t="s">
        <v>272</v>
      </c>
      <c r="C262" t="s">
        <v>105</v>
      </c>
      <c r="D262" t="s">
        <v>120</v>
      </c>
      <c r="E262" t="s">
        <v>16</v>
      </c>
      <c r="F262" t="s">
        <v>17</v>
      </c>
      <c r="G262" t="s">
        <v>18</v>
      </c>
      <c r="H262" t="s">
        <v>19</v>
      </c>
      <c r="I262" t="s">
        <v>20</v>
      </c>
      <c r="J262" s="2">
        <v>200</v>
      </c>
    </row>
    <row r="263" spans="1:12" ht="19.95" customHeight="1">
      <c r="A263" t="s">
        <v>339</v>
      </c>
      <c r="B263" t="s">
        <v>272</v>
      </c>
      <c r="C263" t="s">
        <v>105</v>
      </c>
      <c r="D263" t="s">
        <v>116</v>
      </c>
      <c r="E263" t="s">
        <v>16</v>
      </c>
      <c r="F263" t="s">
        <v>17</v>
      </c>
      <c r="G263" t="s">
        <v>32</v>
      </c>
      <c r="H263" t="s">
        <v>24</v>
      </c>
      <c r="I263" t="s">
        <v>20</v>
      </c>
      <c r="J263" s="2">
        <v>300</v>
      </c>
    </row>
    <row r="264" spans="1:12" ht="19.95" customHeight="1">
      <c r="A264" t="s">
        <v>340</v>
      </c>
      <c r="B264" t="s">
        <v>341</v>
      </c>
      <c r="C264" t="s">
        <v>14</v>
      </c>
      <c r="D264" t="s">
        <v>22</v>
      </c>
      <c r="E264" t="s">
        <v>16</v>
      </c>
      <c r="F264" t="s">
        <v>17</v>
      </c>
      <c r="G264" t="s">
        <v>23</v>
      </c>
      <c r="H264" t="s">
        <v>19</v>
      </c>
      <c r="I264" t="s">
        <v>20</v>
      </c>
      <c r="J264" s="2">
        <v>102</v>
      </c>
      <c r="L264" t="s">
        <v>29</v>
      </c>
    </row>
    <row r="265" spans="1:12" ht="19.95" customHeight="1">
      <c r="A265" t="s">
        <v>342</v>
      </c>
      <c r="B265" t="s">
        <v>341</v>
      </c>
      <c r="C265" t="s">
        <v>14</v>
      </c>
      <c r="D265" t="s">
        <v>42</v>
      </c>
      <c r="E265" t="s">
        <v>16</v>
      </c>
      <c r="F265" t="s">
        <v>17</v>
      </c>
      <c r="G265" t="s">
        <v>23</v>
      </c>
      <c r="H265" t="s">
        <v>19</v>
      </c>
      <c r="I265" t="s">
        <v>20</v>
      </c>
      <c r="J265" s="2">
        <v>120</v>
      </c>
    </row>
    <row r="266" spans="1:12" ht="19.95" customHeight="1">
      <c r="A266" t="s">
        <v>343</v>
      </c>
      <c r="B266" t="s">
        <v>341</v>
      </c>
      <c r="C266" t="s">
        <v>14</v>
      </c>
      <c r="D266" t="s">
        <v>31</v>
      </c>
      <c r="E266" t="s">
        <v>16</v>
      </c>
      <c r="F266" t="s">
        <v>17</v>
      </c>
      <c r="G266" t="s">
        <v>18</v>
      </c>
      <c r="H266" t="s">
        <v>19</v>
      </c>
      <c r="I266" t="s">
        <v>20</v>
      </c>
      <c r="J266" s="2">
        <v>200</v>
      </c>
    </row>
    <row r="267" spans="1:12" ht="19.95" customHeight="1">
      <c r="A267" t="s">
        <v>344</v>
      </c>
      <c r="B267" t="s">
        <v>341</v>
      </c>
      <c r="C267" t="s">
        <v>14</v>
      </c>
      <c r="D267" t="s">
        <v>37</v>
      </c>
      <c r="E267" t="s">
        <v>16</v>
      </c>
      <c r="F267" t="s">
        <v>17</v>
      </c>
      <c r="G267" t="s">
        <v>18</v>
      </c>
      <c r="H267" t="s">
        <v>19</v>
      </c>
      <c r="I267" t="s">
        <v>20</v>
      </c>
      <c r="J267" s="2">
        <v>200</v>
      </c>
    </row>
    <row r="268" spans="1:12" ht="19.95" customHeight="1">
      <c r="A268" t="s">
        <v>345</v>
      </c>
      <c r="B268" t="s">
        <v>341</v>
      </c>
      <c r="C268" t="s">
        <v>14</v>
      </c>
      <c r="D268" t="s">
        <v>210</v>
      </c>
      <c r="E268" t="s">
        <v>16</v>
      </c>
      <c r="F268" t="s">
        <v>35</v>
      </c>
      <c r="G268" t="s">
        <v>23</v>
      </c>
      <c r="H268" t="s">
        <v>19</v>
      </c>
      <c r="I268" t="s">
        <v>20</v>
      </c>
      <c r="J268" s="2">
        <v>120</v>
      </c>
    </row>
    <row r="269" spans="1:12" ht="19.95" customHeight="1">
      <c r="A269" t="s">
        <v>346</v>
      </c>
      <c r="B269" t="s">
        <v>341</v>
      </c>
      <c r="C269" t="s">
        <v>14</v>
      </c>
      <c r="D269" t="s">
        <v>34</v>
      </c>
      <c r="E269" t="s">
        <v>16</v>
      </c>
      <c r="F269" t="s">
        <v>17</v>
      </c>
      <c r="G269" t="s">
        <v>18</v>
      </c>
      <c r="H269" t="s">
        <v>19</v>
      </c>
      <c r="I269" t="s">
        <v>20</v>
      </c>
      <c r="J269" s="2">
        <v>150</v>
      </c>
      <c r="L269" t="s">
        <v>29</v>
      </c>
    </row>
    <row r="270" spans="1:12" ht="19.95" customHeight="1">
      <c r="A270" t="s">
        <v>347</v>
      </c>
      <c r="B270" t="s">
        <v>341</v>
      </c>
      <c r="C270" t="s">
        <v>14</v>
      </c>
      <c r="D270" t="s">
        <v>26</v>
      </c>
      <c r="E270" t="s">
        <v>16</v>
      </c>
      <c r="F270" t="s">
        <v>35</v>
      </c>
      <c r="G270" t="s">
        <v>18</v>
      </c>
      <c r="H270" t="s">
        <v>19</v>
      </c>
      <c r="I270" t="s">
        <v>20</v>
      </c>
      <c r="J270" s="2">
        <v>200</v>
      </c>
    </row>
    <row r="271" spans="1:12" ht="19.95" customHeight="1">
      <c r="A271" t="s">
        <v>348</v>
      </c>
      <c r="B271" t="s">
        <v>341</v>
      </c>
      <c r="C271" t="s">
        <v>14</v>
      </c>
      <c r="D271" t="s">
        <v>42</v>
      </c>
      <c r="E271" t="s">
        <v>16</v>
      </c>
      <c r="F271" t="s">
        <v>17</v>
      </c>
      <c r="G271" t="s">
        <v>18</v>
      </c>
      <c r="H271" t="s">
        <v>19</v>
      </c>
      <c r="I271" t="s">
        <v>20</v>
      </c>
      <c r="J271" s="2">
        <v>170</v>
      </c>
      <c r="L271" t="s">
        <v>29</v>
      </c>
    </row>
    <row r="272" spans="1:12" ht="19.95" customHeight="1">
      <c r="A272" t="s">
        <v>349</v>
      </c>
      <c r="B272" t="s">
        <v>341</v>
      </c>
      <c r="C272" t="s">
        <v>14</v>
      </c>
      <c r="D272" t="s">
        <v>210</v>
      </c>
      <c r="E272" t="s">
        <v>16</v>
      </c>
      <c r="F272" t="s">
        <v>17</v>
      </c>
      <c r="G272" t="s">
        <v>32</v>
      </c>
      <c r="H272" t="s">
        <v>19</v>
      </c>
      <c r="I272" t="s">
        <v>20</v>
      </c>
      <c r="J272" s="2">
        <v>300</v>
      </c>
    </row>
    <row r="273" spans="1:12" ht="19.95" customHeight="1">
      <c r="A273" t="s">
        <v>350</v>
      </c>
      <c r="B273" t="s">
        <v>341</v>
      </c>
      <c r="C273" t="s">
        <v>14</v>
      </c>
      <c r="D273" t="s">
        <v>210</v>
      </c>
      <c r="E273" t="s">
        <v>16</v>
      </c>
      <c r="F273" t="s">
        <v>35</v>
      </c>
      <c r="G273" t="s">
        <v>32</v>
      </c>
      <c r="H273" t="s">
        <v>19</v>
      </c>
      <c r="I273" t="s">
        <v>20</v>
      </c>
      <c r="J273" s="2">
        <v>300</v>
      </c>
    </row>
    <row r="274" spans="1:12" ht="19.95" customHeight="1">
      <c r="A274" t="s">
        <v>351</v>
      </c>
      <c r="B274" t="s">
        <v>341</v>
      </c>
      <c r="C274" t="s">
        <v>14</v>
      </c>
      <c r="D274" t="s">
        <v>131</v>
      </c>
      <c r="E274" t="s">
        <v>16</v>
      </c>
      <c r="F274" t="s">
        <v>17</v>
      </c>
      <c r="G274" t="s">
        <v>32</v>
      </c>
      <c r="H274" t="s">
        <v>19</v>
      </c>
      <c r="I274" t="s">
        <v>20</v>
      </c>
      <c r="J274" s="2">
        <v>300</v>
      </c>
    </row>
    <row r="275" spans="1:12" ht="19.95" customHeight="1">
      <c r="A275" t="s">
        <v>352</v>
      </c>
      <c r="B275" t="s">
        <v>341</v>
      </c>
      <c r="C275" t="s">
        <v>14</v>
      </c>
      <c r="D275" t="s">
        <v>22</v>
      </c>
      <c r="E275" t="s">
        <v>16</v>
      </c>
      <c r="F275" t="s">
        <v>17</v>
      </c>
      <c r="G275" t="s">
        <v>23</v>
      </c>
      <c r="H275" t="s">
        <v>19</v>
      </c>
      <c r="I275" t="s">
        <v>20</v>
      </c>
      <c r="J275" s="2">
        <v>120</v>
      </c>
    </row>
    <row r="276" spans="1:12" ht="19.95" customHeight="1">
      <c r="A276" t="s">
        <v>353</v>
      </c>
      <c r="B276" t="s">
        <v>341</v>
      </c>
      <c r="C276" t="s">
        <v>14</v>
      </c>
      <c r="D276" t="s">
        <v>31</v>
      </c>
      <c r="E276" t="s">
        <v>16</v>
      </c>
      <c r="F276" t="s">
        <v>35</v>
      </c>
      <c r="G276" t="s">
        <v>32</v>
      </c>
      <c r="H276" t="s">
        <v>19</v>
      </c>
      <c r="I276" t="s">
        <v>20</v>
      </c>
      <c r="J276" s="2">
        <v>255</v>
      </c>
      <c r="L276" t="s">
        <v>29</v>
      </c>
    </row>
    <row r="277" spans="1:12" ht="19.95" customHeight="1">
      <c r="A277" t="s">
        <v>354</v>
      </c>
      <c r="B277" t="s">
        <v>341</v>
      </c>
      <c r="C277" t="s">
        <v>14</v>
      </c>
      <c r="D277" t="s">
        <v>210</v>
      </c>
      <c r="E277" t="s">
        <v>16</v>
      </c>
      <c r="F277" t="s">
        <v>17</v>
      </c>
      <c r="G277" t="s">
        <v>23</v>
      </c>
      <c r="H277" t="s">
        <v>19</v>
      </c>
      <c r="I277" t="s">
        <v>20</v>
      </c>
      <c r="J277" s="2">
        <v>120</v>
      </c>
    </row>
    <row r="278" spans="1:12" ht="19.95" customHeight="1">
      <c r="A278" t="s">
        <v>355</v>
      </c>
      <c r="B278" t="s">
        <v>341</v>
      </c>
      <c r="C278" t="s">
        <v>14</v>
      </c>
      <c r="D278" t="s">
        <v>210</v>
      </c>
      <c r="E278" t="s">
        <v>16</v>
      </c>
      <c r="F278" t="s">
        <v>17</v>
      </c>
      <c r="G278" t="s">
        <v>18</v>
      </c>
      <c r="H278" t="s">
        <v>19</v>
      </c>
      <c r="I278" t="s">
        <v>20</v>
      </c>
      <c r="J278" s="2">
        <v>200</v>
      </c>
    </row>
    <row r="279" spans="1:12" ht="19.95" customHeight="1">
      <c r="A279" t="s">
        <v>356</v>
      </c>
      <c r="B279" t="s">
        <v>341</v>
      </c>
      <c r="C279" t="s">
        <v>14</v>
      </c>
      <c r="D279" t="s">
        <v>131</v>
      </c>
      <c r="E279" t="s">
        <v>16</v>
      </c>
      <c r="F279" t="s">
        <v>17</v>
      </c>
      <c r="G279" t="s">
        <v>18</v>
      </c>
      <c r="H279" t="s">
        <v>19</v>
      </c>
      <c r="I279" t="s">
        <v>20</v>
      </c>
      <c r="J279" s="2">
        <v>200</v>
      </c>
    </row>
    <row r="280" spans="1:12" ht="19.95" customHeight="1">
      <c r="A280" t="s">
        <v>357</v>
      </c>
      <c r="B280" t="s">
        <v>341</v>
      </c>
      <c r="C280" t="s">
        <v>14</v>
      </c>
      <c r="D280" t="s">
        <v>37</v>
      </c>
      <c r="E280" t="s">
        <v>16</v>
      </c>
      <c r="F280" t="s">
        <v>17</v>
      </c>
      <c r="G280" t="s">
        <v>32</v>
      </c>
      <c r="H280" t="s">
        <v>19</v>
      </c>
      <c r="I280" t="s">
        <v>20</v>
      </c>
      <c r="J280" s="2">
        <v>300</v>
      </c>
    </row>
    <row r="281" spans="1:12" ht="19.95" customHeight="1">
      <c r="A281" t="s">
        <v>358</v>
      </c>
      <c r="B281" t="s">
        <v>341</v>
      </c>
      <c r="C281" t="s">
        <v>14</v>
      </c>
      <c r="D281" t="s">
        <v>40</v>
      </c>
      <c r="E281" t="s">
        <v>16</v>
      </c>
      <c r="F281" t="s">
        <v>17</v>
      </c>
      <c r="G281" t="s">
        <v>23</v>
      </c>
      <c r="H281" t="s">
        <v>19</v>
      </c>
      <c r="I281" t="s">
        <v>20</v>
      </c>
      <c r="J281" s="2">
        <v>120</v>
      </c>
    </row>
    <row r="282" spans="1:12" ht="19.95" customHeight="1">
      <c r="A282" t="s">
        <v>359</v>
      </c>
      <c r="B282" t="s">
        <v>341</v>
      </c>
      <c r="C282" t="s">
        <v>14</v>
      </c>
      <c r="D282" t="s">
        <v>42</v>
      </c>
      <c r="E282" t="s">
        <v>16</v>
      </c>
      <c r="F282" t="s">
        <v>17</v>
      </c>
      <c r="G282" t="s">
        <v>23</v>
      </c>
      <c r="H282" t="s">
        <v>19</v>
      </c>
      <c r="I282" t="s">
        <v>20</v>
      </c>
      <c r="J282" s="2">
        <v>120</v>
      </c>
    </row>
    <row r="283" spans="1:12" ht="19.95" customHeight="1">
      <c r="A283" t="s">
        <v>360</v>
      </c>
      <c r="B283" t="s">
        <v>341</v>
      </c>
      <c r="C283" t="s">
        <v>47</v>
      </c>
      <c r="D283" t="s">
        <v>148</v>
      </c>
      <c r="E283" t="s">
        <v>16</v>
      </c>
      <c r="F283" t="s">
        <v>17</v>
      </c>
      <c r="G283" t="s">
        <v>23</v>
      </c>
      <c r="H283" t="s">
        <v>19</v>
      </c>
      <c r="I283" t="s">
        <v>20</v>
      </c>
      <c r="J283" s="2">
        <v>120</v>
      </c>
    </row>
    <row r="284" spans="1:12" ht="19.95" customHeight="1">
      <c r="A284" t="s">
        <v>361</v>
      </c>
      <c r="B284" t="s">
        <v>341</v>
      </c>
      <c r="C284" t="s">
        <v>47</v>
      </c>
      <c r="D284" t="s">
        <v>148</v>
      </c>
      <c r="E284" t="s">
        <v>16</v>
      </c>
      <c r="F284" t="s">
        <v>17</v>
      </c>
      <c r="G284" t="s">
        <v>23</v>
      </c>
      <c r="H284" t="s">
        <v>24</v>
      </c>
      <c r="I284" t="s">
        <v>20</v>
      </c>
      <c r="J284" s="2">
        <v>120</v>
      </c>
    </row>
    <row r="285" spans="1:12" ht="19.95" customHeight="1">
      <c r="A285" t="s">
        <v>362</v>
      </c>
      <c r="B285" t="s">
        <v>341</v>
      </c>
      <c r="C285" t="s">
        <v>47</v>
      </c>
      <c r="D285" t="s">
        <v>66</v>
      </c>
      <c r="E285" t="s">
        <v>16</v>
      </c>
      <c r="F285" t="s">
        <v>35</v>
      </c>
      <c r="G285" t="s">
        <v>23</v>
      </c>
      <c r="H285" t="s">
        <v>19</v>
      </c>
      <c r="I285" t="s">
        <v>20</v>
      </c>
      <c r="J285" s="2">
        <v>120</v>
      </c>
    </row>
    <row r="286" spans="1:12" ht="19.95" customHeight="1">
      <c r="A286" t="s">
        <v>363</v>
      </c>
      <c r="B286" t="s">
        <v>341</v>
      </c>
      <c r="C286" t="s">
        <v>47</v>
      </c>
      <c r="D286" t="s">
        <v>62</v>
      </c>
      <c r="E286" t="s">
        <v>16</v>
      </c>
      <c r="F286" t="s">
        <v>17</v>
      </c>
      <c r="G286" t="s">
        <v>32</v>
      </c>
      <c r="H286" t="s">
        <v>24</v>
      </c>
      <c r="I286" t="s">
        <v>20</v>
      </c>
      <c r="J286" s="2">
        <v>300</v>
      </c>
    </row>
    <row r="287" spans="1:12" ht="19.95" customHeight="1">
      <c r="A287" t="s">
        <v>364</v>
      </c>
      <c r="B287" t="s">
        <v>341</v>
      </c>
      <c r="C287" t="s">
        <v>47</v>
      </c>
      <c r="D287" t="s">
        <v>71</v>
      </c>
      <c r="E287" t="s">
        <v>16</v>
      </c>
      <c r="F287" t="s">
        <v>17</v>
      </c>
      <c r="G287" t="s">
        <v>18</v>
      </c>
      <c r="H287" t="s">
        <v>19</v>
      </c>
      <c r="I287" t="s">
        <v>20</v>
      </c>
      <c r="J287" s="2">
        <v>200</v>
      </c>
    </row>
    <row r="288" spans="1:12" ht="19.95" customHeight="1">
      <c r="A288" t="s">
        <v>365</v>
      </c>
      <c r="B288" t="s">
        <v>341</v>
      </c>
      <c r="C288" t="s">
        <v>47</v>
      </c>
      <c r="D288" t="s">
        <v>64</v>
      </c>
      <c r="E288" t="s">
        <v>16</v>
      </c>
      <c r="F288" t="s">
        <v>17</v>
      </c>
      <c r="G288" t="s">
        <v>18</v>
      </c>
      <c r="H288" t="s">
        <v>19</v>
      </c>
      <c r="I288" t="s">
        <v>20</v>
      </c>
      <c r="J288" s="2">
        <v>200</v>
      </c>
    </row>
    <row r="289" spans="1:12" ht="19.95" customHeight="1">
      <c r="A289" t="s">
        <v>366</v>
      </c>
      <c r="B289" t="s">
        <v>341</v>
      </c>
      <c r="C289" t="s">
        <v>47</v>
      </c>
      <c r="D289" t="s">
        <v>59</v>
      </c>
      <c r="E289" t="s">
        <v>16</v>
      </c>
      <c r="F289" t="s">
        <v>17</v>
      </c>
      <c r="G289" t="s">
        <v>18</v>
      </c>
      <c r="H289" t="s">
        <v>19</v>
      </c>
      <c r="I289" t="s">
        <v>20</v>
      </c>
      <c r="J289" s="2">
        <v>200</v>
      </c>
    </row>
    <row r="290" spans="1:12" ht="19.95" customHeight="1">
      <c r="A290" t="s">
        <v>367</v>
      </c>
      <c r="B290" t="s">
        <v>341</v>
      </c>
      <c r="C290" t="s">
        <v>47</v>
      </c>
      <c r="D290" t="s">
        <v>64</v>
      </c>
      <c r="E290" t="s">
        <v>16</v>
      </c>
      <c r="F290" t="s">
        <v>17</v>
      </c>
      <c r="G290" t="s">
        <v>32</v>
      </c>
      <c r="H290" t="s">
        <v>19</v>
      </c>
      <c r="I290" t="s">
        <v>20</v>
      </c>
      <c r="J290" s="2">
        <v>300</v>
      </c>
    </row>
    <row r="291" spans="1:12" ht="19.95" customHeight="1">
      <c r="A291" t="s">
        <v>368</v>
      </c>
      <c r="B291" t="s">
        <v>341</v>
      </c>
      <c r="C291" t="s">
        <v>47</v>
      </c>
      <c r="D291" t="s">
        <v>71</v>
      </c>
      <c r="E291" t="s">
        <v>16</v>
      </c>
      <c r="F291" t="s">
        <v>17</v>
      </c>
      <c r="G291" t="s">
        <v>23</v>
      </c>
      <c r="H291" t="s">
        <v>19</v>
      </c>
      <c r="I291" t="s">
        <v>20</v>
      </c>
      <c r="J291" s="2">
        <v>120</v>
      </c>
    </row>
    <row r="292" spans="1:12" ht="19.95" customHeight="1">
      <c r="A292" t="s">
        <v>369</v>
      </c>
      <c r="B292" t="s">
        <v>341</v>
      </c>
      <c r="C292" t="s">
        <v>47</v>
      </c>
      <c r="D292" t="s">
        <v>48</v>
      </c>
      <c r="E292" t="s">
        <v>16</v>
      </c>
      <c r="F292" t="s">
        <v>17</v>
      </c>
      <c r="G292" t="s">
        <v>32</v>
      </c>
      <c r="H292" t="s">
        <v>19</v>
      </c>
      <c r="I292" t="s">
        <v>20</v>
      </c>
      <c r="J292" s="2">
        <v>300</v>
      </c>
    </row>
    <row r="293" spans="1:12" ht="19.95" customHeight="1">
      <c r="A293" t="s">
        <v>370</v>
      </c>
      <c r="B293" t="s">
        <v>341</v>
      </c>
      <c r="C293" t="s">
        <v>47</v>
      </c>
      <c r="D293" t="s">
        <v>148</v>
      </c>
      <c r="E293" t="s">
        <v>16</v>
      </c>
      <c r="F293" t="s">
        <v>17</v>
      </c>
      <c r="G293" t="s">
        <v>23</v>
      </c>
      <c r="H293" t="s">
        <v>19</v>
      </c>
      <c r="I293" t="s">
        <v>20</v>
      </c>
      <c r="J293" s="2">
        <v>120</v>
      </c>
    </row>
    <row r="294" spans="1:12" ht="19.95" customHeight="1">
      <c r="A294" t="s">
        <v>371</v>
      </c>
      <c r="B294" t="s">
        <v>341</v>
      </c>
      <c r="C294" t="s">
        <v>47</v>
      </c>
      <c r="D294" t="s">
        <v>48</v>
      </c>
      <c r="E294" t="s">
        <v>16</v>
      </c>
      <c r="F294" t="s">
        <v>17</v>
      </c>
      <c r="G294" t="s">
        <v>18</v>
      </c>
      <c r="H294" t="s">
        <v>19</v>
      </c>
      <c r="I294" t="s">
        <v>20</v>
      </c>
      <c r="J294" s="2">
        <v>170</v>
      </c>
      <c r="L294" t="s">
        <v>29</v>
      </c>
    </row>
    <row r="295" spans="1:12" ht="19.95" customHeight="1">
      <c r="A295" t="s">
        <v>372</v>
      </c>
      <c r="B295" t="s">
        <v>341</v>
      </c>
      <c r="C295" t="s">
        <v>47</v>
      </c>
      <c r="D295" t="s">
        <v>62</v>
      </c>
      <c r="E295" t="s">
        <v>16</v>
      </c>
      <c r="F295" t="s">
        <v>17</v>
      </c>
      <c r="G295" t="s">
        <v>23</v>
      </c>
      <c r="H295" t="s">
        <v>19</v>
      </c>
      <c r="I295" t="s">
        <v>20</v>
      </c>
      <c r="J295" s="2">
        <v>120</v>
      </c>
    </row>
    <row r="296" spans="1:12" ht="19.95" customHeight="1">
      <c r="A296" t="s">
        <v>373</v>
      </c>
      <c r="B296" t="s">
        <v>341</v>
      </c>
      <c r="C296" t="s">
        <v>47</v>
      </c>
      <c r="D296" t="s">
        <v>48</v>
      </c>
      <c r="E296" t="s">
        <v>16</v>
      </c>
      <c r="F296" t="s">
        <v>17</v>
      </c>
      <c r="G296" t="s">
        <v>32</v>
      </c>
      <c r="H296" t="s">
        <v>19</v>
      </c>
      <c r="I296" t="s">
        <v>20</v>
      </c>
      <c r="J296" s="2">
        <v>300</v>
      </c>
    </row>
    <row r="297" spans="1:12" ht="19.95" customHeight="1">
      <c r="A297" t="s">
        <v>374</v>
      </c>
      <c r="B297" t="s">
        <v>341</v>
      </c>
      <c r="C297" t="s">
        <v>78</v>
      </c>
      <c r="D297" t="s">
        <v>93</v>
      </c>
      <c r="E297" t="s">
        <v>16</v>
      </c>
      <c r="F297" t="s">
        <v>35</v>
      </c>
      <c r="G297" t="s">
        <v>18</v>
      </c>
      <c r="H297" t="s">
        <v>19</v>
      </c>
      <c r="I297" t="s">
        <v>20</v>
      </c>
      <c r="J297" s="2">
        <v>170</v>
      </c>
      <c r="L297" t="s">
        <v>29</v>
      </c>
    </row>
    <row r="298" spans="1:12" ht="19.95" customHeight="1">
      <c r="A298" t="s">
        <v>375</v>
      </c>
      <c r="B298" t="s">
        <v>341</v>
      </c>
      <c r="C298" t="s">
        <v>78</v>
      </c>
      <c r="D298" t="s">
        <v>87</v>
      </c>
      <c r="E298" t="s">
        <v>16</v>
      </c>
      <c r="F298" t="s">
        <v>17</v>
      </c>
      <c r="G298" t="s">
        <v>23</v>
      </c>
      <c r="H298" t="s">
        <v>24</v>
      </c>
      <c r="I298" t="s">
        <v>53</v>
      </c>
      <c r="J298" s="2">
        <v>120</v>
      </c>
    </row>
    <row r="299" spans="1:12" ht="19.95" customHeight="1">
      <c r="A299" t="s">
        <v>376</v>
      </c>
      <c r="B299" t="s">
        <v>341</v>
      </c>
      <c r="C299" t="s">
        <v>78</v>
      </c>
      <c r="D299" t="s">
        <v>85</v>
      </c>
      <c r="E299" t="s">
        <v>16</v>
      </c>
      <c r="F299" t="s">
        <v>17</v>
      </c>
      <c r="G299" t="s">
        <v>32</v>
      </c>
      <c r="H299" t="s">
        <v>19</v>
      </c>
      <c r="I299" t="s">
        <v>20</v>
      </c>
      <c r="J299" s="2">
        <v>300</v>
      </c>
    </row>
    <row r="300" spans="1:12" ht="19.95" customHeight="1">
      <c r="A300" t="s">
        <v>377</v>
      </c>
      <c r="B300" t="s">
        <v>341</v>
      </c>
      <c r="C300" t="s">
        <v>78</v>
      </c>
      <c r="D300" t="s">
        <v>87</v>
      </c>
      <c r="E300" t="s">
        <v>16</v>
      </c>
      <c r="F300" t="s">
        <v>17</v>
      </c>
      <c r="G300" t="s">
        <v>23</v>
      </c>
      <c r="H300" t="s">
        <v>19</v>
      </c>
      <c r="I300" t="s">
        <v>20</v>
      </c>
      <c r="J300" s="2">
        <v>120</v>
      </c>
    </row>
    <row r="301" spans="1:12" ht="19.95" customHeight="1">
      <c r="A301" t="s">
        <v>378</v>
      </c>
      <c r="B301" t="s">
        <v>341</v>
      </c>
      <c r="C301" t="s">
        <v>78</v>
      </c>
      <c r="D301" t="s">
        <v>79</v>
      </c>
      <c r="E301" t="s">
        <v>16</v>
      </c>
      <c r="F301" t="s">
        <v>17</v>
      </c>
      <c r="G301" t="s">
        <v>32</v>
      </c>
      <c r="H301" t="s">
        <v>19</v>
      </c>
      <c r="I301" t="s">
        <v>20</v>
      </c>
      <c r="J301" s="2">
        <v>300</v>
      </c>
    </row>
    <row r="302" spans="1:12" ht="19.95" customHeight="1">
      <c r="A302" t="s">
        <v>379</v>
      </c>
      <c r="B302" t="s">
        <v>341</v>
      </c>
      <c r="C302" t="s">
        <v>78</v>
      </c>
      <c r="D302" t="s">
        <v>87</v>
      </c>
      <c r="E302" t="s">
        <v>16</v>
      </c>
      <c r="F302" t="s">
        <v>17</v>
      </c>
      <c r="G302" t="s">
        <v>32</v>
      </c>
      <c r="H302" t="s">
        <v>19</v>
      </c>
      <c r="I302" t="s">
        <v>74</v>
      </c>
      <c r="J302" s="2">
        <v>300</v>
      </c>
    </row>
    <row r="303" spans="1:12" ht="19.95" customHeight="1">
      <c r="A303" t="s">
        <v>380</v>
      </c>
      <c r="B303" t="s">
        <v>341</v>
      </c>
      <c r="C303" t="s">
        <v>78</v>
      </c>
      <c r="D303" t="s">
        <v>242</v>
      </c>
      <c r="E303" t="s">
        <v>16</v>
      </c>
      <c r="F303" t="s">
        <v>17</v>
      </c>
      <c r="G303" t="s">
        <v>32</v>
      </c>
      <c r="H303" t="s">
        <v>19</v>
      </c>
      <c r="I303" t="s">
        <v>20</v>
      </c>
      <c r="J303" s="2">
        <v>300</v>
      </c>
    </row>
    <row r="304" spans="1:12" ht="19.95" customHeight="1">
      <c r="A304" t="s">
        <v>381</v>
      </c>
      <c r="B304" t="s">
        <v>341</v>
      </c>
      <c r="C304" t="s">
        <v>78</v>
      </c>
      <c r="D304" t="s">
        <v>242</v>
      </c>
      <c r="E304" t="s">
        <v>16</v>
      </c>
      <c r="F304" t="s">
        <v>35</v>
      </c>
      <c r="G304" t="s">
        <v>23</v>
      </c>
      <c r="H304" t="s">
        <v>19</v>
      </c>
      <c r="I304" t="s">
        <v>20</v>
      </c>
      <c r="J304" s="2">
        <v>120</v>
      </c>
    </row>
    <row r="305" spans="1:10" ht="19.95" customHeight="1">
      <c r="A305" t="s">
        <v>382</v>
      </c>
      <c r="B305" t="s">
        <v>341</v>
      </c>
      <c r="C305" t="s">
        <v>78</v>
      </c>
      <c r="D305" t="s">
        <v>242</v>
      </c>
      <c r="E305" t="s">
        <v>16</v>
      </c>
      <c r="F305" t="s">
        <v>17</v>
      </c>
      <c r="G305" t="s">
        <v>23</v>
      </c>
      <c r="H305" t="s">
        <v>19</v>
      </c>
      <c r="I305" t="s">
        <v>20</v>
      </c>
      <c r="J305" s="2">
        <v>120</v>
      </c>
    </row>
    <row r="306" spans="1:10" ht="19.95" customHeight="1">
      <c r="A306" t="s">
        <v>383</v>
      </c>
      <c r="B306" t="s">
        <v>341</v>
      </c>
      <c r="C306" t="s">
        <v>78</v>
      </c>
      <c r="D306" t="s">
        <v>163</v>
      </c>
      <c r="E306" t="s">
        <v>16</v>
      </c>
      <c r="F306" t="s">
        <v>35</v>
      </c>
      <c r="G306" t="s">
        <v>23</v>
      </c>
      <c r="H306" t="s">
        <v>19</v>
      </c>
      <c r="I306" t="s">
        <v>20</v>
      </c>
      <c r="J306" s="2">
        <v>120</v>
      </c>
    </row>
    <row r="307" spans="1:10" ht="19.95" customHeight="1">
      <c r="A307" t="s">
        <v>384</v>
      </c>
      <c r="B307" t="s">
        <v>341</v>
      </c>
      <c r="C307" t="s">
        <v>78</v>
      </c>
      <c r="D307" t="s">
        <v>79</v>
      </c>
      <c r="E307" t="s">
        <v>16</v>
      </c>
      <c r="F307" t="s">
        <v>35</v>
      </c>
      <c r="G307" t="s">
        <v>32</v>
      </c>
      <c r="H307" t="s">
        <v>19</v>
      </c>
      <c r="I307" t="s">
        <v>20</v>
      </c>
      <c r="J307" s="2">
        <v>300</v>
      </c>
    </row>
    <row r="308" spans="1:10" ht="19.95" customHeight="1">
      <c r="A308" t="s">
        <v>385</v>
      </c>
      <c r="B308" t="s">
        <v>341</v>
      </c>
      <c r="C308" t="s">
        <v>78</v>
      </c>
      <c r="D308" t="s">
        <v>242</v>
      </c>
      <c r="E308" t="s">
        <v>16</v>
      </c>
      <c r="F308" t="s">
        <v>17</v>
      </c>
      <c r="G308" t="s">
        <v>32</v>
      </c>
      <c r="H308" t="s">
        <v>19</v>
      </c>
      <c r="I308" t="s">
        <v>20</v>
      </c>
      <c r="J308" s="2">
        <v>300</v>
      </c>
    </row>
    <row r="309" spans="1:10" ht="19.95" customHeight="1">
      <c r="A309" t="s">
        <v>386</v>
      </c>
      <c r="B309" t="s">
        <v>341</v>
      </c>
      <c r="C309" t="s">
        <v>78</v>
      </c>
      <c r="D309" t="s">
        <v>89</v>
      </c>
      <c r="E309" t="s">
        <v>16</v>
      </c>
      <c r="F309" t="s">
        <v>17</v>
      </c>
      <c r="G309" t="s">
        <v>23</v>
      </c>
      <c r="H309" t="s">
        <v>19</v>
      </c>
      <c r="I309" t="s">
        <v>20</v>
      </c>
      <c r="J309" s="2">
        <v>120</v>
      </c>
    </row>
    <row r="310" spans="1:10" ht="19.95" customHeight="1">
      <c r="A310" t="s">
        <v>387</v>
      </c>
      <c r="B310" t="s">
        <v>341</v>
      </c>
      <c r="C310" t="s">
        <v>78</v>
      </c>
      <c r="D310" t="s">
        <v>93</v>
      </c>
      <c r="E310" t="s">
        <v>16</v>
      </c>
      <c r="F310" t="s">
        <v>17</v>
      </c>
      <c r="G310" t="s">
        <v>23</v>
      </c>
      <c r="H310" t="s">
        <v>19</v>
      </c>
      <c r="I310" t="s">
        <v>20</v>
      </c>
      <c r="J310" s="2">
        <v>120</v>
      </c>
    </row>
    <row r="311" spans="1:10" ht="19.95" customHeight="1">
      <c r="A311" t="s">
        <v>388</v>
      </c>
      <c r="B311" t="s">
        <v>341</v>
      </c>
      <c r="C311" t="s">
        <v>105</v>
      </c>
      <c r="D311" t="s">
        <v>118</v>
      </c>
      <c r="E311" t="s">
        <v>16</v>
      </c>
      <c r="F311" t="s">
        <v>17</v>
      </c>
      <c r="G311" t="s">
        <v>18</v>
      </c>
      <c r="H311" t="s">
        <v>19</v>
      </c>
      <c r="I311" t="s">
        <v>20</v>
      </c>
      <c r="J311" s="2">
        <v>200</v>
      </c>
    </row>
    <row r="312" spans="1:10" ht="19.95" customHeight="1">
      <c r="A312" t="s">
        <v>389</v>
      </c>
      <c r="B312" t="s">
        <v>341</v>
      </c>
      <c r="C312" t="s">
        <v>105</v>
      </c>
      <c r="D312" t="s">
        <v>194</v>
      </c>
      <c r="E312" t="s">
        <v>16</v>
      </c>
      <c r="F312" t="s">
        <v>17</v>
      </c>
      <c r="G312" t="s">
        <v>23</v>
      </c>
      <c r="H312" t="s">
        <v>19</v>
      </c>
      <c r="I312" t="s">
        <v>20</v>
      </c>
      <c r="J312" s="2">
        <v>120</v>
      </c>
    </row>
    <row r="313" spans="1:10" ht="19.95" customHeight="1">
      <c r="A313" t="s">
        <v>390</v>
      </c>
      <c r="B313" t="s">
        <v>341</v>
      </c>
      <c r="C313" t="s">
        <v>105</v>
      </c>
      <c r="D313" t="s">
        <v>191</v>
      </c>
      <c r="E313" t="s">
        <v>16</v>
      </c>
      <c r="F313" t="s">
        <v>17</v>
      </c>
      <c r="G313" t="s">
        <v>32</v>
      </c>
      <c r="H313" t="s">
        <v>19</v>
      </c>
      <c r="I313" t="s">
        <v>20</v>
      </c>
      <c r="J313" s="2">
        <v>300</v>
      </c>
    </row>
    <row r="314" spans="1:10" ht="19.95" customHeight="1">
      <c r="A314" t="s">
        <v>391</v>
      </c>
      <c r="B314" t="s">
        <v>341</v>
      </c>
      <c r="C314" t="s">
        <v>105</v>
      </c>
      <c r="D314" t="s">
        <v>112</v>
      </c>
      <c r="E314" t="s">
        <v>16</v>
      </c>
      <c r="F314" t="s">
        <v>17</v>
      </c>
      <c r="G314" t="s">
        <v>18</v>
      </c>
      <c r="H314" t="s">
        <v>19</v>
      </c>
      <c r="I314" t="s">
        <v>20</v>
      </c>
      <c r="J314" s="2">
        <v>200</v>
      </c>
    </row>
    <row r="315" spans="1:10" ht="19.95" customHeight="1">
      <c r="A315" t="s">
        <v>392</v>
      </c>
      <c r="B315" t="s">
        <v>341</v>
      </c>
      <c r="C315" t="s">
        <v>105</v>
      </c>
      <c r="D315" t="s">
        <v>116</v>
      </c>
      <c r="E315" t="s">
        <v>16</v>
      </c>
      <c r="F315" t="s">
        <v>17</v>
      </c>
      <c r="G315" t="s">
        <v>18</v>
      </c>
      <c r="H315" t="s">
        <v>19</v>
      </c>
      <c r="I315" t="s">
        <v>20</v>
      </c>
      <c r="J315" s="2">
        <v>200</v>
      </c>
    </row>
    <row r="316" spans="1:10" ht="19.95" customHeight="1">
      <c r="A316" t="s">
        <v>393</v>
      </c>
      <c r="B316" t="s">
        <v>341</v>
      </c>
      <c r="C316" t="s">
        <v>105</v>
      </c>
      <c r="D316" t="s">
        <v>194</v>
      </c>
      <c r="E316" t="s">
        <v>16</v>
      </c>
      <c r="F316" t="s">
        <v>17</v>
      </c>
      <c r="G316" t="s">
        <v>23</v>
      </c>
      <c r="H316" t="s">
        <v>19</v>
      </c>
      <c r="I316" t="s">
        <v>20</v>
      </c>
      <c r="J316" s="2">
        <v>120</v>
      </c>
    </row>
    <row r="317" spans="1:10" ht="19.95" customHeight="1">
      <c r="A317" t="s">
        <v>394</v>
      </c>
      <c r="B317" t="s">
        <v>341</v>
      </c>
      <c r="C317" t="s">
        <v>105</v>
      </c>
      <c r="D317" t="s">
        <v>112</v>
      </c>
      <c r="E317" t="s">
        <v>16</v>
      </c>
      <c r="F317" t="s">
        <v>17</v>
      </c>
      <c r="G317" t="s">
        <v>18</v>
      </c>
      <c r="H317" t="s">
        <v>24</v>
      </c>
      <c r="I317" t="s">
        <v>20</v>
      </c>
      <c r="J317" s="2">
        <v>200</v>
      </c>
    </row>
    <row r="318" spans="1:10" ht="19.95" customHeight="1">
      <c r="A318" t="s">
        <v>395</v>
      </c>
      <c r="B318" t="s">
        <v>341</v>
      </c>
      <c r="C318" t="s">
        <v>105</v>
      </c>
      <c r="D318" t="s">
        <v>116</v>
      </c>
      <c r="E318" t="s">
        <v>16</v>
      </c>
      <c r="F318" t="s">
        <v>35</v>
      </c>
      <c r="G318" t="s">
        <v>32</v>
      </c>
      <c r="H318" t="s">
        <v>19</v>
      </c>
      <c r="I318" t="s">
        <v>20</v>
      </c>
      <c r="J318" s="2">
        <v>300</v>
      </c>
    </row>
    <row r="319" spans="1:10" ht="19.95" customHeight="1">
      <c r="A319" t="s">
        <v>396</v>
      </c>
      <c r="B319" t="s">
        <v>341</v>
      </c>
      <c r="C319" t="s">
        <v>105</v>
      </c>
      <c r="D319" t="s">
        <v>120</v>
      </c>
      <c r="E319" t="s">
        <v>16</v>
      </c>
      <c r="F319" t="s">
        <v>17</v>
      </c>
      <c r="G319" t="s">
        <v>32</v>
      </c>
      <c r="H319" t="s">
        <v>19</v>
      </c>
      <c r="I319" t="s">
        <v>20</v>
      </c>
      <c r="J319" s="2">
        <v>300</v>
      </c>
    </row>
    <row r="320" spans="1:10" ht="19.95" customHeight="1">
      <c r="A320" t="s">
        <v>397</v>
      </c>
      <c r="B320" t="s">
        <v>341</v>
      </c>
      <c r="C320" t="s">
        <v>105</v>
      </c>
      <c r="D320" t="s">
        <v>265</v>
      </c>
      <c r="E320" t="s">
        <v>16</v>
      </c>
      <c r="F320" t="s">
        <v>17</v>
      </c>
      <c r="G320" t="s">
        <v>32</v>
      </c>
      <c r="H320" t="s">
        <v>19</v>
      </c>
      <c r="I320" t="s">
        <v>20</v>
      </c>
      <c r="J320" s="2">
        <v>300</v>
      </c>
    </row>
    <row r="321" spans="1:12" ht="19.95" customHeight="1">
      <c r="A321" t="s">
        <v>398</v>
      </c>
      <c r="B321" t="s">
        <v>341</v>
      </c>
      <c r="C321" t="s">
        <v>105</v>
      </c>
      <c r="D321" t="s">
        <v>191</v>
      </c>
      <c r="E321" t="s">
        <v>16</v>
      </c>
      <c r="F321" t="s">
        <v>17</v>
      </c>
      <c r="G321" t="s">
        <v>18</v>
      </c>
      <c r="H321" t="s">
        <v>19</v>
      </c>
      <c r="I321" t="s">
        <v>20</v>
      </c>
      <c r="J321" s="2">
        <v>200</v>
      </c>
    </row>
    <row r="322" spans="1:12" ht="19.95" customHeight="1">
      <c r="A322" t="s">
        <v>399</v>
      </c>
      <c r="B322" t="s">
        <v>341</v>
      </c>
      <c r="C322" t="s">
        <v>105</v>
      </c>
      <c r="D322" t="s">
        <v>112</v>
      </c>
      <c r="E322" t="s">
        <v>16</v>
      </c>
      <c r="F322" t="s">
        <v>35</v>
      </c>
      <c r="G322" t="s">
        <v>18</v>
      </c>
      <c r="H322" t="s">
        <v>19</v>
      </c>
      <c r="I322" t="s">
        <v>20</v>
      </c>
      <c r="J322" s="2">
        <v>200</v>
      </c>
    </row>
    <row r="323" spans="1:12" ht="19.95" customHeight="1">
      <c r="A323" t="s">
        <v>400</v>
      </c>
      <c r="B323" t="s">
        <v>341</v>
      </c>
      <c r="C323" t="s">
        <v>105</v>
      </c>
      <c r="D323" t="s">
        <v>194</v>
      </c>
      <c r="E323" t="s">
        <v>16</v>
      </c>
      <c r="F323" t="s">
        <v>17</v>
      </c>
      <c r="G323" t="s">
        <v>32</v>
      </c>
      <c r="H323" t="s">
        <v>19</v>
      </c>
      <c r="I323" t="s">
        <v>20</v>
      </c>
      <c r="J323" s="2">
        <v>300</v>
      </c>
    </row>
    <row r="324" spans="1:12" ht="19.95" customHeight="1">
      <c r="A324" t="s">
        <v>401</v>
      </c>
      <c r="B324" t="s">
        <v>341</v>
      </c>
      <c r="C324" t="s">
        <v>78</v>
      </c>
      <c r="D324" t="s">
        <v>242</v>
      </c>
      <c r="E324" t="s">
        <v>402</v>
      </c>
      <c r="F324" t="s">
        <v>17</v>
      </c>
      <c r="G324" t="s">
        <v>18</v>
      </c>
      <c r="H324" t="s">
        <v>19</v>
      </c>
      <c r="I324" t="s">
        <v>20</v>
      </c>
      <c r="J324" s="2">
        <v>200</v>
      </c>
      <c r="K324" t="s">
        <v>319</v>
      </c>
    </row>
    <row r="325" spans="1:12" ht="19.95" customHeight="1">
      <c r="A325" t="s">
        <v>403</v>
      </c>
      <c r="B325" t="s">
        <v>404</v>
      </c>
      <c r="C325" t="s">
        <v>14</v>
      </c>
      <c r="D325" t="s">
        <v>22</v>
      </c>
      <c r="E325" t="s">
        <v>16</v>
      </c>
      <c r="F325" t="s">
        <v>17</v>
      </c>
      <c r="G325" t="s">
        <v>32</v>
      </c>
      <c r="H325" t="s">
        <v>24</v>
      </c>
      <c r="I325" t="s">
        <v>20</v>
      </c>
      <c r="J325" s="2">
        <v>300</v>
      </c>
    </row>
    <row r="326" spans="1:12" ht="19.95" customHeight="1">
      <c r="A326" t="s">
        <v>405</v>
      </c>
      <c r="B326" t="s">
        <v>404</v>
      </c>
      <c r="C326" t="s">
        <v>14</v>
      </c>
      <c r="D326" t="s">
        <v>22</v>
      </c>
      <c r="E326" t="s">
        <v>16</v>
      </c>
      <c r="F326" t="s">
        <v>17</v>
      </c>
      <c r="G326" t="s">
        <v>18</v>
      </c>
      <c r="H326" t="s">
        <v>19</v>
      </c>
      <c r="I326" t="s">
        <v>20</v>
      </c>
      <c r="J326" s="2">
        <v>200</v>
      </c>
    </row>
    <row r="327" spans="1:12" ht="19.95" customHeight="1">
      <c r="A327" t="s">
        <v>406</v>
      </c>
      <c r="B327" t="s">
        <v>404</v>
      </c>
      <c r="C327" t="s">
        <v>14</v>
      </c>
      <c r="D327" t="s">
        <v>210</v>
      </c>
      <c r="E327" t="s">
        <v>16</v>
      </c>
      <c r="F327" t="s">
        <v>17</v>
      </c>
      <c r="G327" t="s">
        <v>23</v>
      </c>
      <c r="H327" t="s">
        <v>19</v>
      </c>
      <c r="I327" t="s">
        <v>20</v>
      </c>
      <c r="J327" s="2">
        <v>120</v>
      </c>
    </row>
    <row r="328" spans="1:12" ht="19.95" customHeight="1">
      <c r="A328" t="s">
        <v>407</v>
      </c>
      <c r="B328" t="s">
        <v>404</v>
      </c>
      <c r="C328" t="s">
        <v>14</v>
      </c>
      <c r="D328" t="s">
        <v>210</v>
      </c>
      <c r="E328" t="s">
        <v>16</v>
      </c>
      <c r="F328" t="s">
        <v>17</v>
      </c>
      <c r="G328" t="s">
        <v>32</v>
      </c>
      <c r="H328" t="s">
        <v>19</v>
      </c>
      <c r="I328" t="s">
        <v>20</v>
      </c>
      <c r="J328" s="2">
        <v>300</v>
      </c>
    </row>
    <row r="329" spans="1:12" ht="19.95" customHeight="1">
      <c r="A329" t="s">
        <v>408</v>
      </c>
      <c r="B329" t="s">
        <v>404</v>
      </c>
      <c r="C329" t="s">
        <v>14</v>
      </c>
      <c r="D329" t="s">
        <v>210</v>
      </c>
      <c r="E329" t="s">
        <v>16</v>
      </c>
      <c r="F329" t="s">
        <v>17</v>
      </c>
      <c r="G329" t="s">
        <v>18</v>
      </c>
      <c r="H329" t="s">
        <v>19</v>
      </c>
      <c r="I329" t="s">
        <v>20</v>
      </c>
      <c r="J329" s="2">
        <v>200</v>
      </c>
    </row>
    <row r="330" spans="1:12" ht="19.95" customHeight="1">
      <c r="A330" t="s">
        <v>409</v>
      </c>
      <c r="B330" t="s">
        <v>404</v>
      </c>
      <c r="C330" t="s">
        <v>14</v>
      </c>
      <c r="D330" t="s">
        <v>15</v>
      </c>
      <c r="E330" t="s">
        <v>16</v>
      </c>
      <c r="F330" t="s">
        <v>17</v>
      </c>
      <c r="G330" t="s">
        <v>18</v>
      </c>
      <c r="H330" t="s">
        <v>19</v>
      </c>
      <c r="I330" t="s">
        <v>20</v>
      </c>
      <c r="J330" s="2">
        <v>200</v>
      </c>
    </row>
    <row r="331" spans="1:12" ht="19.95" customHeight="1">
      <c r="A331" t="s">
        <v>410</v>
      </c>
      <c r="B331" t="s">
        <v>404</v>
      </c>
      <c r="C331" t="s">
        <v>14</v>
      </c>
      <c r="D331" t="s">
        <v>26</v>
      </c>
      <c r="E331" t="s">
        <v>16</v>
      </c>
      <c r="F331" t="s">
        <v>17</v>
      </c>
      <c r="G331" t="s">
        <v>23</v>
      </c>
      <c r="H331" t="s">
        <v>24</v>
      </c>
      <c r="I331" t="s">
        <v>20</v>
      </c>
      <c r="J331" s="2">
        <v>120</v>
      </c>
    </row>
    <row r="332" spans="1:12" ht="19.95" customHeight="1">
      <c r="A332" t="s">
        <v>411</v>
      </c>
      <c r="B332" t="s">
        <v>404</v>
      </c>
      <c r="C332" t="s">
        <v>14</v>
      </c>
      <c r="D332" t="s">
        <v>40</v>
      </c>
      <c r="E332" t="s">
        <v>16</v>
      </c>
      <c r="F332" t="s">
        <v>17</v>
      </c>
      <c r="G332" t="s">
        <v>18</v>
      </c>
      <c r="H332" t="s">
        <v>19</v>
      </c>
      <c r="I332" t="s">
        <v>20</v>
      </c>
      <c r="J332" s="2">
        <v>200</v>
      </c>
    </row>
    <row r="333" spans="1:12" ht="19.95" customHeight="1">
      <c r="A333" t="s">
        <v>412</v>
      </c>
      <c r="B333" t="s">
        <v>404</v>
      </c>
      <c r="C333" t="s">
        <v>14</v>
      </c>
      <c r="D333" t="s">
        <v>15</v>
      </c>
      <c r="E333" t="s">
        <v>16</v>
      </c>
      <c r="F333" t="s">
        <v>17</v>
      </c>
      <c r="G333" t="s">
        <v>23</v>
      </c>
      <c r="H333" t="s">
        <v>19</v>
      </c>
      <c r="I333" t="s">
        <v>20</v>
      </c>
      <c r="J333" s="2">
        <v>120</v>
      </c>
    </row>
    <row r="334" spans="1:12" ht="19.95" customHeight="1">
      <c r="A334" t="s">
        <v>413</v>
      </c>
      <c r="B334" t="s">
        <v>404</v>
      </c>
      <c r="C334" t="s">
        <v>14</v>
      </c>
      <c r="D334" t="s">
        <v>37</v>
      </c>
      <c r="E334" t="s">
        <v>16</v>
      </c>
      <c r="F334" t="s">
        <v>17</v>
      </c>
      <c r="G334" t="s">
        <v>32</v>
      </c>
      <c r="H334" t="s">
        <v>19</v>
      </c>
      <c r="I334" t="s">
        <v>20</v>
      </c>
      <c r="J334" s="2">
        <v>255</v>
      </c>
      <c r="L334" t="s">
        <v>29</v>
      </c>
    </row>
    <row r="335" spans="1:12" ht="19.95" customHeight="1">
      <c r="A335" t="s">
        <v>414</v>
      </c>
      <c r="B335" t="s">
        <v>404</v>
      </c>
      <c r="C335" t="s">
        <v>14</v>
      </c>
      <c r="D335" t="s">
        <v>34</v>
      </c>
      <c r="E335" t="s">
        <v>16</v>
      </c>
      <c r="F335" t="s">
        <v>17</v>
      </c>
      <c r="G335" t="s">
        <v>18</v>
      </c>
      <c r="H335" t="s">
        <v>19</v>
      </c>
      <c r="I335" t="s">
        <v>20</v>
      </c>
      <c r="J335" s="2">
        <v>200</v>
      </c>
    </row>
    <row r="336" spans="1:12" ht="19.95" customHeight="1">
      <c r="A336" t="s">
        <v>415</v>
      </c>
      <c r="B336" t="s">
        <v>404</v>
      </c>
      <c r="C336" t="s">
        <v>14</v>
      </c>
      <c r="D336" t="s">
        <v>31</v>
      </c>
      <c r="E336" t="s">
        <v>16</v>
      </c>
      <c r="F336" t="s">
        <v>17</v>
      </c>
      <c r="G336" t="s">
        <v>32</v>
      </c>
      <c r="H336" t="s">
        <v>19</v>
      </c>
      <c r="I336" t="s">
        <v>20</v>
      </c>
      <c r="J336" s="2">
        <v>300</v>
      </c>
    </row>
    <row r="337" spans="1:12" ht="19.95" customHeight="1">
      <c r="A337" t="s">
        <v>416</v>
      </c>
      <c r="B337" t="s">
        <v>404</v>
      </c>
      <c r="C337" t="s">
        <v>14</v>
      </c>
      <c r="D337" t="s">
        <v>28</v>
      </c>
      <c r="E337" t="s">
        <v>16</v>
      </c>
      <c r="F337" t="s">
        <v>17</v>
      </c>
      <c r="G337" t="s">
        <v>23</v>
      </c>
      <c r="H337" t="s">
        <v>24</v>
      </c>
      <c r="I337" t="s">
        <v>20</v>
      </c>
      <c r="J337" s="2">
        <v>120</v>
      </c>
    </row>
    <row r="338" spans="1:12" ht="19.95" customHeight="1">
      <c r="A338" t="s">
        <v>417</v>
      </c>
      <c r="B338" t="s">
        <v>404</v>
      </c>
      <c r="C338" t="s">
        <v>14</v>
      </c>
      <c r="D338" t="s">
        <v>131</v>
      </c>
      <c r="E338" t="s">
        <v>16</v>
      </c>
      <c r="F338" t="s">
        <v>17</v>
      </c>
      <c r="G338" t="s">
        <v>32</v>
      </c>
      <c r="H338" t="s">
        <v>24</v>
      </c>
      <c r="I338" t="s">
        <v>20</v>
      </c>
      <c r="J338" s="2">
        <v>300</v>
      </c>
    </row>
    <row r="339" spans="1:12" ht="19.95" customHeight="1">
      <c r="A339" t="s">
        <v>418</v>
      </c>
      <c r="B339" t="s">
        <v>404</v>
      </c>
      <c r="C339" t="s">
        <v>47</v>
      </c>
      <c r="D339" t="s">
        <v>52</v>
      </c>
      <c r="E339" t="s">
        <v>16</v>
      </c>
      <c r="F339" t="s">
        <v>17</v>
      </c>
      <c r="G339" t="s">
        <v>18</v>
      </c>
      <c r="H339" t="s">
        <v>24</v>
      </c>
      <c r="I339" t="s">
        <v>20</v>
      </c>
      <c r="J339" s="2">
        <v>150</v>
      </c>
      <c r="L339" t="s">
        <v>29</v>
      </c>
    </row>
    <row r="340" spans="1:12" ht="19.95" customHeight="1">
      <c r="A340" t="s">
        <v>419</v>
      </c>
      <c r="B340" t="s">
        <v>404</v>
      </c>
      <c r="C340" t="s">
        <v>47</v>
      </c>
      <c r="D340" t="s">
        <v>71</v>
      </c>
      <c r="E340" t="s">
        <v>16</v>
      </c>
      <c r="F340" t="s">
        <v>17</v>
      </c>
      <c r="G340" t="s">
        <v>23</v>
      </c>
      <c r="H340" t="s">
        <v>19</v>
      </c>
      <c r="I340" t="s">
        <v>20</v>
      </c>
      <c r="J340" s="2">
        <v>120</v>
      </c>
    </row>
    <row r="341" spans="1:12" ht="19.95" customHeight="1">
      <c r="A341" t="s">
        <v>420</v>
      </c>
      <c r="B341" t="s">
        <v>404</v>
      </c>
      <c r="C341" t="s">
        <v>47</v>
      </c>
      <c r="D341" t="s">
        <v>50</v>
      </c>
      <c r="E341" t="s">
        <v>16</v>
      </c>
      <c r="F341" t="s">
        <v>17</v>
      </c>
      <c r="G341" t="s">
        <v>18</v>
      </c>
      <c r="H341" t="s">
        <v>19</v>
      </c>
      <c r="I341" t="s">
        <v>20</v>
      </c>
      <c r="J341" s="2">
        <v>200</v>
      </c>
    </row>
    <row r="342" spans="1:12" ht="19.95" customHeight="1">
      <c r="A342" t="s">
        <v>421</v>
      </c>
      <c r="B342" t="s">
        <v>404</v>
      </c>
      <c r="C342" t="s">
        <v>47</v>
      </c>
      <c r="D342" t="s">
        <v>73</v>
      </c>
      <c r="E342" t="s">
        <v>16</v>
      </c>
      <c r="F342" t="s">
        <v>35</v>
      </c>
      <c r="G342" t="s">
        <v>32</v>
      </c>
      <c r="H342" t="s">
        <v>19</v>
      </c>
      <c r="I342" t="s">
        <v>20</v>
      </c>
      <c r="J342" s="2">
        <v>300</v>
      </c>
    </row>
    <row r="343" spans="1:12" ht="19.95" customHeight="1">
      <c r="A343" t="s">
        <v>422</v>
      </c>
      <c r="B343" t="s">
        <v>404</v>
      </c>
      <c r="C343" t="s">
        <v>47</v>
      </c>
      <c r="D343" t="s">
        <v>152</v>
      </c>
      <c r="E343" t="s">
        <v>16</v>
      </c>
      <c r="F343" t="s">
        <v>35</v>
      </c>
      <c r="G343" t="s">
        <v>32</v>
      </c>
      <c r="H343" t="s">
        <v>19</v>
      </c>
      <c r="I343" t="s">
        <v>20</v>
      </c>
      <c r="J343" s="2">
        <v>300</v>
      </c>
    </row>
    <row r="344" spans="1:12" ht="19.95" customHeight="1">
      <c r="A344" t="s">
        <v>423</v>
      </c>
      <c r="B344" t="s">
        <v>404</v>
      </c>
      <c r="C344" t="s">
        <v>47</v>
      </c>
      <c r="D344" t="s">
        <v>73</v>
      </c>
      <c r="E344" t="s">
        <v>16</v>
      </c>
      <c r="F344" t="s">
        <v>17</v>
      </c>
      <c r="G344" t="s">
        <v>23</v>
      </c>
      <c r="H344" t="s">
        <v>19</v>
      </c>
      <c r="I344" t="s">
        <v>20</v>
      </c>
      <c r="J344" s="2">
        <v>120</v>
      </c>
    </row>
    <row r="345" spans="1:12" ht="19.95" customHeight="1">
      <c r="A345" t="s">
        <v>424</v>
      </c>
      <c r="B345" t="s">
        <v>404</v>
      </c>
      <c r="C345" t="s">
        <v>47</v>
      </c>
      <c r="D345" t="s">
        <v>73</v>
      </c>
      <c r="E345" t="s">
        <v>16</v>
      </c>
      <c r="F345" t="s">
        <v>17</v>
      </c>
      <c r="G345" t="s">
        <v>32</v>
      </c>
      <c r="H345" t="s">
        <v>19</v>
      </c>
      <c r="I345" t="s">
        <v>20</v>
      </c>
      <c r="J345" s="2">
        <v>300</v>
      </c>
    </row>
    <row r="346" spans="1:12" ht="19.95" customHeight="1">
      <c r="A346" t="s">
        <v>425</v>
      </c>
      <c r="B346" t="s">
        <v>404</v>
      </c>
      <c r="C346" t="s">
        <v>47</v>
      </c>
      <c r="D346" t="s">
        <v>71</v>
      </c>
      <c r="E346" t="s">
        <v>16</v>
      </c>
      <c r="F346" t="s">
        <v>17</v>
      </c>
      <c r="G346" t="s">
        <v>23</v>
      </c>
      <c r="H346" t="s">
        <v>19</v>
      </c>
      <c r="I346" t="s">
        <v>20</v>
      </c>
      <c r="J346" s="2">
        <v>120</v>
      </c>
    </row>
    <row r="347" spans="1:12" ht="19.95" customHeight="1">
      <c r="A347" t="s">
        <v>426</v>
      </c>
      <c r="B347" t="s">
        <v>404</v>
      </c>
      <c r="C347" t="s">
        <v>47</v>
      </c>
      <c r="D347" t="s">
        <v>59</v>
      </c>
      <c r="E347" t="s">
        <v>16</v>
      </c>
      <c r="F347" t="s">
        <v>17</v>
      </c>
      <c r="G347" t="s">
        <v>32</v>
      </c>
      <c r="H347" t="s">
        <v>19</v>
      </c>
      <c r="I347" t="s">
        <v>20</v>
      </c>
      <c r="J347" s="2">
        <v>300</v>
      </c>
    </row>
    <row r="348" spans="1:12" ht="19.95" customHeight="1">
      <c r="A348" t="s">
        <v>427</v>
      </c>
      <c r="B348" t="s">
        <v>404</v>
      </c>
      <c r="C348" t="s">
        <v>47</v>
      </c>
      <c r="D348" t="s">
        <v>73</v>
      </c>
      <c r="E348" t="s">
        <v>16</v>
      </c>
      <c r="F348" t="s">
        <v>17</v>
      </c>
      <c r="G348" t="s">
        <v>23</v>
      </c>
      <c r="H348" t="s">
        <v>19</v>
      </c>
      <c r="I348" t="s">
        <v>20</v>
      </c>
      <c r="J348" s="2">
        <v>102</v>
      </c>
      <c r="L348" t="s">
        <v>29</v>
      </c>
    </row>
    <row r="349" spans="1:12" ht="19.95" customHeight="1">
      <c r="A349" t="s">
        <v>428</v>
      </c>
      <c r="B349" t="s">
        <v>404</v>
      </c>
      <c r="C349" t="s">
        <v>47</v>
      </c>
      <c r="D349" t="s">
        <v>59</v>
      </c>
      <c r="E349" t="s">
        <v>16</v>
      </c>
      <c r="F349" t="s">
        <v>17</v>
      </c>
      <c r="G349" t="s">
        <v>23</v>
      </c>
      <c r="H349" t="s">
        <v>24</v>
      </c>
      <c r="I349" t="s">
        <v>20</v>
      </c>
      <c r="J349" s="2">
        <v>120</v>
      </c>
    </row>
    <row r="350" spans="1:12" ht="19.95" customHeight="1">
      <c r="A350" t="s">
        <v>429</v>
      </c>
      <c r="B350" t="s">
        <v>404</v>
      </c>
      <c r="C350" t="s">
        <v>47</v>
      </c>
      <c r="D350" t="s">
        <v>50</v>
      </c>
      <c r="E350" t="s">
        <v>16</v>
      </c>
      <c r="F350" t="s">
        <v>17</v>
      </c>
      <c r="G350" t="s">
        <v>23</v>
      </c>
      <c r="H350" t="s">
        <v>19</v>
      </c>
      <c r="I350" t="s">
        <v>20</v>
      </c>
      <c r="J350" s="2">
        <v>102</v>
      </c>
      <c r="L350" t="s">
        <v>29</v>
      </c>
    </row>
    <row r="351" spans="1:12" ht="19.95" customHeight="1">
      <c r="A351" t="s">
        <v>430</v>
      </c>
      <c r="B351" t="s">
        <v>404</v>
      </c>
      <c r="C351" t="s">
        <v>47</v>
      </c>
      <c r="D351" t="s">
        <v>52</v>
      </c>
      <c r="E351" t="s">
        <v>16</v>
      </c>
      <c r="F351" t="s">
        <v>17</v>
      </c>
      <c r="G351" t="s">
        <v>18</v>
      </c>
      <c r="H351" t="s">
        <v>19</v>
      </c>
      <c r="I351" t="s">
        <v>20</v>
      </c>
      <c r="J351" s="2">
        <v>200</v>
      </c>
    </row>
    <row r="352" spans="1:12" ht="19.95" customHeight="1">
      <c r="A352" t="s">
        <v>431</v>
      </c>
      <c r="B352" t="s">
        <v>404</v>
      </c>
      <c r="C352" t="s">
        <v>78</v>
      </c>
      <c r="D352" t="s">
        <v>161</v>
      </c>
      <c r="E352" t="s">
        <v>16</v>
      </c>
      <c r="F352" t="s">
        <v>17</v>
      </c>
      <c r="G352" t="s">
        <v>18</v>
      </c>
      <c r="H352" t="s">
        <v>19</v>
      </c>
      <c r="I352" t="s">
        <v>20</v>
      </c>
      <c r="J352" s="2">
        <v>200</v>
      </c>
    </row>
    <row r="353" spans="1:12" ht="19.95" customHeight="1">
      <c r="A353" t="s">
        <v>432</v>
      </c>
      <c r="B353" t="s">
        <v>404</v>
      </c>
      <c r="C353" t="s">
        <v>78</v>
      </c>
      <c r="D353" t="s">
        <v>87</v>
      </c>
      <c r="E353" t="s">
        <v>16</v>
      </c>
      <c r="F353" t="s">
        <v>35</v>
      </c>
      <c r="G353" t="s">
        <v>18</v>
      </c>
      <c r="H353" t="s">
        <v>19</v>
      </c>
      <c r="I353" t="s">
        <v>20</v>
      </c>
      <c r="J353" s="2">
        <v>200</v>
      </c>
    </row>
    <row r="354" spans="1:12" ht="19.95" customHeight="1">
      <c r="A354" t="s">
        <v>433</v>
      </c>
      <c r="B354" t="s">
        <v>404</v>
      </c>
      <c r="C354" t="s">
        <v>78</v>
      </c>
      <c r="D354" t="s">
        <v>83</v>
      </c>
      <c r="E354" t="s">
        <v>16</v>
      </c>
      <c r="F354" t="s">
        <v>17</v>
      </c>
      <c r="G354" t="s">
        <v>23</v>
      </c>
      <c r="H354" t="s">
        <v>19</v>
      </c>
      <c r="I354" t="s">
        <v>20</v>
      </c>
      <c r="J354" s="2">
        <v>120</v>
      </c>
    </row>
    <row r="355" spans="1:12" ht="19.95" customHeight="1">
      <c r="A355" t="s">
        <v>434</v>
      </c>
      <c r="B355" t="s">
        <v>404</v>
      </c>
      <c r="C355" t="s">
        <v>78</v>
      </c>
      <c r="D355" t="s">
        <v>102</v>
      </c>
      <c r="E355" t="s">
        <v>16</v>
      </c>
      <c r="F355" t="s">
        <v>17</v>
      </c>
      <c r="G355" t="s">
        <v>32</v>
      </c>
      <c r="H355" t="s">
        <v>19</v>
      </c>
      <c r="I355" t="s">
        <v>20</v>
      </c>
      <c r="J355" s="2">
        <v>300</v>
      </c>
    </row>
    <row r="356" spans="1:12" ht="19.95" customHeight="1">
      <c r="A356" t="s">
        <v>435</v>
      </c>
      <c r="B356" t="s">
        <v>404</v>
      </c>
      <c r="C356" t="s">
        <v>78</v>
      </c>
      <c r="D356" t="s">
        <v>93</v>
      </c>
      <c r="E356" t="s">
        <v>16</v>
      </c>
      <c r="F356" t="s">
        <v>17</v>
      </c>
      <c r="G356" t="s">
        <v>23</v>
      </c>
      <c r="H356" t="s">
        <v>19</v>
      </c>
      <c r="I356" t="s">
        <v>20</v>
      </c>
      <c r="J356" s="2">
        <v>120</v>
      </c>
    </row>
    <row r="357" spans="1:12" ht="19.95" customHeight="1">
      <c r="A357" t="s">
        <v>436</v>
      </c>
      <c r="B357" t="s">
        <v>404</v>
      </c>
      <c r="C357" t="s">
        <v>78</v>
      </c>
      <c r="D357" t="s">
        <v>89</v>
      </c>
      <c r="E357" t="s">
        <v>16</v>
      </c>
      <c r="F357" t="s">
        <v>17</v>
      </c>
      <c r="G357" t="s">
        <v>23</v>
      </c>
      <c r="H357" t="s">
        <v>19</v>
      </c>
      <c r="I357" t="s">
        <v>20</v>
      </c>
      <c r="J357" s="2">
        <v>120</v>
      </c>
    </row>
    <row r="358" spans="1:12" ht="19.95" customHeight="1">
      <c r="A358" t="s">
        <v>437</v>
      </c>
      <c r="B358" t="s">
        <v>404</v>
      </c>
      <c r="C358" t="s">
        <v>78</v>
      </c>
      <c r="D358" t="s">
        <v>102</v>
      </c>
      <c r="E358" t="s">
        <v>16</v>
      </c>
      <c r="F358" t="s">
        <v>17</v>
      </c>
      <c r="G358" t="s">
        <v>32</v>
      </c>
      <c r="H358" t="s">
        <v>24</v>
      </c>
      <c r="I358" t="s">
        <v>20</v>
      </c>
      <c r="J358" s="2">
        <v>300</v>
      </c>
    </row>
    <row r="359" spans="1:12" ht="19.95" customHeight="1">
      <c r="A359" t="s">
        <v>438</v>
      </c>
      <c r="B359" t="s">
        <v>404</v>
      </c>
      <c r="C359" t="s">
        <v>78</v>
      </c>
      <c r="D359" t="s">
        <v>85</v>
      </c>
      <c r="E359" t="s">
        <v>16</v>
      </c>
      <c r="F359" t="s">
        <v>17</v>
      </c>
      <c r="G359" t="s">
        <v>32</v>
      </c>
      <c r="H359" t="s">
        <v>19</v>
      </c>
      <c r="I359" t="s">
        <v>20</v>
      </c>
      <c r="J359" s="2">
        <v>300</v>
      </c>
    </row>
    <row r="360" spans="1:12" ht="19.95" customHeight="1">
      <c r="A360" t="s">
        <v>439</v>
      </c>
      <c r="B360" t="s">
        <v>404</v>
      </c>
      <c r="C360" t="s">
        <v>78</v>
      </c>
      <c r="D360" t="s">
        <v>79</v>
      </c>
      <c r="E360" t="s">
        <v>16</v>
      </c>
      <c r="F360" t="s">
        <v>17</v>
      </c>
      <c r="G360" t="s">
        <v>32</v>
      </c>
      <c r="H360" t="s">
        <v>19</v>
      </c>
      <c r="I360" t="s">
        <v>20</v>
      </c>
      <c r="J360" s="2">
        <v>300</v>
      </c>
    </row>
    <row r="361" spans="1:12" ht="19.95" customHeight="1">
      <c r="A361" t="s">
        <v>440</v>
      </c>
      <c r="B361" t="s">
        <v>404</v>
      </c>
      <c r="C361" t="s">
        <v>78</v>
      </c>
      <c r="D361" t="s">
        <v>89</v>
      </c>
      <c r="E361" t="s">
        <v>16</v>
      </c>
      <c r="F361" t="s">
        <v>17</v>
      </c>
      <c r="G361" t="s">
        <v>18</v>
      </c>
      <c r="H361" t="s">
        <v>19</v>
      </c>
      <c r="I361" t="s">
        <v>20</v>
      </c>
      <c r="J361" s="2">
        <v>200</v>
      </c>
    </row>
    <row r="362" spans="1:12" ht="19.95" customHeight="1">
      <c r="A362" t="s">
        <v>441</v>
      </c>
      <c r="B362" t="s">
        <v>404</v>
      </c>
      <c r="C362" t="s">
        <v>78</v>
      </c>
      <c r="D362" t="s">
        <v>163</v>
      </c>
      <c r="E362" t="s">
        <v>16</v>
      </c>
      <c r="F362" t="s">
        <v>17</v>
      </c>
      <c r="G362" t="s">
        <v>32</v>
      </c>
      <c r="H362" t="s">
        <v>19</v>
      </c>
      <c r="I362" t="s">
        <v>20</v>
      </c>
      <c r="J362" s="2">
        <v>255</v>
      </c>
      <c r="L362" t="s">
        <v>29</v>
      </c>
    </row>
    <row r="363" spans="1:12" ht="19.95" customHeight="1">
      <c r="A363" t="s">
        <v>442</v>
      </c>
      <c r="B363" t="s">
        <v>404</v>
      </c>
      <c r="C363" t="s">
        <v>78</v>
      </c>
      <c r="D363" t="s">
        <v>97</v>
      </c>
      <c r="E363" t="s">
        <v>16</v>
      </c>
      <c r="F363" t="s">
        <v>17</v>
      </c>
      <c r="G363" t="s">
        <v>18</v>
      </c>
      <c r="H363" t="s">
        <v>19</v>
      </c>
      <c r="I363" t="s">
        <v>20</v>
      </c>
      <c r="J363" s="2">
        <v>170</v>
      </c>
      <c r="L363" t="s">
        <v>29</v>
      </c>
    </row>
    <row r="364" spans="1:12" ht="19.95" customHeight="1">
      <c r="A364" t="s">
        <v>443</v>
      </c>
      <c r="B364" t="s">
        <v>404</v>
      </c>
      <c r="C364" t="s">
        <v>78</v>
      </c>
      <c r="D364" t="s">
        <v>163</v>
      </c>
      <c r="E364" t="s">
        <v>16</v>
      </c>
      <c r="F364" t="s">
        <v>17</v>
      </c>
      <c r="G364" t="s">
        <v>18</v>
      </c>
      <c r="H364" t="s">
        <v>19</v>
      </c>
      <c r="I364" t="s">
        <v>20</v>
      </c>
      <c r="J364" s="2">
        <v>200</v>
      </c>
    </row>
    <row r="365" spans="1:12" ht="19.95" customHeight="1">
      <c r="A365" t="s">
        <v>444</v>
      </c>
      <c r="B365" t="s">
        <v>404</v>
      </c>
      <c r="C365" t="s">
        <v>78</v>
      </c>
      <c r="D365" t="s">
        <v>163</v>
      </c>
      <c r="E365" t="s">
        <v>16</v>
      </c>
      <c r="F365" t="s">
        <v>17</v>
      </c>
      <c r="G365" t="s">
        <v>23</v>
      </c>
      <c r="H365" t="s">
        <v>19</v>
      </c>
      <c r="I365" t="s">
        <v>20</v>
      </c>
      <c r="J365" s="2">
        <v>120</v>
      </c>
    </row>
    <row r="366" spans="1:12" ht="19.95" customHeight="1">
      <c r="A366" t="s">
        <v>445</v>
      </c>
      <c r="B366" t="s">
        <v>404</v>
      </c>
      <c r="C366" t="s">
        <v>78</v>
      </c>
      <c r="D366" t="s">
        <v>85</v>
      </c>
      <c r="E366" t="s">
        <v>16</v>
      </c>
      <c r="F366" t="s">
        <v>17</v>
      </c>
      <c r="G366" t="s">
        <v>32</v>
      </c>
      <c r="H366" t="s">
        <v>19</v>
      </c>
      <c r="I366" t="s">
        <v>20</v>
      </c>
      <c r="J366" s="2">
        <v>300</v>
      </c>
    </row>
    <row r="367" spans="1:12" ht="19.95" customHeight="1">
      <c r="A367" t="s">
        <v>446</v>
      </c>
      <c r="B367" t="s">
        <v>404</v>
      </c>
      <c r="C367" t="s">
        <v>78</v>
      </c>
      <c r="D367" t="s">
        <v>83</v>
      </c>
      <c r="E367" t="s">
        <v>16</v>
      </c>
      <c r="F367" t="s">
        <v>17</v>
      </c>
      <c r="G367" t="s">
        <v>32</v>
      </c>
      <c r="H367" t="s">
        <v>19</v>
      </c>
      <c r="I367" t="s">
        <v>20</v>
      </c>
      <c r="J367" s="2">
        <v>300</v>
      </c>
    </row>
    <row r="368" spans="1:12" ht="19.95" customHeight="1">
      <c r="A368" t="s">
        <v>447</v>
      </c>
      <c r="B368" t="s">
        <v>404</v>
      </c>
      <c r="C368" t="s">
        <v>78</v>
      </c>
      <c r="D368" t="s">
        <v>163</v>
      </c>
      <c r="E368" t="s">
        <v>16</v>
      </c>
      <c r="F368" t="s">
        <v>17</v>
      </c>
      <c r="G368" t="s">
        <v>32</v>
      </c>
      <c r="H368" t="s">
        <v>19</v>
      </c>
      <c r="I368" t="s">
        <v>20</v>
      </c>
      <c r="J368" s="2">
        <v>300</v>
      </c>
    </row>
    <row r="369" spans="1:12" ht="19.95" customHeight="1">
      <c r="A369" t="s">
        <v>448</v>
      </c>
      <c r="B369" t="s">
        <v>404</v>
      </c>
      <c r="C369" t="s">
        <v>78</v>
      </c>
      <c r="D369" t="s">
        <v>93</v>
      </c>
      <c r="E369" t="s">
        <v>16</v>
      </c>
      <c r="F369" t="s">
        <v>17</v>
      </c>
      <c r="G369" t="s">
        <v>23</v>
      </c>
      <c r="H369" t="s">
        <v>19</v>
      </c>
      <c r="I369" t="s">
        <v>20</v>
      </c>
      <c r="J369" s="2">
        <v>120</v>
      </c>
    </row>
    <row r="370" spans="1:12" ht="19.95" customHeight="1">
      <c r="A370" t="s">
        <v>449</v>
      </c>
      <c r="B370" t="s">
        <v>404</v>
      </c>
      <c r="C370" t="s">
        <v>78</v>
      </c>
      <c r="D370" t="s">
        <v>83</v>
      </c>
      <c r="E370" t="s">
        <v>16</v>
      </c>
      <c r="F370" t="s">
        <v>17</v>
      </c>
      <c r="G370" t="s">
        <v>23</v>
      </c>
      <c r="H370" t="s">
        <v>19</v>
      </c>
      <c r="I370" t="s">
        <v>20</v>
      </c>
      <c r="J370" s="2">
        <v>120</v>
      </c>
    </row>
    <row r="371" spans="1:12" ht="19.95" customHeight="1">
      <c r="A371" t="s">
        <v>450</v>
      </c>
      <c r="B371" t="s">
        <v>404</v>
      </c>
      <c r="C371" t="s">
        <v>105</v>
      </c>
      <c r="D371" t="s">
        <v>191</v>
      </c>
      <c r="E371" t="s">
        <v>16</v>
      </c>
      <c r="F371" t="s">
        <v>17</v>
      </c>
      <c r="G371" t="s">
        <v>32</v>
      </c>
      <c r="H371" t="s">
        <v>24</v>
      </c>
      <c r="I371" t="s">
        <v>20</v>
      </c>
      <c r="J371" s="2">
        <v>300</v>
      </c>
    </row>
    <row r="372" spans="1:12" ht="19.95" customHeight="1">
      <c r="A372" t="s">
        <v>451</v>
      </c>
      <c r="B372" t="s">
        <v>404</v>
      </c>
      <c r="C372" t="s">
        <v>105</v>
      </c>
      <c r="D372" t="s">
        <v>187</v>
      </c>
      <c r="E372" t="s">
        <v>16</v>
      </c>
      <c r="F372" t="s">
        <v>17</v>
      </c>
      <c r="G372" t="s">
        <v>23</v>
      </c>
      <c r="H372" t="s">
        <v>19</v>
      </c>
      <c r="I372" t="s">
        <v>20</v>
      </c>
      <c r="J372" s="2">
        <v>120</v>
      </c>
    </row>
    <row r="373" spans="1:12" ht="19.95" customHeight="1">
      <c r="A373" t="s">
        <v>452</v>
      </c>
      <c r="B373" t="s">
        <v>404</v>
      </c>
      <c r="C373" t="s">
        <v>105</v>
      </c>
      <c r="D373" t="s">
        <v>120</v>
      </c>
      <c r="E373" t="s">
        <v>16</v>
      </c>
      <c r="F373" t="s">
        <v>17</v>
      </c>
      <c r="G373" t="s">
        <v>18</v>
      </c>
      <c r="H373" t="s">
        <v>19</v>
      </c>
      <c r="I373" t="s">
        <v>20</v>
      </c>
      <c r="J373" s="2">
        <v>200</v>
      </c>
    </row>
    <row r="374" spans="1:12" ht="19.95" customHeight="1">
      <c r="A374" t="s">
        <v>453</v>
      </c>
      <c r="B374" t="s">
        <v>404</v>
      </c>
      <c r="C374" t="s">
        <v>105</v>
      </c>
      <c r="D374" t="s">
        <v>112</v>
      </c>
      <c r="E374" t="s">
        <v>16</v>
      </c>
      <c r="F374" t="s">
        <v>17</v>
      </c>
      <c r="G374" t="s">
        <v>32</v>
      </c>
      <c r="H374" t="s">
        <v>19</v>
      </c>
      <c r="I374" t="s">
        <v>20</v>
      </c>
      <c r="J374" s="2">
        <v>300</v>
      </c>
    </row>
    <row r="375" spans="1:12" ht="19.95" customHeight="1">
      <c r="A375" t="s">
        <v>454</v>
      </c>
      <c r="B375" t="s">
        <v>404</v>
      </c>
      <c r="C375" t="s">
        <v>105</v>
      </c>
      <c r="D375" t="s">
        <v>110</v>
      </c>
      <c r="E375" t="s">
        <v>16</v>
      </c>
      <c r="F375" t="s">
        <v>17</v>
      </c>
      <c r="G375" t="s">
        <v>32</v>
      </c>
      <c r="H375" t="s">
        <v>24</v>
      </c>
      <c r="I375" t="s">
        <v>20</v>
      </c>
      <c r="J375" s="2">
        <v>300</v>
      </c>
    </row>
    <row r="376" spans="1:12" ht="19.95" customHeight="1">
      <c r="A376" t="s">
        <v>455</v>
      </c>
      <c r="B376" t="s">
        <v>404</v>
      </c>
      <c r="C376" t="s">
        <v>105</v>
      </c>
      <c r="D376" t="s">
        <v>116</v>
      </c>
      <c r="E376" t="s">
        <v>16</v>
      </c>
      <c r="F376" t="s">
        <v>17</v>
      </c>
      <c r="G376" t="s">
        <v>18</v>
      </c>
      <c r="H376" t="s">
        <v>19</v>
      </c>
      <c r="I376" t="s">
        <v>20</v>
      </c>
      <c r="J376" s="2">
        <v>200</v>
      </c>
    </row>
    <row r="377" spans="1:12" ht="19.95" customHeight="1">
      <c r="A377" t="s">
        <v>456</v>
      </c>
      <c r="B377" t="s">
        <v>404</v>
      </c>
      <c r="C377" t="s">
        <v>105</v>
      </c>
      <c r="D377" t="s">
        <v>110</v>
      </c>
      <c r="E377" t="s">
        <v>16</v>
      </c>
      <c r="F377" t="s">
        <v>17</v>
      </c>
      <c r="G377" t="s">
        <v>32</v>
      </c>
      <c r="H377" t="s">
        <v>19</v>
      </c>
      <c r="I377" t="s">
        <v>20</v>
      </c>
      <c r="J377" s="2">
        <v>300</v>
      </c>
    </row>
    <row r="378" spans="1:12" ht="19.95" customHeight="1">
      <c r="A378" t="s">
        <v>457</v>
      </c>
      <c r="B378" t="s">
        <v>404</v>
      </c>
      <c r="C378" t="s">
        <v>105</v>
      </c>
      <c r="D378" t="s">
        <v>116</v>
      </c>
      <c r="E378" t="s">
        <v>16</v>
      </c>
      <c r="F378" t="s">
        <v>17</v>
      </c>
      <c r="G378" t="s">
        <v>32</v>
      </c>
      <c r="H378" t="s">
        <v>19</v>
      </c>
      <c r="I378" t="s">
        <v>20</v>
      </c>
      <c r="J378" s="2">
        <v>225</v>
      </c>
      <c r="L378" t="s">
        <v>29</v>
      </c>
    </row>
    <row r="379" spans="1:12" ht="19.95" customHeight="1">
      <c r="A379" t="s">
        <v>458</v>
      </c>
      <c r="B379" t="s">
        <v>404</v>
      </c>
      <c r="C379" t="s">
        <v>105</v>
      </c>
      <c r="D379" t="s">
        <v>108</v>
      </c>
      <c r="E379" t="s">
        <v>16</v>
      </c>
      <c r="F379" t="s">
        <v>17</v>
      </c>
      <c r="G379" t="s">
        <v>23</v>
      </c>
      <c r="H379" t="s">
        <v>19</v>
      </c>
      <c r="I379" t="s">
        <v>74</v>
      </c>
      <c r="J379" s="2">
        <v>120</v>
      </c>
    </row>
    <row r="380" spans="1:12" ht="19.95" customHeight="1">
      <c r="A380" t="s">
        <v>459</v>
      </c>
      <c r="B380" t="s">
        <v>404</v>
      </c>
      <c r="C380" t="s">
        <v>105</v>
      </c>
      <c r="D380" t="s">
        <v>116</v>
      </c>
      <c r="E380" t="s">
        <v>16</v>
      </c>
      <c r="F380" t="s">
        <v>17</v>
      </c>
      <c r="G380" t="s">
        <v>18</v>
      </c>
      <c r="H380" t="s">
        <v>19</v>
      </c>
      <c r="I380" t="s">
        <v>20</v>
      </c>
      <c r="J380" s="2">
        <v>200</v>
      </c>
    </row>
    <row r="381" spans="1:12" ht="19.95" customHeight="1">
      <c r="A381" t="s">
        <v>460</v>
      </c>
      <c r="B381" t="s">
        <v>404</v>
      </c>
      <c r="C381" t="s">
        <v>105</v>
      </c>
      <c r="D381" t="s">
        <v>106</v>
      </c>
      <c r="E381" t="s">
        <v>16</v>
      </c>
      <c r="F381" t="s">
        <v>17</v>
      </c>
      <c r="G381" t="s">
        <v>32</v>
      </c>
      <c r="H381" t="s">
        <v>19</v>
      </c>
      <c r="I381" t="s">
        <v>20</v>
      </c>
      <c r="J381" s="2">
        <v>300</v>
      </c>
    </row>
    <row r="382" spans="1:12" ht="19.95" customHeight="1">
      <c r="A382" t="s">
        <v>461</v>
      </c>
      <c r="B382" t="s">
        <v>404</v>
      </c>
      <c r="C382" t="s">
        <v>105</v>
      </c>
      <c r="D382" t="s">
        <v>194</v>
      </c>
      <c r="E382" t="s">
        <v>16</v>
      </c>
      <c r="F382" t="s">
        <v>17</v>
      </c>
      <c r="G382" t="s">
        <v>32</v>
      </c>
      <c r="H382" t="s">
        <v>19</v>
      </c>
      <c r="I382" t="s">
        <v>20</v>
      </c>
      <c r="J382" s="2">
        <v>300</v>
      </c>
    </row>
    <row r="383" spans="1:12" ht="19.95" customHeight="1">
      <c r="A383" t="s">
        <v>462</v>
      </c>
      <c r="B383" t="s">
        <v>404</v>
      </c>
      <c r="C383" t="s">
        <v>105</v>
      </c>
      <c r="D383" t="s">
        <v>191</v>
      </c>
      <c r="E383" t="s">
        <v>16</v>
      </c>
      <c r="F383" t="s">
        <v>35</v>
      </c>
      <c r="G383" t="s">
        <v>23</v>
      </c>
      <c r="H383" t="s">
        <v>19</v>
      </c>
      <c r="I383" t="s">
        <v>20</v>
      </c>
      <c r="J383" s="2">
        <v>120</v>
      </c>
    </row>
    <row r="384" spans="1:12" ht="19.95" customHeight="1">
      <c r="A384" t="s">
        <v>463</v>
      </c>
      <c r="B384" t="s">
        <v>404</v>
      </c>
      <c r="C384" t="s">
        <v>47</v>
      </c>
      <c r="D384" t="s">
        <v>64</v>
      </c>
      <c r="E384" t="s">
        <v>402</v>
      </c>
      <c r="F384" t="s">
        <v>17</v>
      </c>
      <c r="G384" t="s">
        <v>23</v>
      </c>
      <c r="H384" t="s">
        <v>19</v>
      </c>
      <c r="I384" t="s">
        <v>20</v>
      </c>
      <c r="J384" s="2">
        <v>120</v>
      </c>
      <c r="K384" t="s">
        <v>297</v>
      </c>
    </row>
    <row r="385" spans="1:12" ht="19.95" customHeight="1">
      <c r="A385" t="s">
        <v>464</v>
      </c>
      <c r="B385" t="s">
        <v>404</v>
      </c>
      <c r="C385" t="s">
        <v>78</v>
      </c>
      <c r="D385" t="s">
        <v>85</v>
      </c>
      <c r="E385" t="s">
        <v>402</v>
      </c>
      <c r="F385" t="s">
        <v>17</v>
      </c>
      <c r="G385" t="s">
        <v>23</v>
      </c>
      <c r="H385" t="s">
        <v>24</v>
      </c>
      <c r="I385" t="s">
        <v>20</v>
      </c>
      <c r="J385" s="2">
        <v>120</v>
      </c>
      <c r="K385" t="s">
        <v>312</v>
      </c>
    </row>
    <row r="386" spans="1:12" ht="19.95" customHeight="1">
      <c r="A386" t="s">
        <v>465</v>
      </c>
      <c r="B386" t="s">
        <v>404</v>
      </c>
      <c r="C386" t="s">
        <v>14</v>
      </c>
      <c r="D386" t="s">
        <v>34</v>
      </c>
      <c r="E386" t="s">
        <v>402</v>
      </c>
      <c r="F386" t="s">
        <v>17</v>
      </c>
      <c r="G386" t="s">
        <v>23</v>
      </c>
      <c r="H386" t="s">
        <v>19</v>
      </c>
      <c r="I386" t="s">
        <v>20</v>
      </c>
      <c r="J386" s="2">
        <v>120</v>
      </c>
      <c r="K386" t="s">
        <v>352</v>
      </c>
    </row>
    <row r="387" spans="1:12" ht="19.95" customHeight="1">
      <c r="A387" t="s">
        <v>466</v>
      </c>
      <c r="B387" t="s">
        <v>404</v>
      </c>
      <c r="C387" t="s">
        <v>47</v>
      </c>
      <c r="D387" t="s">
        <v>59</v>
      </c>
      <c r="E387" t="s">
        <v>402</v>
      </c>
      <c r="F387" t="s">
        <v>17</v>
      </c>
      <c r="G387" t="s">
        <v>23</v>
      </c>
      <c r="H387" t="s">
        <v>19</v>
      </c>
      <c r="I387" t="s">
        <v>20</v>
      </c>
      <c r="J387" s="2">
        <v>120</v>
      </c>
      <c r="K387" t="s">
        <v>360</v>
      </c>
    </row>
    <row r="388" spans="1:12" ht="19.95" customHeight="1">
      <c r="A388" t="s">
        <v>467</v>
      </c>
      <c r="B388" t="s">
        <v>404</v>
      </c>
      <c r="C388" t="s">
        <v>78</v>
      </c>
      <c r="D388" t="s">
        <v>161</v>
      </c>
      <c r="E388" t="s">
        <v>402</v>
      </c>
      <c r="F388" t="s">
        <v>17</v>
      </c>
      <c r="G388" t="s">
        <v>18</v>
      </c>
      <c r="H388" t="s">
        <v>24</v>
      </c>
      <c r="I388" t="s">
        <v>20</v>
      </c>
      <c r="J388" s="2">
        <v>200</v>
      </c>
      <c r="K388" t="s">
        <v>252</v>
      </c>
    </row>
    <row r="389" spans="1:12" ht="19.95" customHeight="1">
      <c r="A389" t="s">
        <v>468</v>
      </c>
      <c r="B389" t="s">
        <v>469</v>
      </c>
      <c r="C389" t="s">
        <v>14</v>
      </c>
      <c r="D389" t="s">
        <v>42</v>
      </c>
      <c r="E389" t="s">
        <v>16</v>
      </c>
      <c r="F389" t="s">
        <v>17</v>
      </c>
      <c r="G389" t="s">
        <v>32</v>
      </c>
      <c r="H389" t="s">
        <v>19</v>
      </c>
      <c r="I389" t="s">
        <v>20</v>
      </c>
      <c r="J389" s="2">
        <v>300</v>
      </c>
    </row>
    <row r="390" spans="1:12" ht="19.95" customHeight="1">
      <c r="A390" t="s">
        <v>470</v>
      </c>
      <c r="B390" t="s">
        <v>469</v>
      </c>
      <c r="C390" t="s">
        <v>14</v>
      </c>
      <c r="D390" t="s">
        <v>137</v>
      </c>
      <c r="E390" t="s">
        <v>16</v>
      </c>
      <c r="F390" t="s">
        <v>17</v>
      </c>
      <c r="G390" t="s">
        <v>32</v>
      </c>
      <c r="H390" t="s">
        <v>19</v>
      </c>
      <c r="I390" t="s">
        <v>20</v>
      </c>
      <c r="J390" s="2">
        <v>300</v>
      </c>
    </row>
    <row r="391" spans="1:12" ht="19.95" customHeight="1">
      <c r="A391" t="s">
        <v>471</v>
      </c>
      <c r="B391" t="s">
        <v>469</v>
      </c>
      <c r="C391" t="s">
        <v>14</v>
      </c>
      <c r="D391" t="s">
        <v>37</v>
      </c>
      <c r="E391" t="s">
        <v>16</v>
      </c>
      <c r="F391" t="s">
        <v>35</v>
      </c>
      <c r="G391" t="s">
        <v>32</v>
      </c>
      <c r="H391" t="s">
        <v>19</v>
      </c>
      <c r="I391" t="s">
        <v>20</v>
      </c>
      <c r="J391" s="2">
        <v>300</v>
      </c>
    </row>
    <row r="392" spans="1:12" ht="19.95" customHeight="1">
      <c r="A392" t="s">
        <v>472</v>
      </c>
      <c r="B392" t="s">
        <v>469</v>
      </c>
      <c r="C392" t="s">
        <v>14</v>
      </c>
      <c r="D392" t="s">
        <v>15</v>
      </c>
      <c r="E392" t="s">
        <v>16</v>
      </c>
      <c r="F392" t="s">
        <v>17</v>
      </c>
      <c r="G392" t="s">
        <v>18</v>
      </c>
      <c r="H392" t="s">
        <v>19</v>
      </c>
      <c r="I392" t="s">
        <v>20</v>
      </c>
      <c r="J392" s="2">
        <v>200</v>
      </c>
    </row>
    <row r="393" spans="1:12" ht="19.95" customHeight="1">
      <c r="A393" t="s">
        <v>473</v>
      </c>
      <c r="B393" t="s">
        <v>469</v>
      </c>
      <c r="C393" t="s">
        <v>14</v>
      </c>
      <c r="D393" t="s">
        <v>131</v>
      </c>
      <c r="E393" t="s">
        <v>16</v>
      </c>
      <c r="F393" t="s">
        <v>17</v>
      </c>
      <c r="G393" t="s">
        <v>32</v>
      </c>
      <c r="H393" t="s">
        <v>19</v>
      </c>
      <c r="I393" t="s">
        <v>20</v>
      </c>
      <c r="J393" s="2">
        <v>300</v>
      </c>
    </row>
    <row r="394" spans="1:12" ht="19.95" customHeight="1">
      <c r="A394" t="s">
        <v>474</v>
      </c>
      <c r="B394" t="s">
        <v>469</v>
      </c>
      <c r="C394" t="s">
        <v>14</v>
      </c>
      <c r="D394" t="s">
        <v>137</v>
      </c>
      <c r="E394" t="s">
        <v>16</v>
      </c>
      <c r="F394" t="s">
        <v>17</v>
      </c>
      <c r="G394" t="s">
        <v>32</v>
      </c>
      <c r="H394" t="s">
        <v>19</v>
      </c>
      <c r="I394" t="s">
        <v>20</v>
      </c>
      <c r="J394" s="2">
        <v>300</v>
      </c>
    </row>
    <row r="395" spans="1:12" ht="19.95" customHeight="1">
      <c r="A395" t="s">
        <v>475</v>
      </c>
      <c r="B395" t="s">
        <v>469</v>
      </c>
      <c r="C395" t="s">
        <v>14</v>
      </c>
      <c r="D395" t="s">
        <v>137</v>
      </c>
      <c r="E395" t="s">
        <v>16</v>
      </c>
      <c r="F395" t="s">
        <v>17</v>
      </c>
      <c r="G395" t="s">
        <v>23</v>
      </c>
      <c r="H395" t="s">
        <v>19</v>
      </c>
      <c r="I395" t="s">
        <v>20</v>
      </c>
      <c r="J395" s="2">
        <v>120</v>
      </c>
    </row>
    <row r="396" spans="1:12" ht="19.95" customHeight="1">
      <c r="A396" t="s">
        <v>476</v>
      </c>
      <c r="B396" t="s">
        <v>469</v>
      </c>
      <c r="C396" t="s">
        <v>14</v>
      </c>
      <c r="D396" t="s">
        <v>42</v>
      </c>
      <c r="E396" t="s">
        <v>16</v>
      </c>
      <c r="F396" t="s">
        <v>17</v>
      </c>
      <c r="G396" t="s">
        <v>32</v>
      </c>
      <c r="H396" t="s">
        <v>19</v>
      </c>
      <c r="I396" t="s">
        <v>20</v>
      </c>
      <c r="J396" s="2">
        <v>300</v>
      </c>
    </row>
    <row r="397" spans="1:12" ht="19.95" customHeight="1">
      <c r="A397" t="s">
        <v>477</v>
      </c>
      <c r="B397" t="s">
        <v>469</v>
      </c>
      <c r="C397" t="s">
        <v>14</v>
      </c>
      <c r="D397" t="s">
        <v>28</v>
      </c>
      <c r="E397" t="s">
        <v>16</v>
      </c>
      <c r="F397" t="s">
        <v>17</v>
      </c>
      <c r="G397" t="s">
        <v>18</v>
      </c>
      <c r="H397" t="s">
        <v>19</v>
      </c>
      <c r="I397" t="s">
        <v>20</v>
      </c>
      <c r="J397" s="2">
        <v>200</v>
      </c>
    </row>
    <row r="398" spans="1:12" ht="19.95" customHeight="1">
      <c r="A398" t="s">
        <v>478</v>
      </c>
      <c r="B398" t="s">
        <v>469</v>
      </c>
      <c r="C398" t="s">
        <v>14</v>
      </c>
      <c r="D398" t="s">
        <v>22</v>
      </c>
      <c r="E398" t="s">
        <v>16</v>
      </c>
      <c r="F398" t="s">
        <v>17</v>
      </c>
      <c r="G398" t="s">
        <v>18</v>
      </c>
      <c r="H398" t="s">
        <v>19</v>
      </c>
      <c r="I398" t="s">
        <v>20</v>
      </c>
      <c r="J398" s="2">
        <v>200</v>
      </c>
    </row>
    <row r="399" spans="1:12" ht="19.95" customHeight="1">
      <c r="A399" t="s">
        <v>479</v>
      </c>
      <c r="B399" t="s">
        <v>469</v>
      </c>
      <c r="C399" t="s">
        <v>14</v>
      </c>
      <c r="D399" t="s">
        <v>26</v>
      </c>
      <c r="E399" t="s">
        <v>16</v>
      </c>
      <c r="F399" t="s">
        <v>35</v>
      </c>
      <c r="G399" t="s">
        <v>18</v>
      </c>
      <c r="H399" t="s">
        <v>19</v>
      </c>
      <c r="I399" t="s">
        <v>20</v>
      </c>
      <c r="J399" s="2">
        <v>170</v>
      </c>
      <c r="L399" t="s">
        <v>29</v>
      </c>
    </row>
    <row r="400" spans="1:12" ht="19.95" customHeight="1">
      <c r="A400" t="s">
        <v>480</v>
      </c>
      <c r="B400" t="s">
        <v>469</v>
      </c>
      <c r="C400" t="s">
        <v>14</v>
      </c>
      <c r="D400" t="s">
        <v>210</v>
      </c>
      <c r="E400" t="s">
        <v>16</v>
      </c>
      <c r="F400" t="s">
        <v>17</v>
      </c>
      <c r="G400" t="s">
        <v>18</v>
      </c>
      <c r="H400" t="s">
        <v>19</v>
      </c>
      <c r="I400" t="s">
        <v>20</v>
      </c>
      <c r="J400" s="2">
        <v>170</v>
      </c>
      <c r="L400" t="s">
        <v>29</v>
      </c>
    </row>
    <row r="401" spans="1:12" ht="19.95" customHeight="1">
      <c r="A401" t="s">
        <v>481</v>
      </c>
      <c r="B401" t="s">
        <v>469</v>
      </c>
      <c r="C401" t="s">
        <v>14</v>
      </c>
      <c r="D401" t="s">
        <v>131</v>
      </c>
      <c r="E401" t="s">
        <v>16</v>
      </c>
      <c r="F401" t="s">
        <v>17</v>
      </c>
      <c r="G401" t="s">
        <v>32</v>
      </c>
      <c r="H401" t="s">
        <v>19</v>
      </c>
      <c r="I401" t="s">
        <v>20</v>
      </c>
      <c r="J401" s="2">
        <v>300</v>
      </c>
    </row>
    <row r="402" spans="1:12" ht="19.95" customHeight="1">
      <c r="A402" t="s">
        <v>482</v>
      </c>
      <c r="B402" t="s">
        <v>469</v>
      </c>
      <c r="C402" t="s">
        <v>14</v>
      </c>
      <c r="D402" t="s">
        <v>22</v>
      </c>
      <c r="E402" t="s">
        <v>16</v>
      </c>
      <c r="F402" t="s">
        <v>35</v>
      </c>
      <c r="G402" t="s">
        <v>18</v>
      </c>
      <c r="H402" t="s">
        <v>19</v>
      </c>
      <c r="I402" t="s">
        <v>20</v>
      </c>
      <c r="J402" s="2">
        <v>200</v>
      </c>
    </row>
    <row r="403" spans="1:12" ht="19.95" customHeight="1">
      <c r="A403" t="s">
        <v>483</v>
      </c>
      <c r="B403" t="s">
        <v>469</v>
      </c>
      <c r="C403" t="s">
        <v>14</v>
      </c>
      <c r="D403" t="s">
        <v>31</v>
      </c>
      <c r="E403" t="s">
        <v>16</v>
      </c>
      <c r="F403" t="s">
        <v>17</v>
      </c>
      <c r="G403" t="s">
        <v>23</v>
      </c>
      <c r="H403" t="s">
        <v>19</v>
      </c>
      <c r="I403" t="s">
        <v>20</v>
      </c>
      <c r="J403" s="2">
        <v>120</v>
      </c>
    </row>
    <row r="404" spans="1:12" ht="19.95" customHeight="1">
      <c r="A404" t="s">
        <v>484</v>
      </c>
      <c r="B404" t="s">
        <v>469</v>
      </c>
      <c r="C404" t="s">
        <v>14</v>
      </c>
      <c r="D404" t="s">
        <v>137</v>
      </c>
      <c r="E404" t="s">
        <v>16</v>
      </c>
      <c r="F404" t="s">
        <v>17</v>
      </c>
      <c r="G404" t="s">
        <v>18</v>
      </c>
      <c r="H404" t="s">
        <v>19</v>
      </c>
      <c r="I404" t="s">
        <v>20</v>
      </c>
      <c r="J404" s="2">
        <v>200</v>
      </c>
    </row>
    <row r="405" spans="1:12" ht="19.95" customHeight="1">
      <c r="A405" t="s">
        <v>485</v>
      </c>
      <c r="B405" t="s">
        <v>469</v>
      </c>
      <c r="C405" t="s">
        <v>47</v>
      </c>
      <c r="D405" t="s">
        <v>50</v>
      </c>
      <c r="E405" t="s">
        <v>16</v>
      </c>
      <c r="F405" t="s">
        <v>17</v>
      </c>
      <c r="G405" t="s">
        <v>32</v>
      </c>
      <c r="H405" t="s">
        <v>19</v>
      </c>
      <c r="I405" t="s">
        <v>20</v>
      </c>
      <c r="J405" s="2">
        <v>300</v>
      </c>
    </row>
    <row r="406" spans="1:12" ht="19.95" customHeight="1">
      <c r="A406" t="s">
        <v>486</v>
      </c>
      <c r="B406" t="s">
        <v>469</v>
      </c>
      <c r="C406" t="s">
        <v>47</v>
      </c>
      <c r="D406" t="s">
        <v>73</v>
      </c>
      <c r="E406" t="s">
        <v>16</v>
      </c>
      <c r="F406" t="s">
        <v>17</v>
      </c>
      <c r="G406" t="s">
        <v>18</v>
      </c>
      <c r="H406" t="s">
        <v>24</v>
      </c>
      <c r="I406" t="s">
        <v>20</v>
      </c>
      <c r="J406" s="2">
        <v>200</v>
      </c>
    </row>
    <row r="407" spans="1:12" ht="19.95" customHeight="1">
      <c r="A407" t="s">
        <v>487</v>
      </c>
      <c r="B407" t="s">
        <v>469</v>
      </c>
      <c r="C407" t="s">
        <v>47</v>
      </c>
      <c r="D407" t="s">
        <v>59</v>
      </c>
      <c r="E407" t="s">
        <v>16</v>
      </c>
      <c r="F407" t="s">
        <v>17</v>
      </c>
      <c r="G407" t="s">
        <v>23</v>
      </c>
      <c r="H407" t="s">
        <v>19</v>
      </c>
      <c r="I407" t="s">
        <v>20</v>
      </c>
      <c r="J407" s="2">
        <v>120</v>
      </c>
    </row>
    <row r="408" spans="1:12" ht="19.95" customHeight="1">
      <c r="A408" t="s">
        <v>488</v>
      </c>
      <c r="B408" t="s">
        <v>469</v>
      </c>
      <c r="C408" t="s">
        <v>47</v>
      </c>
      <c r="D408" t="s">
        <v>71</v>
      </c>
      <c r="E408" t="s">
        <v>16</v>
      </c>
      <c r="F408" t="s">
        <v>17</v>
      </c>
      <c r="G408" t="s">
        <v>32</v>
      </c>
      <c r="H408" t="s">
        <v>19</v>
      </c>
      <c r="I408" t="s">
        <v>20</v>
      </c>
      <c r="J408" s="2">
        <v>255</v>
      </c>
      <c r="L408" t="s">
        <v>29</v>
      </c>
    </row>
    <row r="409" spans="1:12" ht="19.95" customHeight="1">
      <c r="A409" t="s">
        <v>489</v>
      </c>
      <c r="B409" t="s">
        <v>469</v>
      </c>
      <c r="C409" t="s">
        <v>47</v>
      </c>
      <c r="D409" t="s">
        <v>148</v>
      </c>
      <c r="E409" t="s">
        <v>16</v>
      </c>
      <c r="F409" t="s">
        <v>17</v>
      </c>
      <c r="G409" t="s">
        <v>32</v>
      </c>
      <c r="H409" t="s">
        <v>24</v>
      </c>
      <c r="I409" t="s">
        <v>20</v>
      </c>
      <c r="J409" s="2">
        <v>300</v>
      </c>
    </row>
    <row r="410" spans="1:12" ht="19.95" customHeight="1">
      <c r="A410" t="s">
        <v>490</v>
      </c>
      <c r="B410" t="s">
        <v>469</v>
      </c>
      <c r="C410" t="s">
        <v>47</v>
      </c>
      <c r="D410" t="s">
        <v>66</v>
      </c>
      <c r="E410" t="s">
        <v>16</v>
      </c>
      <c r="F410" t="s">
        <v>17</v>
      </c>
      <c r="G410" t="s">
        <v>23</v>
      </c>
      <c r="H410" t="s">
        <v>24</v>
      </c>
      <c r="I410" t="s">
        <v>20</v>
      </c>
      <c r="J410" s="2">
        <v>120</v>
      </c>
    </row>
    <row r="411" spans="1:12" ht="19.95" customHeight="1">
      <c r="A411" t="s">
        <v>491</v>
      </c>
      <c r="B411" t="s">
        <v>469</v>
      </c>
      <c r="C411" t="s">
        <v>47</v>
      </c>
      <c r="D411" t="s">
        <v>64</v>
      </c>
      <c r="E411" t="s">
        <v>16</v>
      </c>
      <c r="F411" t="s">
        <v>17</v>
      </c>
      <c r="G411" t="s">
        <v>32</v>
      </c>
      <c r="H411" t="s">
        <v>19</v>
      </c>
      <c r="I411" t="s">
        <v>20</v>
      </c>
      <c r="J411" s="2">
        <v>300</v>
      </c>
    </row>
    <row r="412" spans="1:12" ht="19.95" customHeight="1">
      <c r="A412" t="s">
        <v>492</v>
      </c>
      <c r="B412" t="s">
        <v>469</v>
      </c>
      <c r="C412" t="s">
        <v>47</v>
      </c>
      <c r="D412" t="s">
        <v>48</v>
      </c>
      <c r="E412" t="s">
        <v>16</v>
      </c>
      <c r="F412" t="s">
        <v>17</v>
      </c>
      <c r="G412" t="s">
        <v>23</v>
      </c>
      <c r="H412" t="s">
        <v>19</v>
      </c>
      <c r="I412" t="s">
        <v>20</v>
      </c>
      <c r="J412" s="2">
        <v>120</v>
      </c>
    </row>
    <row r="413" spans="1:12" ht="19.95" customHeight="1">
      <c r="A413" t="s">
        <v>493</v>
      </c>
      <c r="B413" t="s">
        <v>469</v>
      </c>
      <c r="C413" t="s">
        <v>47</v>
      </c>
      <c r="D413" t="s">
        <v>62</v>
      </c>
      <c r="E413" t="s">
        <v>16</v>
      </c>
      <c r="F413" t="s">
        <v>17</v>
      </c>
      <c r="G413" t="s">
        <v>32</v>
      </c>
      <c r="H413" t="s">
        <v>19</v>
      </c>
      <c r="I413" t="s">
        <v>20</v>
      </c>
      <c r="J413" s="2">
        <v>300</v>
      </c>
    </row>
    <row r="414" spans="1:12" ht="19.95" customHeight="1">
      <c r="A414" t="s">
        <v>494</v>
      </c>
      <c r="B414" t="s">
        <v>469</v>
      </c>
      <c r="C414" t="s">
        <v>47</v>
      </c>
      <c r="D414" t="s">
        <v>52</v>
      </c>
      <c r="E414" t="s">
        <v>16</v>
      </c>
      <c r="F414" t="s">
        <v>17</v>
      </c>
      <c r="G414" t="s">
        <v>32</v>
      </c>
      <c r="H414" t="s">
        <v>19</v>
      </c>
      <c r="I414" t="s">
        <v>20</v>
      </c>
      <c r="J414" s="2">
        <v>300</v>
      </c>
    </row>
    <row r="415" spans="1:12" ht="19.95" customHeight="1">
      <c r="A415" t="s">
        <v>495</v>
      </c>
      <c r="B415" t="s">
        <v>469</v>
      </c>
      <c r="C415" t="s">
        <v>47</v>
      </c>
      <c r="D415" t="s">
        <v>66</v>
      </c>
      <c r="E415" t="s">
        <v>16</v>
      </c>
      <c r="F415" t="s">
        <v>17</v>
      </c>
      <c r="G415" t="s">
        <v>32</v>
      </c>
      <c r="H415" t="s">
        <v>19</v>
      </c>
      <c r="I415" t="s">
        <v>20</v>
      </c>
      <c r="J415" s="2">
        <v>300</v>
      </c>
    </row>
    <row r="416" spans="1:12" ht="19.95" customHeight="1">
      <c r="A416" t="s">
        <v>496</v>
      </c>
      <c r="B416" t="s">
        <v>469</v>
      </c>
      <c r="C416" t="s">
        <v>47</v>
      </c>
      <c r="D416" t="s">
        <v>73</v>
      </c>
      <c r="E416" t="s">
        <v>16</v>
      </c>
      <c r="F416" t="s">
        <v>17</v>
      </c>
      <c r="G416" t="s">
        <v>32</v>
      </c>
      <c r="H416" t="s">
        <v>19</v>
      </c>
      <c r="I416" t="s">
        <v>20</v>
      </c>
      <c r="J416" s="2">
        <v>300</v>
      </c>
    </row>
    <row r="417" spans="1:12" ht="19.95" customHeight="1">
      <c r="A417" t="s">
        <v>497</v>
      </c>
      <c r="B417" t="s">
        <v>469</v>
      </c>
      <c r="C417" t="s">
        <v>47</v>
      </c>
      <c r="D417" t="s">
        <v>50</v>
      </c>
      <c r="E417" t="s">
        <v>16</v>
      </c>
      <c r="F417" t="s">
        <v>17</v>
      </c>
      <c r="G417" t="s">
        <v>32</v>
      </c>
      <c r="H417" t="s">
        <v>19</v>
      </c>
      <c r="I417" t="s">
        <v>20</v>
      </c>
      <c r="J417" s="2">
        <v>300</v>
      </c>
    </row>
    <row r="418" spans="1:12" ht="19.95" customHeight="1">
      <c r="A418" t="s">
        <v>498</v>
      </c>
      <c r="B418" t="s">
        <v>469</v>
      </c>
      <c r="C418" t="s">
        <v>47</v>
      </c>
      <c r="D418" t="s">
        <v>148</v>
      </c>
      <c r="E418" t="s">
        <v>16</v>
      </c>
      <c r="F418" t="s">
        <v>17</v>
      </c>
      <c r="G418" t="s">
        <v>18</v>
      </c>
      <c r="H418" t="s">
        <v>19</v>
      </c>
      <c r="I418" t="s">
        <v>20</v>
      </c>
      <c r="J418" s="2">
        <v>200</v>
      </c>
    </row>
    <row r="419" spans="1:12" ht="19.95" customHeight="1">
      <c r="A419" t="s">
        <v>499</v>
      </c>
      <c r="B419" t="s">
        <v>469</v>
      </c>
      <c r="C419" t="s">
        <v>78</v>
      </c>
      <c r="D419" t="s">
        <v>163</v>
      </c>
      <c r="E419" t="s">
        <v>16</v>
      </c>
      <c r="F419" t="s">
        <v>17</v>
      </c>
      <c r="G419" t="s">
        <v>18</v>
      </c>
      <c r="H419" t="s">
        <v>19</v>
      </c>
      <c r="I419" t="s">
        <v>74</v>
      </c>
      <c r="J419" s="2">
        <v>200</v>
      </c>
    </row>
    <row r="420" spans="1:12" ht="19.95" customHeight="1">
      <c r="A420" t="s">
        <v>500</v>
      </c>
      <c r="B420" t="s">
        <v>469</v>
      </c>
      <c r="C420" t="s">
        <v>78</v>
      </c>
      <c r="D420" t="s">
        <v>102</v>
      </c>
      <c r="E420" t="s">
        <v>16</v>
      </c>
      <c r="F420" t="s">
        <v>17</v>
      </c>
      <c r="G420" t="s">
        <v>23</v>
      </c>
      <c r="H420" t="s">
        <v>19</v>
      </c>
      <c r="I420" t="s">
        <v>20</v>
      </c>
      <c r="J420" s="2">
        <v>90</v>
      </c>
      <c r="L420" t="s">
        <v>29</v>
      </c>
    </row>
    <row r="421" spans="1:12" ht="19.95" customHeight="1">
      <c r="A421" t="s">
        <v>501</v>
      </c>
      <c r="B421" t="s">
        <v>469</v>
      </c>
      <c r="C421" t="s">
        <v>78</v>
      </c>
      <c r="D421" t="s">
        <v>81</v>
      </c>
      <c r="E421" t="s">
        <v>16</v>
      </c>
      <c r="F421" t="s">
        <v>17</v>
      </c>
      <c r="G421" t="s">
        <v>18</v>
      </c>
      <c r="H421" t="s">
        <v>19</v>
      </c>
      <c r="I421" t="s">
        <v>20</v>
      </c>
      <c r="J421" s="2">
        <v>200</v>
      </c>
    </row>
    <row r="422" spans="1:12" ht="19.95" customHeight="1">
      <c r="A422" t="s">
        <v>502</v>
      </c>
      <c r="B422" t="s">
        <v>469</v>
      </c>
      <c r="C422" t="s">
        <v>78</v>
      </c>
      <c r="D422" t="s">
        <v>97</v>
      </c>
      <c r="E422" t="s">
        <v>16</v>
      </c>
      <c r="F422" t="s">
        <v>35</v>
      </c>
      <c r="G422" t="s">
        <v>18</v>
      </c>
      <c r="H422" t="s">
        <v>19</v>
      </c>
      <c r="I422" t="s">
        <v>20</v>
      </c>
      <c r="J422" s="2">
        <v>200</v>
      </c>
    </row>
    <row r="423" spans="1:12" ht="19.95" customHeight="1">
      <c r="A423" t="s">
        <v>503</v>
      </c>
      <c r="B423" t="s">
        <v>469</v>
      </c>
      <c r="C423" t="s">
        <v>78</v>
      </c>
      <c r="D423" t="s">
        <v>79</v>
      </c>
      <c r="E423" t="s">
        <v>16</v>
      </c>
      <c r="F423" t="s">
        <v>35</v>
      </c>
      <c r="G423" t="s">
        <v>18</v>
      </c>
      <c r="H423" t="s">
        <v>19</v>
      </c>
      <c r="I423" t="s">
        <v>20</v>
      </c>
      <c r="J423" s="2">
        <v>200</v>
      </c>
    </row>
    <row r="424" spans="1:12" ht="19.95" customHeight="1">
      <c r="A424" t="s">
        <v>504</v>
      </c>
      <c r="B424" t="s">
        <v>469</v>
      </c>
      <c r="C424" t="s">
        <v>78</v>
      </c>
      <c r="D424" t="s">
        <v>79</v>
      </c>
      <c r="E424" t="s">
        <v>16</v>
      </c>
      <c r="F424" t="s">
        <v>35</v>
      </c>
      <c r="G424" t="s">
        <v>23</v>
      </c>
      <c r="H424" t="s">
        <v>19</v>
      </c>
      <c r="I424" t="s">
        <v>20</v>
      </c>
      <c r="J424" s="2">
        <v>120</v>
      </c>
    </row>
    <row r="425" spans="1:12" ht="19.95" customHeight="1">
      <c r="A425" t="s">
        <v>505</v>
      </c>
      <c r="B425" t="s">
        <v>469</v>
      </c>
      <c r="C425" t="s">
        <v>78</v>
      </c>
      <c r="D425" t="s">
        <v>161</v>
      </c>
      <c r="E425" t="s">
        <v>16</v>
      </c>
      <c r="F425" t="s">
        <v>17</v>
      </c>
      <c r="G425" t="s">
        <v>32</v>
      </c>
      <c r="H425" t="s">
        <v>19</v>
      </c>
      <c r="I425" t="s">
        <v>20</v>
      </c>
      <c r="J425" s="2">
        <v>300</v>
      </c>
    </row>
    <row r="426" spans="1:12" ht="19.95" customHeight="1">
      <c r="A426" t="s">
        <v>506</v>
      </c>
      <c r="B426" t="s">
        <v>469</v>
      </c>
      <c r="C426" t="s">
        <v>78</v>
      </c>
      <c r="D426" t="s">
        <v>93</v>
      </c>
      <c r="E426" t="s">
        <v>16</v>
      </c>
      <c r="F426" t="s">
        <v>17</v>
      </c>
      <c r="G426" t="s">
        <v>18</v>
      </c>
      <c r="H426" t="s">
        <v>19</v>
      </c>
      <c r="I426" t="s">
        <v>20</v>
      </c>
      <c r="J426" s="2">
        <v>150</v>
      </c>
      <c r="L426" t="s">
        <v>29</v>
      </c>
    </row>
    <row r="427" spans="1:12" ht="19.95" customHeight="1">
      <c r="A427" t="s">
        <v>507</v>
      </c>
      <c r="B427" t="s">
        <v>469</v>
      </c>
      <c r="C427" t="s">
        <v>78</v>
      </c>
      <c r="D427" t="s">
        <v>242</v>
      </c>
      <c r="E427" t="s">
        <v>16</v>
      </c>
      <c r="F427" t="s">
        <v>17</v>
      </c>
      <c r="G427" t="s">
        <v>18</v>
      </c>
      <c r="H427" t="s">
        <v>19</v>
      </c>
      <c r="I427" t="s">
        <v>20</v>
      </c>
      <c r="J427" s="2">
        <v>200</v>
      </c>
    </row>
    <row r="428" spans="1:12" ht="19.95" customHeight="1">
      <c r="A428" t="s">
        <v>508</v>
      </c>
      <c r="B428" t="s">
        <v>469</v>
      </c>
      <c r="C428" t="s">
        <v>78</v>
      </c>
      <c r="D428" t="s">
        <v>81</v>
      </c>
      <c r="E428" t="s">
        <v>16</v>
      </c>
      <c r="F428" t="s">
        <v>17</v>
      </c>
      <c r="G428" t="s">
        <v>18</v>
      </c>
      <c r="H428" t="s">
        <v>19</v>
      </c>
      <c r="I428" t="s">
        <v>20</v>
      </c>
      <c r="J428" s="2">
        <v>200</v>
      </c>
    </row>
    <row r="429" spans="1:12" ht="19.95" customHeight="1">
      <c r="A429" t="s">
        <v>509</v>
      </c>
      <c r="B429" t="s">
        <v>469</v>
      </c>
      <c r="C429" t="s">
        <v>78</v>
      </c>
      <c r="D429" t="s">
        <v>89</v>
      </c>
      <c r="E429" t="s">
        <v>16</v>
      </c>
      <c r="F429" t="s">
        <v>35</v>
      </c>
      <c r="G429" t="s">
        <v>23</v>
      </c>
      <c r="H429" t="s">
        <v>19</v>
      </c>
      <c r="I429" t="s">
        <v>20</v>
      </c>
      <c r="J429" s="2">
        <v>120</v>
      </c>
    </row>
    <row r="430" spans="1:12" ht="19.95" customHeight="1">
      <c r="A430" t="s">
        <v>510</v>
      </c>
      <c r="B430" t="s">
        <v>469</v>
      </c>
      <c r="C430" t="s">
        <v>78</v>
      </c>
      <c r="D430" t="s">
        <v>97</v>
      </c>
      <c r="E430" t="s">
        <v>16</v>
      </c>
      <c r="F430" t="s">
        <v>17</v>
      </c>
      <c r="G430" t="s">
        <v>18</v>
      </c>
      <c r="H430" t="s">
        <v>19</v>
      </c>
      <c r="I430" t="s">
        <v>20</v>
      </c>
      <c r="J430" s="2">
        <v>200</v>
      </c>
    </row>
    <row r="431" spans="1:12" ht="19.95" customHeight="1">
      <c r="A431" t="s">
        <v>511</v>
      </c>
      <c r="B431" t="s">
        <v>469</v>
      </c>
      <c r="C431" t="s">
        <v>78</v>
      </c>
      <c r="D431" t="s">
        <v>163</v>
      </c>
      <c r="E431" t="s">
        <v>16</v>
      </c>
      <c r="F431" t="s">
        <v>35</v>
      </c>
      <c r="G431" t="s">
        <v>32</v>
      </c>
      <c r="H431" t="s">
        <v>19</v>
      </c>
      <c r="I431" t="s">
        <v>53</v>
      </c>
      <c r="J431" s="2">
        <v>300</v>
      </c>
    </row>
    <row r="432" spans="1:12" ht="19.95" customHeight="1">
      <c r="A432" t="s">
        <v>512</v>
      </c>
      <c r="B432" t="s">
        <v>469</v>
      </c>
      <c r="C432" t="s">
        <v>78</v>
      </c>
      <c r="D432" t="s">
        <v>83</v>
      </c>
      <c r="E432" t="s">
        <v>16</v>
      </c>
      <c r="F432" t="s">
        <v>17</v>
      </c>
      <c r="G432" t="s">
        <v>18</v>
      </c>
      <c r="H432" t="s">
        <v>19</v>
      </c>
      <c r="I432" t="s">
        <v>20</v>
      </c>
      <c r="J432" s="2">
        <v>200</v>
      </c>
    </row>
    <row r="433" spans="1:12" ht="19.95" customHeight="1">
      <c r="A433" t="s">
        <v>513</v>
      </c>
      <c r="B433" t="s">
        <v>469</v>
      </c>
      <c r="C433" t="s">
        <v>78</v>
      </c>
      <c r="D433" t="s">
        <v>242</v>
      </c>
      <c r="E433" t="s">
        <v>16</v>
      </c>
      <c r="F433" t="s">
        <v>17</v>
      </c>
      <c r="G433" t="s">
        <v>18</v>
      </c>
      <c r="H433" t="s">
        <v>19</v>
      </c>
      <c r="I433" t="s">
        <v>20</v>
      </c>
      <c r="J433" s="2">
        <v>200</v>
      </c>
    </row>
    <row r="434" spans="1:12" ht="19.95" customHeight="1">
      <c r="A434" t="s">
        <v>514</v>
      </c>
      <c r="B434" t="s">
        <v>469</v>
      </c>
      <c r="C434" t="s">
        <v>78</v>
      </c>
      <c r="D434" t="s">
        <v>93</v>
      </c>
      <c r="E434" t="s">
        <v>16</v>
      </c>
      <c r="F434" t="s">
        <v>17</v>
      </c>
      <c r="G434" t="s">
        <v>23</v>
      </c>
      <c r="H434" t="s">
        <v>19</v>
      </c>
      <c r="I434" t="s">
        <v>20</v>
      </c>
      <c r="J434" s="2">
        <v>120</v>
      </c>
    </row>
    <row r="435" spans="1:12" ht="19.95" customHeight="1">
      <c r="A435" t="s">
        <v>515</v>
      </c>
      <c r="B435" t="s">
        <v>469</v>
      </c>
      <c r="C435" t="s">
        <v>78</v>
      </c>
      <c r="D435" t="s">
        <v>102</v>
      </c>
      <c r="E435" t="s">
        <v>16</v>
      </c>
      <c r="F435" t="s">
        <v>17</v>
      </c>
      <c r="G435" t="s">
        <v>32</v>
      </c>
      <c r="H435" t="s">
        <v>19</v>
      </c>
      <c r="I435" t="s">
        <v>20</v>
      </c>
      <c r="J435" s="2">
        <v>300</v>
      </c>
    </row>
    <row r="436" spans="1:12" ht="19.95" customHeight="1">
      <c r="A436" t="s">
        <v>516</v>
      </c>
      <c r="B436" t="s">
        <v>469</v>
      </c>
      <c r="C436" t="s">
        <v>105</v>
      </c>
      <c r="D436" t="s">
        <v>191</v>
      </c>
      <c r="E436" t="s">
        <v>16</v>
      </c>
      <c r="F436" t="s">
        <v>17</v>
      </c>
      <c r="G436" t="s">
        <v>32</v>
      </c>
      <c r="H436" t="s">
        <v>19</v>
      </c>
      <c r="I436" t="s">
        <v>20</v>
      </c>
      <c r="J436" s="2">
        <v>255</v>
      </c>
      <c r="L436" t="s">
        <v>29</v>
      </c>
    </row>
    <row r="437" spans="1:12" ht="19.95" customHeight="1">
      <c r="A437" t="s">
        <v>517</v>
      </c>
      <c r="B437" t="s">
        <v>469</v>
      </c>
      <c r="C437" t="s">
        <v>105</v>
      </c>
      <c r="D437" t="s">
        <v>182</v>
      </c>
      <c r="E437" t="s">
        <v>16</v>
      </c>
      <c r="F437" t="s">
        <v>17</v>
      </c>
      <c r="G437" t="s">
        <v>32</v>
      </c>
      <c r="H437" t="s">
        <v>19</v>
      </c>
      <c r="I437" t="s">
        <v>20</v>
      </c>
      <c r="J437" s="2">
        <v>300</v>
      </c>
    </row>
    <row r="438" spans="1:12" ht="19.95" customHeight="1">
      <c r="A438" t="s">
        <v>518</v>
      </c>
      <c r="B438" t="s">
        <v>469</v>
      </c>
      <c r="C438" t="s">
        <v>105</v>
      </c>
      <c r="D438" t="s">
        <v>187</v>
      </c>
      <c r="E438" t="s">
        <v>16</v>
      </c>
      <c r="F438" t="s">
        <v>17</v>
      </c>
      <c r="G438" t="s">
        <v>18</v>
      </c>
      <c r="H438" t="s">
        <v>24</v>
      </c>
      <c r="I438" t="s">
        <v>20</v>
      </c>
      <c r="J438" s="2">
        <v>200</v>
      </c>
    </row>
    <row r="439" spans="1:12" ht="19.95" customHeight="1">
      <c r="A439" t="s">
        <v>519</v>
      </c>
      <c r="B439" t="s">
        <v>469</v>
      </c>
      <c r="C439" t="s">
        <v>105</v>
      </c>
      <c r="D439" t="s">
        <v>116</v>
      </c>
      <c r="E439" t="s">
        <v>16</v>
      </c>
      <c r="F439" t="s">
        <v>17</v>
      </c>
      <c r="G439" t="s">
        <v>23</v>
      </c>
      <c r="H439" t="s">
        <v>19</v>
      </c>
      <c r="I439" t="s">
        <v>53</v>
      </c>
      <c r="J439" s="2">
        <v>120</v>
      </c>
    </row>
    <row r="440" spans="1:12" ht="19.95" customHeight="1">
      <c r="A440" t="s">
        <v>520</v>
      </c>
      <c r="B440" t="s">
        <v>469</v>
      </c>
      <c r="C440" t="s">
        <v>105</v>
      </c>
      <c r="D440" t="s">
        <v>187</v>
      </c>
      <c r="E440" t="s">
        <v>16</v>
      </c>
      <c r="F440" t="s">
        <v>17</v>
      </c>
      <c r="G440" t="s">
        <v>32</v>
      </c>
      <c r="H440" t="s">
        <v>19</v>
      </c>
      <c r="I440" t="s">
        <v>20</v>
      </c>
      <c r="J440" s="2">
        <v>300</v>
      </c>
    </row>
    <row r="441" spans="1:12" ht="19.95" customHeight="1">
      <c r="A441" t="s">
        <v>521</v>
      </c>
      <c r="B441" t="s">
        <v>469</v>
      </c>
      <c r="C441" t="s">
        <v>105</v>
      </c>
      <c r="D441" t="s">
        <v>182</v>
      </c>
      <c r="E441" t="s">
        <v>16</v>
      </c>
      <c r="F441" t="s">
        <v>17</v>
      </c>
      <c r="G441" t="s">
        <v>32</v>
      </c>
      <c r="H441" t="s">
        <v>19</v>
      </c>
      <c r="I441" t="s">
        <v>20</v>
      </c>
      <c r="J441" s="2">
        <v>255</v>
      </c>
      <c r="L441" t="s">
        <v>29</v>
      </c>
    </row>
    <row r="442" spans="1:12" ht="19.95" customHeight="1">
      <c r="A442" t="s">
        <v>522</v>
      </c>
      <c r="B442" t="s">
        <v>469</v>
      </c>
      <c r="C442" t="s">
        <v>105</v>
      </c>
      <c r="D442" t="s">
        <v>106</v>
      </c>
      <c r="E442" t="s">
        <v>16</v>
      </c>
      <c r="F442" t="s">
        <v>17</v>
      </c>
      <c r="G442" t="s">
        <v>18</v>
      </c>
      <c r="H442" t="s">
        <v>19</v>
      </c>
      <c r="I442" t="s">
        <v>20</v>
      </c>
      <c r="J442" s="2">
        <v>200</v>
      </c>
    </row>
    <row r="443" spans="1:12" ht="19.95" customHeight="1">
      <c r="A443" t="s">
        <v>523</v>
      </c>
      <c r="B443" t="s">
        <v>469</v>
      </c>
      <c r="C443" t="s">
        <v>105</v>
      </c>
      <c r="D443" t="s">
        <v>265</v>
      </c>
      <c r="E443" t="s">
        <v>16</v>
      </c>
      <c r="F443" t="s">
        <v>17</v>
      </c>
      <c r="G443" t="s">
        <v>32</v>
      </c>
      <c r="H443" t="s">
        <v>19</v>
      </c>
      <c r="I443" t="s">
        <v>20</v>
      </c>
      <c r="J443" s="2">
        <v>300</v>
      </c>
    </row>
    <row r="444" spans="1:12" ht="19.95" customHeight="1">
      <c r="A444" t="s">
        <v>524</v>
      </c>
      <c r="B444" t="s">
        <v>469</v>
      </c>
      <c r="C444" t="s">
        <v>105</v>
      </c>
      <c r="D444" t="s">
        <v>120</v>
      </c>
      <c r="E444" t="s">
        <v>16</v>
      </c>
      <c r="F444" t="s">
        <v>17</v>
      </c>
      <c r="G444" t="s">
        <v>23</v>
      </c>
      <c r="H444" t="s">
        <v>19</v>
      </c>
      <c r="I444" t="s">
        <v>20</v>
      </c>
      <c r="J444" s="2">
        <v>120</v>
      </c>
    </row>
    <row r="445" spans="1:12" ht="19.95" customHeight="1">
      <c r="A445" t="s">
        <v>525</v>
      </c>
      <c r="B445" t="s">
        <v>469</v>
      </c>
      <c r="C445" t="s">
        <v>105</v>
      </c>
      <c r="D445" t="s">
        <v>265</v>
      </c>
      <c r="E445" t="s">
        <v>16</v>
      </c>
      <c r="F445" t="s">
        <v>17</v>
      </c>
      <c r="G445" t="s">
        <v>18</v>
      </c>
      <c r="H445" t="s">
        <v>19</v>
      </c>
      <c r="I445" t="s">
        <v>20</v>
      </c>
      <c r="J445" s="2">
        <v>200</v>
      </c>
    </row>
    <row r="446" spans="1:12" ht="19.95" customHeight="1">
      <c r="A446" t="s">
        <v>526</v>
      </c>
      <c r="B446" t="s">
        <v>469</v>
      </c>
      <c r="C446" t="s">
        <v>105</v>
      </c>
      <c r="D446" t="s">
        <v>187</v>
      </c>
      <c r="E446" t="s">
        <v>16</v>
      </c>
      <c r="F446" t="s">
        <v>17</v>
      </c>
      <c r="G446" t="s">
        <v>32</v>
      </c>
      <c r="H446" t="s">
        <v>19</v>
      </c>
      <c r="I446" t="s">
        <v>53</v>
      </c>
      <c r="J446" s="2">
        <v>300</v>
      </c>
    </row>
    <row r="447" spans="1:12" ht="19.95" customHeight="1">
      <c r="A447" t="s">
        <v>527</v>
      </c>
      <c r="B447" t="s">
        <v>469</v>
      </c>
      <c r="C447" t="s">
        <v>105</v>
      </c>
      <c r="D447" t="s">
        <v>182</v>
      </c>
      <c r="E447" t="s">
        <v>16</v>
      </c>
      <c r="F447" t="s">
        <v>35</v>
      </c>
      <c r="G447" t="s">
        <v>23</v>
      </c>
      <c r="H447" t="s">
        <v>19</v>
      </c>
      <c r="I447" t="s">
        <v>20</v>
      </c>
      <c r="J447" s="2">
        <v>102</v>
      </c>
      <c r="L447" t="s">
        <v>29</v>
      </c>
    </row>
    <row r="448" spans="1:12" ht="19.95" customHeight="1">
      <c r="A448" t="s">
        <v>528</v>
      </c>
      <c r="B448" t="s">
        <v>469</v>
      </c>
      <c r="C448" t="s">
        <v>105</v>
      </c>
      <c r="D448" t="s">
        <v>112</v>
      </c>
      <c r="E448" t="s">
        <v>16</v>
      </c>
      <c r="F448" t="s">
        <v>17</v>
      </c>
      <c r="G448" t="s">
        <v>23</v>
      </c>
      <c r="H448" t="s">
        <v>19</v>
      </c>
      <c r="I448" t="s">
        <v>20</v>
      </c>
      <c r="J448" s="2">
        <v>120</v>
      </c>
    </row>
    <row r="449" spans="1:12" ht="19.95" customHeight="1">
      <c r="A449" t="s">
        <v>529</v>
      </c>
      <c r="B449" t="s">
        <v>469</v>
      </c>
      <c r="C449" t="s">
        <v>105</v>
      </c>
      <c r="D449" t="s">
        <v>120</v>
      </c>
      <c r="E449" t="s">
        <v>16</v>
      </c>
      <c r="F449" t="s">
        <v>17</v>
      </c>
      <c r="G449" t="s">
        <v>18</v>
      </c>
      <c r="H449" t="s">
        <v>24</v>
      </c>
      <c r="I449" t="s">
        <v>20</v>
      </c>
      <c r="J449" s="2">
        <v>150</v>
      </c>
      <c r="L449" t="s">
        <v>29</v>
      </c>
    </row>
    <row r="450" spans="1:12" ht="19.95" customHeight="1">
      <c r="A450" t="s">
        <v>530</v>
      </c>
      <c r="B450" t="s">
        <v>469</v>
      </c>
      <c r="C450" t="s">
        <v>105</v>
      </c>
      <c r="D450" t="s">
        <v>120</v>
      </c>
      <c r="E450" t="s">
        <v>16</v>
      </c>
      <c r="F450" t="s">
        <v>17</v>
      </c>
      <c r="G450" t="s">
        <v>32</v>
      </c>
      <c r="H450" t="s">
        <v>19</v>
      </c>
      <c r="I450" t="s">
        <v>20</v>
      </c>
      <c r="J450" s="2">
        <v>300</v>
      </c>
    </row>
    <row r="451" spans="1:12" ht="19.95" customHeight="1">
      <c r="A451" t="s">
        <v>531</v>
      </c>
      <c r="B451" t="s">
        <v>469</v>
      </c>
      <c r="C451" t="s">
        <v>105</v>
      </c>
      <c r="D451" t="s">
        <v>112</v>
      </c>
      <c r="E451" t="s">
        <v>16</v>
      </c>
      <c r="F451" t="s">
        <v>17</v>
      </c>
      <c r="G451" t="s">
        <v>32</v>
      </c>
      <c r="H451" t="s">
        <v>19</v>
      </c>
      <c r="I451" t="s">
        <v>20</v>
      </c>
      <c r="J451" s="2">
        <v>300</v>
      </c>
    </row>
    <row r="452" spans="1:12" ht="19.95" customHeight="1">
      <c r="A452" t="s">
        <v>532</v>
      </c>
      <c r="B452" t="s">
        <v>469</v>
      </c>
      <c r="C452" t="s">
        <v>105</v>
      </c>
      <c r="D452" t="s">
        <v>191</v>
      </c>
      <c r="E452" t="s">
        <v>16</v>
      </c>
      <c r="F452" t="s">
        <v>35</v>
      </c>
      <c r="G452" t="s">
        <v>18</v>
      </c>
      <c r="H452" t="s">
        <v>19</v>
      </c>
      <c r="I452" t="s">
        <v>20</v>
      </c>
      <c r="J452" s="2">
        <v>200</v>
      </c>
    </row>
    <row r="453" spans="1:12" ht="19.95" customHeight="1">
      <c r="A453" t="s">
        <v>533</v>
      </c>
      <c r="B453" t="s">
        <v>469</v>
      </c>
      <c r="C453" t="s">
        <v>105</v>
      </c>
      <c r="D453" t="s">
        <v>187</v>
      </c>
      <c r="E453" t="s">
        <v>16</v>
      </c>
      <c r="F453" t="s">
        <v>35</v>
      </c>
      <c r="G453" t="s">
        <v>32</v>
      </c>
      <c r="H453" t="s">
        <v>19</v>
      </c>
      <c r="I453" t="s">
        <v>20</v>
      </c>
      <c r="J453" s="2">
        <v>300</v>
      </c>
    </row>
    <row r="454" spans="1:12" ht="19.95" customHeight="1">
      <c r="A454" t="s">
        <v>534</v>
      </c>
      <c r="B454" t="s">
        <v>469</v>
      </c>
      <c r="C454" t="s">
        <v>14</v>
      </c>
      <c r="D454" t="s">
        <v>28</v>
      </c>
      <c r="E454" t="s">
        <v>402</v>
      </c>
      <c r="F454" t="s">
        <v>35</v>
      </c>
      <c r="G454" t="s">
        <v>18</v>
      </c>
      <c r="H454" t="s">
        <v>19</v>
      </c>
      <c r="I454" t="s">
        <v>20</v>
      </c>
      <c r="J454" s="2">
        <v>200</v>
      </c>
      <c r="K454" t="s">
        <v>132</v>
      </c>
    </row>
    <row r="455" spans="1:12" ht="19.95" customHeight="1">
      <c r="A455" t="s">
        <v>535</v>
      </c>
      <c r="B455" t="s">
        <v>469</v>
      </c>
      <c r="C455" t="s">
        <v>47</v>
      </c>
      <c r="D455" t="s">
        <v>64</v>
      </c>
      <c r="E455" t="s">
        <v>402</v>
      </c>
      <c r="F455" t="s">
        <v>17</v>
      </c>
      <c r="G455" t="s">
        <v>23</v>
      </c>
      <c r="H455" t="s">
        <v>19</v>
      </c>
      <c r="I455" t="s">
        <v>20</v>
      </c>
      <c r="J455" s="2">
        <v>120</v>
      </c>
      <c r="K455" t="s">
        <v>145</v>
      </c>
    </row>
    <row r="456" spans="1:12" ht="19.95" customHeight="1">
      <c r="A456" t="s">
        <v>536</v>
      </c>
      <c r="B456" t="s">
        <v>469</v>
      </c>
      <c r="C456" t="s">
        <v>105</v>
      </c>
      <c r="D456" t="s">
        <v>120</v>
      </c>
      <c r="E456" t="s">
        <v>402</v>
      </c>
      <c r="F456" t="s">
        <v>35</v>
      </c>
      <c r="G456" t="s">
        <v>23</v>
      </c>
      <c r="H456" t="s">
        <v>24</v>
      </c>
      <c r="I456" t="s">
        <v>20</v>
      </c>
      <c r="J456" s="2">
        <v>120</v>
      </c>
      <c r="K456" t="s">
        <v>196</v>
      </c>
    </row>
    <row r="457" spans="1:12" ht="19.95" customHeight="1">
      <c r="A457" t="s">
        <v>537</v>
      </c>
      <c r="B457" t="s">
        <v>538</v>
      </c>
      <c r="C457" t="s">
        <v>14</v>
      </c>
      <c r="D457" t="s">
        <v>31</v>
      </c>
      <c r="E457" t="s">
        <v>16</v>
      </c>
      <c r="F457" t="s">
        <v>35</v>
      </c>
      <c r="G457" t="s">
        <v>32</v>
      </c>
      <c r="H457" t="s">
        <v>19</v>
      </c>
      <c r="I457" t="s">
        <v>20</v>
      </c>
      <c r="J457" s="2">
        <v>225</v>
      </c>
      <c r="L457" t="s">
        <v>29</v>
      </c>
    </row>
    <row r="458" spans="1:12" ht="19.95" customHeight="1">
      <c r="A458" t="s">
        <v>539</v>
      </c>
      <c r="B458" t="s">
        <v>538</v>
      </c>
      <c r="C458" t="s">
        <v>14</v>
      </c>
      <c r="D458" t="s">
        <v>28</v>
      </c>
      <c r="E458" t="s">
        <v>16</v>
      </c>
      <c r="F458" t="s">
        <v>17</v>
      </c>
      <c r="G458" t="s">
        <v>32</v>
      </c>
      <c r="H458" t="s">
        <v>19</v>
      </c>
      <c r="I458" t="s">
        <v>20</v>
      </c>
      <c r="J458" s="2">
        <v>300</v>
      </c>
    </row>
    <row r="459" spans="1:12" ht="19.95" customHeight="1">
      <c r="A459" t="s">
        <v>540</v>
      </c>
      <c r="B459" t="s">
        <v>538</v>
      </c>
      <c r="C459" t="s">
        <v>14</v>
      </c>
      <c r="D459" t="s">
        <v>40</v>
      </c>
      <c r="E459" t="s">
        <v>16</v>
      </c>
      <c r="F459" t="s">
        <v>17</v>
      </c>
      <c r="G459" t="s">
        <v>23</v>
      </c>
      <c r="H459" t="s">
        <v>19</v>
      </c>
      <c r="I459" t="s">
        <v>20</v>
      </c>
      <c r="J459" s="2">
        <v>120</v>
      </c>
    </row>
    <row r="460" spans="1:12" ht="19.95" customHeight="1">
      <c r="A460" t="s">
        <v>541</v>
      </c>
      <c r="B460" t="s">
        <v>538</v>
      </c>
      <c r="C460" t="s">
        <v>14</v>
      </c>
      <c r="D460" t="s">
        <v>15</v>
      </c>
      <c r="E460" t="s">
        <v>16</v>
      </c>
      <c r="F460" t="s">
        <v>17</v>
      </c>
      <c r="G460" t="s">
        <v>23</v>
      </c>
      <c r="H460" t="s">
        <v>24</v>
      </c>
      <c r="I460" t="s">
        <v>20</v>
      </c>
      <c r="J460" s="2">
        <v>120</v>
      </c>
    </row>
    <row r="461" spans="1:12" ht="19.95" customHeight="1">
      <c r="A461" t="s">
        <v>542</v>
      </c>
      <c r="B461" t="s">
        <v>538</v>
      </c>
      <c r="C461" t="s">
        <v>14</v>
      </c>
      <c r="D461" t="s">
        <v>137</v>
      </c>
      <c r="E461" t="s">
        <v>16</v>
      </c>
      <c r="F461" t="s">
        <v>35</v>
      </c>
      <c r="G461" t="s">
        <v>18</v>
      </c>
      <c r="H461" t="s">
        <v>19</v>
      </c>
      <c r="I461" t="s">
        <v>20</v>
      </c>
      <c r="J461" s="2">
        <v>200</v>
      </c>
    </row>
    <row r="462" spans="1:12" ht="19.95" customHeight="1">
      <c r="A462" t="s">
        <v>543</v>
      </c>
      <c r="B462" t="s">
        <v>538</v>
      </c>
      <c r="C462" t="s">
        <v>14</v>
      </c>
      <c r="D462" t="s">
        <v>42</v>
      </c>
      <c r="E462" t="s">
        <v>16</v>
      </c>
      <c r="F462" t="s">
        <v>17</v>
      </c>
      <c r="G462" t="s">
        <v>18</v>
      </c>
      <c r="H462" t="s">
        <v>24</v>
      </c>
      <c r="I462" t="s">
        <v>20</v>
      </c>
      <c r="J462" s="2">
        <v>200</v>
      </c>
    </row>
    <row r="463" spans="1:12" ht="19.95" customHeight="1">
      <c r="A463" t="s">
        <v>544</v>
      </c>
      <c r="B463" t="s">
        <v>538</v>
      </c>
      <c r="C463" t="s">
        <v>14</v>
      </c>
      <c r="D463" t="s">
        <v>42</v>
      </c>
      <c r="E463" t="s">
        <v>16</v>
      </c>
      <c r="F463" t="s">
        <v>17</v>
      </c>
      <c r="G463" t="s">
        <v>23</v>
      </c>
      <c r="H463" t="s">
        <v>19</v>
      </c>
      <c r="I463" t="s">
        <v>20</v>
      </c>
      <c r="J463" s="2">
        <v>120</v>
      </c>
    </row>
    <row r="464" spans="1:12" ht="19.95" customHeight="1">
      <c r="A464" t="s">
        <v>545</v>
      </c>
      <c r="B464" t="s">
        <v>538</v>
      </c>
      <c r="C464" t="s">
        <v>14</v>
      </c>
      <c r="D464" t="s">
        <v>22</v>
      </c>
      <c r="E464" t="s">
        <v>16</v>
      </c>
      <c r="F464" t="s">
        <v>17</v>
      </c>
      <c r="G464" t="s">
        <v>23</v>
      </c>
      <c r="H464" t="s">
        <v>19</v>
      </c>
      <c r="I464" t="s">
        <v>20</v>
      </c>
      <c r="J464" s="2">
        <v>120</v>
      </c>
    </row>
    <row r="465" spans="1:12" ht="19.95" customHeight="1">
      <c r="A465" t="s">
        <v>546</v>
      </c>
      <c r="B465" t="s">
        <v>538</v>
      </c>
      <c r="C465" t="s">
        <v>14</v>
      </c>
      <c r="D465" t="s">
        <v>26</v>
      </c>
      <c r="E465" t="s">
        <v>16</v>
      </c>
      <c r="F465" t="s">
        <v>17</v>
      </c>
      <c r="G465" t="s">
        <v>23</v>
      </c>
      <c r="H465" t="s">
        <v>19</v>
      </c>
      <c r="I465" t="s">
        <v>20</v>
      </c>
      <c r="J465" s="2">
        <v>120</v>
      </c>
    </row>
    <row r="466" spans="1:12" ht="19.95" customHeight="1">
      <c r="A466" t="s">
        <v>547</v>
      </c>
      <c r="B466" t="s">
        <v>538</v>
      </c>
      <c r="C466" t="s">
        <v>14</v>
      </c>
      <c r="D466" t="s">
        <v>28</v>
      </c>
      <c r="E466" t="s">
        <v>16</v>
      </c>
      <c r="F466" t="s">
        <v>17</v>
      </c>
      <c r="G466" t="s">
        <v>18</v>
      </c>
      <c r="H466" t="s">
        <v>19</v>
      </c>
      <c r="I466" t="s">
        <v>53</v>
      </c>
      <c r="J466" s="2">
        <v>200</v>
      </c>
    </row>
    <row r="467" spans="1:12" ht="19.95" customHeight="1">
      <c r="A467" t="s">
        <v>548</v>
      </c>
      <c r="B467" t="s">
        <v>538</v>
      </c>
      <c r="C467" t="s">
        <v>14</v>
      </c>
      <c r="D467" t="s">
        <v>210</v>
      </c>
      <c r="E467" t="s">
        <v>16</v>
      </c>
      <c r="F467" t="s">
        <v>17</v>
      </c>
      <c r="G467" t="s">
        <v>18</v>
      </c>
      <c r="H467" t="s">
        <v>19</v>
      </c>
      <c r="I467" t="s">
        <v>20</v>
      </c>
      <c r="J467" s="2">
        <v>200</v>
      </c>
    </row>
    <row r="468" spans="1:12" ht="19.95" customHeight="1">
      <c r="A468" t="s">
        <v>549</v>
      </c>
      <c r="B468" t="s">
        <v>538</v>
      </c>
      <c r="C468" t="s">
        <v>14</v>
      </c>
      <c r="D468" t="s">
        <v>42</v>
      </c>
      <c r="E468" t="s">
        <v>16</v>
      </c>
      <c r="F468" t="s">
        <v>17</v>
      </c>
      <c r="G468" t="s">
        <v>32</v>
      </c>
      <c r="H468" t="s">
        <v>19</v>
      </c>
      <c r="I468" t="s">
        <v>20</v>
      </c>
      <c r="J468" s="2">
        <v>300</v>
      </c>
    </row>
    <row r="469" spans="1:12" ht="19.95" customHeight="1">
      <c r="A469" t="s">
        <v>550</v>
      </c>
      <c r="B469" t="s">
        <v>538</v>
      </c>
      <c r="C469" t="s">
        <v>14</v>
      </c>
      <c r="D469" t="s">
        <v>22</v>
      </c>
      <c r="E469" t="s">
        <v>16</v>
      </c>
      <c r="F469" t="s">
        <v>35</v>
      </c>
      <c r="G469" t="s">
        <v>23</v>
      </c>
      <c r="H469" t="s">
        <v>19</v>
      </c>
      <c r="I469" t="s">
        <v>20</v>
      </c>
      <c r="J469" s="2">
        <v>120</v>
      </c>
    </row>
    <row r="470" spans="1:12" ht="19.95" customHeight="1">
      <c r="A470" t="s">
        <v>551</v>
      </c>
      <c r="B470" t="s">
        <v>538</v>
      </c>
      <c r="C470" t="s">
        <v>14</v>
      </c>
      <c r="D470" t="s">
        <v>26</v>
      </c>
      <c r="E470" t="s">
        <v>16</v>
      </c>
      <c r="F470" t="s">
        <v>35</v>
      </c>
      <c r="G470" t="s">
        <v>18</v>
      </c>
      <c r="H470" t="s">
        <v>19</v>
      </c>
      <c r="I470" t="s">
        <v>20</v>
      </c>
      <c r="J470" s="2">
        <v>200</v>
      </c>
    </row>
    <row r="471" spans="1:12" ht="19.95" customHeight="1">
      <c r="A471" t="s">
        <v>552</v>
      </c>
      <c r="B471" t="s">
        <v>538</v>
      </c>
      <c r="C471" t="s">
        <v>14</v>
      </c>
      <c r="D471" t="s">
        <v>40</v>
      </c>
      <c r="E471" t="s">
        <v>16</v>
      </c>
      <c r="F471" t="s">
        <v>17</v>
      </c>
      <c r="G471" t="s">
        <v>23</v>
      </c>
      <c r="H471" t="s">
        <v>19</v>
      </c>
      <c r="I471" t="s">
        <v>20</v>
      </c>
      <c r="J471" s="2">
        <v>120</v>
      </c>
    </row>
    <row r="472" spans="1:12" ht="19.95" customHeight="1">
      <c r="A472" t="s">
        <v>553</v>
      </c>
      <c r="B472" t="s">
        <v>538</v>
      </c>
      <c r="C472" t="s">
        <v>47</v>
      </c>
      <c r="D472" t="s">
        <v>48</v>
      </c>
      <c r="E472" t="s">
        <v>16</v>
      </c>
      <c r="F472" t="s">
        <v>17</v>
      </c>
      <c r="G472" t="s">
        <v>18</v>
      </c>
      <c r="H472" t="s">
        <v>19</v>
      </c>
      <c r="I472" t="s">
        <v>20</v>
      </c>
      <c r="J472" s="2">
        <v>200</v>
      </c>
    </row>
    <row r="473" spans="1:12" ht="19.95" customHeight="1">
      <c r="A473" t="s">
        <v>554</v>
      </c>
      <c r="B473" t="s">
        <v>538</v>
      </c>
      <c r="C473" t="s">
        <v>47</v>
      </c>
      <c r="D473" t="s">
        <v>52</v>
      </c>
      <c r="E473" t="s">
        <v>16</v>
      </c>
      <c r="F473" t="s">
        <v>35</v>
      </c>
      <c r="G473" t="s">
        <v>32</v>
      </c>
      <c r="H473" t="s">
        <v>19</v>
      </c>
      <c r="I473" t="s">
        <v>20</v>
      </c>
      <c r="J473" s="2">
        <v>300</v>
      </c>
    </row>
    <row r="474" spans="1:12" ht="19.95" customHeight="1">
      <c r="A474" t="s">
        <v>555</v>
      </c>
      <c r="B474" t="s">
        <v>538</v>
      </c>
      <c r="C474" t="s">
        <v>47</v>
      </c>
      <c r="D474" t="s">
        <v>66</v>
      </c>
      <c r="E474" t="s">
        <v>16</v>
      </c>
      <c r="F474" t="s">
        <v>17</v>
      </c>
      <c r="G474" t="s">
        <v>32</v>
      </c>
      <c r="H474" t="s">
        <v>19</v>
      </c>
      <c r="I474" t="s">
        <v>20</v>
      </c>
      <c r="J474" s="2">
        <v>300</v>
      </c>
    </row>
    <row r="475" spans="1:12" ht="19.95" customHeight="1">
      <c r="A475" t="s">
        <v>556</v>
      </c>
      <c r="B475" t="s">
        <v>538</v>
      </c>
      <c r="C475" t="s">
        <v>47</v>
      </c>
      <c r="D475" t="s">
        <v>73</v>
      </c>
      <c r="E475" t="s">
        <v>16</v>
      </c>
      <c r="F475" t="s">
        <v>17</v>
      </c>
      <c r="G475" t="s">
        <v>23</v>
      </c>
      <c r="H475" t="s">
        <v>19</v>
      </c>
      <c r="I475" t="s">
        <v>20</v>
      </c>
      <c r="J475" s="2">
        <v>120</v>
      </c>
    </row>
    <row r="476" spans="1:12" ht="19.95" customHeight="1">
      <c r="A476" t="s">
        <v>557</v>
      </c>
      <c r="B476" t="s">
        <v>538</v>
      </c>
      <c r="C476" t="s">
        <v>47</v>
      </c>
      <c r="D476" t="s">
        <v>73</v>
      </c>
      <c r="E476" t="s">
        <v>16</v>
      </c>
      <c r="F476" t="s">
        <v>35</v>
      </c>
      <c r="G476" t="s">
        <v>18</v>
      </c>
      <c r="H476" t="s">
        <v>24</v>
      </c>
      <c r="I476" t="s">
        <v>20</v>
      </c>
      <c r="J476" s="2">
        <v>200</v>
      </c>
    </row>
    <row r="477" spans="1:12" ht="19.95" customHeight="1">
      <c r="A477" t="s">
        <v>558</v>
      </c>
      <c r="B477" t="s">
        <v>538</v>
      </c>
      <c r="C477" t="s">
        <v>47</v>
      </c>
      <c r="D477" t="s">
        <v>59</v>
      </c>
      <c r="E477" t="s">
        <v>16</v>
      </c>
      <c r="F477" t="s">
        <v>35</v>
      </c>
      <c r="G477" t="s">
        <v>18</v>
      </c>
      <c r="H477" t="s">
        <v>19</v>
      </c>
      <c r="I477" t="s">
        <v>20</v>
      </c>
      <c r="J477" s="2">
        <v>200</v>
      </c>
    </row>
    <row r="478" spans="1:12" ht="19.95" customHeight="1">
      <c r="A478" t="s">
        <v>559</v>
      </c>
      <c r="B478" t="s">
        <v>538</v>
      </c>
      <c r="C478" t="s">
        <v>47</v>
      </c>
      <c r="D478" t="s">
        <v>66</v>
      </c>
      <c r="E478" t="s">
        <v>16</v>
      </c>
      <c r="F478" t="s">
        <v>17</v>
      </c>
      <c r="G478" t="s">
        <v>18</v>
      </c>
      <c r="H478" t="s">
        <v>19</v>
      </c>
      <c r="I478" t="s">
        <v>20</v>
      </c>
      <c r="J478" s="2">
        <v>200</v>
      </c>
    </row>
    <row r="479" spans="1:12" ht="19.95" customHeight="1">
      <c r="A479" t="s">
        <v>560</v>
      </c>
      <c r="B479" t="s">
        <v>538</v>
      </c>
      <c r="C479" t="s">
        <v>47</v>
      </c>
      <c r="D479" t="s">
        <v>64</v>
      </c>
      <c r="E479" t="s">
        <v>16</v>
      </c>
      <c r="F479" t="s">
        <v>17</v>
      </c>
      <c r="G479" t="s">
        <v>18</v>
      </c>
      <c r="H479" t="s">
        <v>19</v>
      </c>
      <c r="I479" t="s">
        <v>20</v>
      </c>
      <c r="J479" s="2">
        <v>170</v>
      </c>
      <c r="L479" t="s">
        <v>29</v>
      </c>
    </row>
    <row r="480" spans="1:12" ht="19.95" customHeight="1">
      <c r="A480" t="s">
        <v>561</v>
      </c>
      <c r="B480" t="s">
        <v>538</v>
      </c>
      <c r="C480" t="s">
        <v>47</v>
      </c>
      <c r="D480" t="s">
        <v>148</v>
      </c>
      <c r="E480" t="s">
        <v>16</v>
      </c>
      <c r="F480" t="s">
        <v>17</v>
      </c>
      <c r="G480" t="s">
        <v>32</v>
      </c>
      <c r="H480" t="s">
        <v>19</v>
      </c>
      <c r="I480" t="s">
        <v>20</v>
      </c>
      <c r="J480" s="2">
        <v>300</v>
      </c>
    </row>
    <row r="481" spans="1:12" ht="19.95" customHeight="1">
      <c r="A481" t="s">
        <v>562</v>
      </c>
      <c r="B481" t="s">
        <v>538</v>
      </c>
      <c r="C481" t="s">
        <v>47</v>
      </c>
      <c r="D481" t="s">
        <v>73</v>
      </c>
      <c r="E481" t="s">
        <v>16</v>
      </c>
      <c r="F481" t="s">
        <v>17</v>
      </c>
      <c r="G481" t="s">
        <v>18</v>
      </c>
      <c r="H481" t="s">
        <v>19</v>
      </c>
      <c r="I481" t="s">
        <v>20</v>
      </c>
      <c r="J481" s="2">
        <v>200</v>
      </c>
    </row>
    <row r="482" spans="1:12" ht="19.95" customHeight="1">
      <c r="A482" t="s">
        <v>563</v>
      </c>
      <c r="B482" t="s">
        <v>538</v>
      </c>
      <c r="C482" t="s">
        <v>47</v>
      </c>
      <c r="D482" t="s">
        <v>148</v>
      </c>
      <c r="E482" t="s">
        <v>16</v>
      </c>
      <c r="F482" t="s">
        <v>35</v>
      </c>
      <c r="G482" t="s">
        <v>32</v>
      </c>
      <c r="H482" t="s">
        <v>19</v>
      </c>
      <c r="I482" t="s">
        <v>20</v>
      </c>
      <c r="J482" s="2">
        <v>300</v>
      </c>
    </row>
    <row r="483" spans="1:12" ht="19.95" customHeight="1">
      <c r="A483" t="s">
        <v>564</v>
      </c>
      <c r="B483" t="s">
        <v>538</v>
      </c>
      <c r="C483" t="s">
        <v>47</v>
      </c>
      <c r="D483" t="s">
        <v>62</v>
      </c>
      <c r="E483" t="s">
        <v>16</v>
      </c>
      <c r="F483" t="s">
        <v>17</v>
      </c>
      <c r="G483" t="s">
        <v>23</v>
      </c>
      <c r="H483" t="s">
        <v>19</v>
      </c>
      <c r="I483" t="s">
        <v>20</v>
      </c>
      <c r="J483" s="2">
        <v>120</v>
      </c>
    </row>
    <row r="484" spans="1:12" ht="19.95" customHeight="1">
      <c r="A484" t="s">
        <v>565</v>
      </c>
      <c r="B484" t="s">
        <v>538</v>
      </c>
      <c r="C484" t="s">
        <v>47</v>
      </c>
      <c r="D484" t="s">
        <v>64</v>
      </c>
      <c r="E484" t="s">
        <v>16</v>
      </c>
      <c r="F484" t="s">
        <v>17</v>
      </c>
      <c r="G484" t="s">
        <v>18</v>
      </c>
      <c r="H484" t="s">
        <v>19</v>
      </c>
      <c r="I484" t="s">
        <v>20</v>
      </c>
      <c r="J484" s="2">
        <v>200</v>
      </c>
    </row>
    <row r="485" spans="1:12" ht="19.95" customHeight="1">
      <c r="A485" t="s">
        <v>566</v>
      </c>
      <c r="B485" t="s">
        <v>538</v>
      </c>
      <c r="C485" t="s">
        <v>47</v>
      </c>
      <c r="D485" t="s">
        <v>64</v>
      </c>
      <c r="E485" t="s">
        <v>16</v>
      </c>
      <c r="F485" t="s">
        <v>17</v>
      </c>
      <c r="G485" t="s">
        <v>18</v>
      </c>
      <c r="H485" t="s">
        <v>19</v>
      </c>
      <c r="I485" t="s">
        <v>20</v>
      </c>
      <c r="J485" s="2">
        <v>200</v>
      </c>
    </row>
    <row r="486" spans="1:12" ht="19.95" customHeight="1">
      <c r="A486" t="s">
        <v>567</v>
      </c>
      <c r="B486" t="s">
        <v>538</v>
      </c>
      <c r="C486" t="s">
        <v>47</v>
      </c>
      <c r="D486" t="s">
        <v>152</v>
      </c>
      <c r="E486" t="s">
        <v>16</v>
      </c>
      <c r="F486" t="s">
        <v>17</v>
      </c>
      <c r="G486" t="s">
        <v>23</v>
      </c>
      <c r="H486" t="s">
        <v>19</v>
      </c>
      <c r="I486" t="s">
        <v>20</v>
      </c>
      <c r="J486" s="2">
        <v>120</v>
      </c>
    </row>
    <row r="487" spans="1:12" ht="19.95" customHeight="1">
      <c r="A487" t="s">
        <v>568</v>
      </c>
      <c r="B487" t="s">
        <v>538</v>
      </c>
      <c r="C487" t="s">
        <v>47</v>
      </c>
      <c r="D487" t="s">
        <v>73</v>
      </c>
      <c r="E487" t="s">
        <v>16</v>
      </c>
      <c r="F487" t="s">
        <v>17</v>
      </c>
      <c r="G487" t="s">
        <v>18</v>
      </c>
      <c r="H487" t="s">
        <v>19</v>
      </c>
      <c r="I487" t="s">
        <v>20</v>
      </c>
      <c r="J487" s="2">
        <v>200</v>
      </c>
    </row>
    <row r="488" spans="1:12" ht="19.95" customHeight="1">
      <c r="A488" t="s">
        <v>569</v>
      </c>
      <c r="B488" t="s">
        <v>538</v>
      </c>
      <c r="C488" t="s">
        <v>47</v>
      </c>
      <c r="D488" t="s">
        <v>148</v>
      </c>
      <c r="E488" t="s">
        <v>16</v>
      </c>
      <c r="F488" t="s">
        <v>17</v>
      </c>
      <c r="G488" t="s">
        <v>18</v>
      </c>
      <c r="H488" t="s">
        <v>24</v>
      </c>
      <c r="I488" t="s">
        <v>20</v>
      </c>
      <c r="J488" s="2">
        <v>200</v>
      </c>
    </row>
    <row r="489" spans="1:12" ht="19.95" customHeight="1">
      <c r="A489" t="s">
        <v>570</v>
      </c>
      <c r="B489" t="s">
        <v>538</v>
      </c>
      <c r="C489" t="s">
        <v>47</v>
      </c>
      <c r="D489" t="s">
        <v>64</v>
      </c>
      <c r="E489" t="s">
        <v>16</v>
      </c>
      <c r="F489" t="s">
        <v>17</v>
      </c>
      <c r="G489" t="s">
        <v>32</v>
      </c>
      <c r="H489" t="s">
        <v>19</v>
      </c>
      <c r="I489" t="s">
        <v>20</v>
      </c>
      <c r="J489" s="2">
        <v>300</v>
      </c>
    </row>
    <row r="490" spans="1:12" ht="19.95" customHeight="1">
      <c r="A490" t="s">
        <v>571</v>
      </c>
      <c r="B490" t="s">
        <v>538</v>
      </c>
      <c r="C490" t="s">
        <v>78</v>
      </c>
      <c r="D490" t="s">
        <v>81</v>
      </c>
      <c r="E490" t="s">
        <v>16</v>
      </c>
      <c r="F490" t="s">
        <v>17</v>
      </c>
      <c r="G490" t="s">
        <v>32</v>
      </c>
      <c r="H490" t="s">
        <v>19</v>
      </c>
      <c r="I490" t="s">
        <v>20</v>
      </c>
      <c r="J490" s="2">
        <v>225</v>
      </c>
      <c r="L490" t="s">
        <v>29</v>
      </c>
    </row>
    <row r="491" spans="1:12" ht="19.95" customHeight="1">
      <c r="A491" t="s">
        <v>572</v>
      </c>
      <c r="B491" t="s">
        <v>538</v>
      </c>
      <c r="C491" t="s">
        <v>78</v>
      </c>
      <c r="D491" t="s">
        <v>85</v>
      </c>
      <c r="E491" t="s">
        <v>16</v>
      </c>
      <c r="F491" t="s">
        <v>17</v>
      </c>
      <c r="G491" t="s">
        <v>23</v>
      </c>
      <c r="H491" t="s">
        <v>19</v>
      </c>
      <c r="I491" t="s">
        <v>20</v>
      </c>
      <c r="J491" s="2">
        <v>120</v>
      </c>
    </row>
    <row r="492" spans="1:12" ht="19.95" customHeight="1">
      <c r="A492" t="s">
        <v>573</v>
      </c>
      <c r="B492" t="s">
        <v>538</v>
      </c>
      <c r="C492" t="s">
        <v>78</v>
      </c>
      <c r="D492" t="s">
        <v>85</v>
      </c>
      <c r="E492" t="s">
        <v>16</v>
      </c>
      <c r="F492" t="s">
        <v>17</v>
      </c>
      <c r="G492" t="s">
        <v>32</v>
      </c>
      <c r="H492" t="s">
        <v>19</v>
      </c>
      <c r="I492" t="s">
        <v>20</v>
      </c>
      <c r="J492" s="2">
        <v>255</v>
      </c>
      <c r="L492" t="s">
        <v>29</v>
      </c>
    </row>
    <row r="493" spans="1:12" ht="19.95" customHeight="1">
      <c r="A493" t="s">
        <v>574</v>
      </c>
      <c r="B493" t="s">
        <v>538</v>
      </c>
      <c r="C493" t="s">
        <v>78</v>
      </c>
      <c r="D493" t="s">
        <v>83</v>
      </c>
      <c r="E493" t="s">
        <v>16</v>
      </c>
      <c r="F493" t="s">
        <v>35</v>
      </c>
      <c r="G493" t="s">
        <v>23</v>
      </c>
      <c r="H493" t="s">
        <v>19</v>
      </c>
      <c r="I493" t="s">
        <v>20</v>
      </c>
      <c r="J493" s="2">
        <v>120</v>
      </c>
    </row>
    <row r="494" spans="1:12" ht="19.95" customHeight="1">
      <c r="A494" t="s">
        <v>575</v>
      </c>
      <c r="B494" t="s">
        <v>538</v>
      </c>
      <c r="C494" t="s">
        <v>78</v>
      </c>
      <c r="D494" t="s">
        <v>163</v>
      </c>
      <c r="E494" t="s">
        <v>16</v>
      </c>
      <c r="F494" t="s">
        <v>17</v>
      </c>
      <c r="G494" t="s">
        <v>32</v>
      </c>
      <c r="H494" t="s">
        <v>19</v>
      </c>
      <c r="I494" t="s">
        <v>20</v>
      </c>
      <c r="J494" s="2">
        <v>300</v>
      </c>
    </row>
    <row r="495" spans="1:12" ht="19.95" customHeight="1">
      <c r="A495" t="s">
        <v>576</v>
      </c>
      <c r="B495" t="s">
        <v>538</v>
      </c>
      <c r="C495" t="s">
        <v>78</v>
      </c>
      <c r="D495" t="s">
        <v>83</v>
      </c>
      <c r="E495" t="s">
        <v>16</v>
      </c>
      <c r="F495" t="s">
        <v>17</v>
      </c>
      <c r="G495" t="s">
        <v>23</v>
      </c>
      <c r="H495" t="s">
        <v>19</v>
      </c>
      <c r="I495" t="s">
        <v>20</v>
      </c>
      <c r="J495" s="2">
        <v>120</v>
      </c>
    </row>
    <row r="496" spans="1:12" ht="19.95" customHeight="1">
      <c r="A496" t="s">
        <v>577</v>
      </c>
      <c r="B496" t="s">
        <v>538</v>
      </c>
      <c r="C496" t="s">
        <v>78</v>
      </c>
      <c r="D496" t="s">
        <v>93</v>
      </c>
      <c r="E496" t="s">
        <v>16</v>
      </c>
      <c r="F496" t="s">
        <v>17</v>
      </c>
      <c r="G496" t="s">
        <v>32</v>
      </c>
      <c r="H496" t="s">
        <v>19</v>
      </c>
      <c r="I496" t="s">
        <v>53</v>
      </c>
      <c r="J496" s="2">
        <v>225</v>
      </c>
      <c r="L496" t="s">
        <v>29</v>
      </c>
    </row>
    <row r="497" spans="1:12" ht="19.95" customHeight="1">
      <c r="A497" t="s">
        <v>578</v>
      </c>
      <c r="B497" t="s">
        <v>538</v>
      </c>
      <c r="C497" t="s">
        <v>78</v>
      </c>
      <c r="D497" t="s">
        <v>97</v>
      </c>
      <c r="E497" t="s">
        <v>16</v>
      </c>
      <c r="F497" t="s">
        <v>17</v>
      </c>
      <c r="G497" t="s">
        <v>23</v>
      </c>
      <c r="H497" t="s">
        <v>19</v>
      </c>
      <c r="I497" t="s">
        <v>20</v>
      </c>
      <c r="J497" s="2">
        <v>120</v>
      </c>
    </row>
    <row r="498" spans="1:12" ht="19.95" customHeight="1">
      <c r="A498" t="s">
        <v>579</v>
      </c>
      <c r="B498" t="s">
        <v>538</v>
      </c>
      <c r="C498" t="s">
        <v>78</v>
      </c>
      <c r="D498" t="s">
        <v>89</v>
      </c>
      <c r="E498" t="s">
        <v>16</v>
      </c>
      <c r="F498" t="s">
        <v>17</v>
      </c>
      <c r="G498" t="s">
        <v>23</v>
      </c>
      <c r="H498" t="s">
        <v>19</v>
      </c>
      <c r="I498" t="s">
        <v>20</v>
      </c>
      <c r="J498" s="2">
        <v>120</v>
      </c>
    </row>
    <row r="499" spans="1:12" ht="19.95" customHeight="1">
      <c r="A499" t="s">
        <v>580</v>
      </c>
      <c r="B499" t="s">
        <v>538</v>
      </c>
      <c r="C499" t="s">
        <v>78</v>
      </c>
      <c r="D499" t="s">
        <v>89</v>
      </c>
      <c r="E499" t="s">
        <v>16</v>
      </c>
      <c r="F499" t="s">
        <v>17</v>
      </c>
      <c r="G499" t="s">
        <v>18</v>
      </c>
      <c r="H499" t="s">
        <v>19</v>
      </c>
      <c r="I499" t="s">
        <v>53</v>
      </c>
      <c r="J499" s="2">
        <v>200</v>
      </c>
    </row>
    <row r="500" spans="1:12" ht="19.95" customHeight="1">
      <c r="A500" t="s">
        <v>581</v>
      </c>
      <c r="B500" t="s">
        <v>538</v>
      </c>
      <c r="C500" t="s">
        <v>78</v>
      </c>
      <c r="D500" t="s">
        <v>79</v>
      </c>
      <c r="E500" t="s">
        <v>16</v>
      </c>
      <c r="F500" t="s">
        <v>17</v>
      </c>
      <c r="G500" t="s">
        <v>32</v>
      </c>
      <c r="H500" t="s">
        <v>19</v>
      </c>
      <c r="I500" t="s">
        <v>20</v>
      </c>
      <c r="J500" s="2">
        <v>300</v>
      </c>
    </row>
    <row r="501" spans="1:12" ht="19.95" customHeight="1">
      <c r="A501" t="s">
        <v>582</v>
      </c>
      <c r="B501" t="s">
        <v>538</v>
      </c>
      <c r="C501" t="s">
        <v>78</v>
      </c>
      <c r="D501" t="s">
        <v>87</v>
      </c>
      <c r="E501" t="s">
        <v>16</v>
      </c>
      <c r="F501" t="s">
        <v>35</v>
      </c>
      <c r="G501" t="s">
        <v>18</v>
      </c>
      <c r="H501" t="s">
        <v>24</v>
      </c>
      <c r="I501" t="s">
        <v>20</v>
      </c>
      <c r="J501" s="2">
        <v>200</v>
      </c>
    </row>
    <row r="502" spans="1:12" ht="19.95" customHeight="1">
      <c r="A502" t="s">
        <v>583</v>
      </c>
      <c r="B502" t="s">
        <v>538</v>
      </c>
      <c r="C502" t="s">
        <v>78</v>
      </c>
      <c r="D502" t="s">
        <v>81</v>
      </c>
      <c r="E502" t="s">
        <v>16</v>
      </c>
      <c r="F502" t="s">
        <v>17</v>
      </c>
      <c r="G502" t="s">
        <v>32</v>
      </c>
      <c r="H502" t="s">
        <v>19</v>
      </c>
      <c r="I502" t="s">
        <v>20</v>
      </c>
      <c r="J502" s="2">
        <v>300</v>
      </c>
    </row>
    <row r="503" spans="1:12" ht="19.95" customHeight="1">
      <c r="A503" t="s">
        <v>584</v>
      </c>
      <c r="B503" t="s">
        <v>538</v>
      </c>
      <c r="C503" t="s">
        <v>78</v>
      </c>
      <c r="D503" t="s">
        <v>81</v>
      </c>
      <c r="E503" t="s">
        <v>16</v>
      </c>
      <c r="F503" t="s">
        <v>17</v>
      </c>
      <c r="G503" t="s">
        <v>23</v>
      </c>
      <c r="H503" t="s">
        <v>19</v>
      </c>
      <c r="I503" t="s">
        <v>20</v>
      </c>
      <c r="J503" s="2">
        <v>120</v>
      </c>
    </row>
    <row r="504" spans="1:12" ht="19.95" customHeight="1">
      <c r="A504" t="s">
        <v>585</v>
      </c>
      <c r="B504" t="s">
        <v>538</v>
      </c>
      <c r="C504" t="s">
        <v>78</v>
      </c>
      <c r="D504" t="s">
        <v>79</v>
      </c>
      <c r="E504" t="s">
        <v>16</v>
      </c>
      <c r="F504" t="s">
        <v>17</v>
      </c>
      <c r="G504" t="s">
        <v>23</v>
      </c>
      <c r="H504" t="s">
        <v>19</v>
      </c>
      <c r="I504" t="s">
        <v>20</v>
      </c>
      <c r="J504" s="2">
        <v>120</v>
      </c>
    </row>
    <row r="505" spans="1:12" ht="19.95" customHeight="1">
      <c r="A505" t="s">
        <v>586</v>
      </c>
      <c r="B505" t="s">
        <v>538</v>
      </c>
      <c r="C505" t="s">
        <v>78</v>
      </c>
      <c r="D505" t="s">
        <v>102</v>
      </c>
      <c r="E505" t="s">
        <v>16</v>
      </c>
      <c r="F505" t="s">
        <v>17</v>
      </c>
      <c r="G505" t="s">
        <v>32</v>
      </c>
      <c r="H505" t="s">
        <v>19</v>
      </c>
      <c r="I505" t="s">
        <v>20</v>
      </c>
      <c r="J505" s="2">
        <v>300</v>
      </c>
    </row>
    <row r="506" spans="1:12" ht="19.95" customHeight="1">
      <c r="A506" t="s">
        <v>587</v>
      </c>
      <c r="B506" t="s">
        <v>538</v>
      </c>
      <c r="C506" t="s">
        <v>105</v>
      </c>
      <c r="D506" t="s">
        <v>194</v>
      </c>
      <c r="E506" t="s">
        <v>16</v>
      </c>
      <c r="F506" t="s">
        <v>17</v>
      </c>
      <c r="G506" t="s">
        <v>18</v>
      </c>
      <c r="H506" t="s">
        <v>19</v>
      </c>
      <c r="I506" t="s">
        <v>20</v>
      </c>
      <c r="J506" s="2">
        <v>200</v>
      </c>
    </row>
    <row r="507" spans="1:12" ht="19.95" customHeight="1">
      <c r="A507" t="s">
        <v>588</v>
      </c>
      <c r="B507" t="s">
        <v>538</v>
      </c>
      <c r="C507" t="s">
        <v>105</v>
      </c>
      <c r="D507" t="s">
        <v>194</v>
      </c>
      <c r="E507" t="s">
        <v>16</v>
      </c>
      <c r="F507" t="s">
        <v>17</v>
      </c>
      <c r="G507" t="s">
        <v>32</v>
      </c>
      <c r="H507" t="s">
        <v>19</v>
      </c>
      <c r="I507" t="s">
        <v>20</v>
      </c>
      <c r="J507" s="2">
        <v>225</v>
      </c>
      <c r="L507" t="s">
        <v>29</v>
      </c>
    </row>
    <row r="508" spans="1:12" ht="19.95" customHeight="1">
      <c r="A508" t="s">
        <v>589</v>
      </c>
      <c r="B508" t="s">
        <v>538</v>
      </c>
      <c r="C508" t="s">
        <v>105</v>
      </c>
      <c r="D508" t="s">
        <v>265</v>
      </c>
      <c r="E508" t="s">
        <v>16</v>
      </c>
      <c r="F508" t="s">
        <v>17</v>
      </c>
      <c r="G508" t="s">
        <v>32</v>
      </c>
      <c r="H508" t="s">
        <v>19</v>
      </c>
      <c r="I508" t="s">
        <v>20</v>
      </c>
      <c r="J508" s="2">
        <v>300</v>
      </c>
    </row>
    <row r="509" spans="1:12" ht="19.95" customHeight="1">
      <c r="A509" t="s">
        <v>590</v>
      </c>
      <c r="B509" t="s">
        <v>538</v>
      </c>
      <c r="C509" t="s">
        <v>105</v>
      </c>
      <c r="D509" t="s">
        <v>116</v>
      </c>
      <c r="E509" t="s">
        <v>16</v>
      </c>
      <c r="F509" t="s">
        <v>17</v>
      </c>
      <c r="G509" t="s">
        <v>32</v>
      </c>
      <c r="H509" t="s">
        <v>24</v>
      </c>
      <c r="I509" t="s">
        <v>20</v>
      </c>
      <c r="J509" s="2">
        <v>300</v>
      </c>
    </row>
    <row r="510" spans="1:12" ht="19.95" customHeight="1">
      <c r="A510" t="s">
        <v>591</v>
      </c>
      <c r="B510" t="s">
        <v>538</v>
      </c>
      <c r="C510" t="s">
        <v>105</v>
      </c>
      <c r="D510" t="s">
        <v>120</v>
      </c>
      <c r="E510" t="s">
        <v>16</v>
      </c>
      <c r="F510" t="s">
        <v>17</v>
      </c>
      <c r="G510" t="s">
        <v>18</v>
      </c>
      <c r="H510" t="s">
        <v>19</v>
      </c>
      <c r="I510" t="s">
        <v>20</v>
      </c>
      <c r="J510" s="2">
        <v>200</v>
      </c>
    </row>
    <row r="511" spans="1:12" ht="19.95" customHeight="1">
      <c r="A511" t="s">
        <v>592</v>
      </c>
      <c r="B511" t="s">
        <v>538</v>
      </c>
      <c r="C511" t="s">
        <v>105</v>
      </c>
      <c r="D511" t="s">
        <v>265</v>
      </c>
      <c r="E511" t="s">
        <v>16</v>
      </c>
      <c r="F511" t="s">
        <v>17</v>
      </c>
      <c r="G511" t="s">
        <v>23</v>
      </c>
      <c r="H511" t="s">
        <v>19</v>
      </c>
      <c r="I511" t="s">
        <v>20</v>
      </c>
      <c r="J511" s="2">
        <v>120</v>
      </c>
    </row>
    <row r="512" spans="1:12" ht="19.95" customHeight="1">
      <c r="A512" t="s">
        <v>593</v>
      </c>
      <c r="B512" t="s">
        <v>538</v>
      </c>
      <c r="C512" t="s">
        <v>105</v>
      </c>
      <c r="D512" t="s">
        <v>118</v>
      </c>
      <c r="E512" t="s">
        <v>16</v>
      </c>
      <c r="F512" t="s">
        <v>17</v>
      </c>
      <c r="G512" t="s">
        <v>18</v>
      </c>
      <c r="H512" t="s">
        <v>19</v>
      </c>
      <c r="I512" t="s">
        <v>20</v>
      </c>
      <c r="J512" s="2">
        <v>200</v>
      </c>
    </row>
    <row r="513" spans="1:12" ht="19.95" customHeight="1">
      <c r="A513" t="s">
        <v>594</v>
      </c>
      <c r="B513" t="s">
        <v>538</v>
      </c>
      <c r="C513" t="s">
        <v>105</v>
      </c>
      <c r="D513" t="s">
        <v>106</v>
      </c>
      <c r="E513" t="s">
        <v>16</v>
      </c>
      <c r="F513" t="s">
        <v>17</v>
      </c>
      <c r="G513" t="s">
        <v>23</v>
      </c>
      <c r="H513" t="s">
        <v>19</v>
      </c>
      <c r="I513" t="s">
        <v>20</v>
      </c>
      <c r="J513" s="2">
        <v>120</v>
      </c>
    </row>
    <row r="514" spans="1:12" ht="19.95" customHeight="1">
      <c r="A514" t="s">
        <v>595</v>
      </c>
      <c r="B514" t="s">
        <v>538</v>
      </c>
      <c r="C514" t="s">
        <v>105</v>
      </c>
      <c r="D514" t="s">
        <v>110</v>
      </c>
      <c r="E514" t="s">
        <v>16</v>
      </c>
      <c r="F514" t="s">
        <v>17</v>
      </c>
      <c r="G514" t="s">
        <v>23</v>
      </c>
      <c r="H514" t="s">
        <v>24</v>
      </c>
      <c r="I514" t="s">
        <v>20</v>
      </c>
      <c r="J514" s="2">
        <v>120</v>
      </c>
    </row>
    <row r="515" spans="1:12" ht="19.95" customHeight="1">
      <c r="A515" t="s">
        <v>596</v>
      </c>
      <c r="B515" t="s">
        <v>538</v>
      </c>
      <c r="C515" t="s">
        <v>105</v>
      </c>
      <c r="D515" t="s">
        <v>116</v>
      </c>
      <c r="E515" t="s">
        <v>16</v>
      </c>
      <c r="F515" t="s">
        <v>17</v>
      </c>
      <c r="G515" t="s">
        <v>23</v>
      </c>
      <c r="H515" t="s">
        <v>19</v>
      </c>
      <c r="I515" t="s">
        <v>20</v>
      </c>
      <c r="J515" s="2">
        <v>120</v>
      </c>
    </row>
    <row r="516" spans="1:12" ht="19.95" customHeight="1">
      <c r="A516" t="s">
        <v>597</v>
      </c>
      <c r="B516" t="s">
        <v>538</v>
      </c>
      <c r="C516" t="s">
        <v>105</v>
      </c>
      <c r="D516" t="s">
        <v>191</v>
      </c>
      <c r="E516" t="s">
        <v>16</v>
      </c>
      <c r="F516" t="s">
        <v>17</v>
      </c>
      <c r="G516" t="s">
        <v>32</v>
      </c>
      <c r="H516" t="s">
        <v>19</v>
      </c>
      <c r="I516" t="s">
        <v>20</v>
      </c>
      <c r="J516" s="2">
        <v>300</v>
      </c>
    </row>
    <row r="517" spans="1:12" ht="19.95" customHeight="1">
      <c r="A517" t="s">
        <v>598</v>
      </c>
      <c r="B517" t="s">
        <v>538</v>
      </c>
      <c r="C517" t="s">
        <v>105</v>
      </c>
      <c r="D517" t="s">
        <v>187</v>
      </c>
      <c r="E517" t="s">
        <v>16</v>
      </c>
      <c r="F517" t="s">
        <v>17</v>
      </c>
      <c r="G517" t="s">
        <v>23</v>
      </c>
      <c r="H517" t="s">
        <v>19</v>
      </c>
      <c r="I517" t="s">
        <v>20</v>
      </c>
      <c r="J517" s="2">
        <v>120</v>
      </c>
    </row>
    <row r="518" spans="1:12" ht="19.95" customHeight="1">
      <c r="A518" t="s">
        <v>599</v>
      </c>
      <c r="B518" t="s">
        <v>538</v>
      </c>
      <c r="C518" t="s">
        <v>105</v>
      </c>
      <c r="D518" t="s">
        <v>110</v>
      </c>
      <c r="E518" t="s">
        <v>16</v>
      </c>
      <c r="F518" t="s">
        <v>17</v>
      </c>
      <c r="G518" t="s">
        <v>23</v>
      </c>
      <c r="H518" t="s">
        <v>19</v>
      </c>
      <c r="I518" t="s">
        <v>74</v>
      </c>
      <c r="J518" s="2">
        <v>102</v>
      </c>
      <c r="L518" t="s">
        <v>29</v>
      </c>
    </row>
    <row r="519" spans="1:12" ht="19.95" customHeight="1">
      <c r="A519" t="s">
        <v>600</v>
      </c>
      <c r="B519" t="s">
        <v>538</v>
      </c>
      <c r="C519" t="s">
        <v>78</v>
      </c>
      <c r="D519" t="s">
        <v>89</v>
      </c>
      <c r="E519" t="s">
        <v>402</v>
      </c>
      <c r="F519" t="s">
        <v>17</v>
      </c>
      <c r="G519" t="s">
        <v>23</v>
      </c>
      <c r="H519" t="s">
        <v>19</v>
      </c>
      <c r="I519" t="s">
        <v>20</v>
      </c>
      <c r="J519" s="2">
        <v>120</v>
      </c>
      <c r="K519" t="s">
        <v>436</v>
      </c>
    </row>
    <row r="520" spans="1:12" ht="19.95" customHeight="1">
      <c r="A520" t="s">
        <v>601</v>
      </c>
      <c r="B520" t="s">
        <v>602</v>
      </c>
      <c r="C520" t="s">
        <v>14</v>
      </c>
      <c r="D520" t="s">
        <v>28</v>
      </c>
      <c r="E520" t="s">
        <v>16</v>
      </c>
      <c r="F520" t="s">
        <v>17</v>
      </c>
      <c r="G520" t="s">
        <v>23</v>
      </c>
      <c r="H520" t="s">
        <v>19</v>
      </c>
      <c r="I520" t="s">
        <v>20</v>
      </c>
      <c r="J520" s="2">
        <v>120</v>
      </c>
    </row>
    <row r="521" spans="1:12" ht="19.95" customHeight="1">
      <c r="A521" t="s">
        <v>603</v>
      </c>
      <c r="B521" t="s">
        <v>602</v>
      </c>
      <c r="C521" t="s">
        <v>14</v>
      </c>
      <c r="D521" t="s">
        <v>34</v>
      </c>
      <c r="E521" t="s">
        <v>16</v>
      </c>
      <c r="F521" t="s">
        <v>17</v>
      </c>
      <c r="G521" t="s">
        <v>18</v>
      </c>
      <c r="H521" t="s">
        <v>19</v>
      </c>
      <c r="I521" t="s">
        <v>20</v>
      </c>
      <c r="J521" s="2">
        <v>200</v>
      </c>
    </row>
    <row r="522" spans="1:12" ht="19.95" customHeight="1">
      <c r="A522" t="s">
        <v>604</v>
      </c>
      <c r="B522" t="s">
        <v>602</v>
      </c>
      <c r="C522" t="s">
        <v>14</v>
      </c>
      <c r="D522" t="s">
        <v>15</v>
      </c>
      <c r="E522" t="s">
        <v>16</v>
      </c>
      <c r="F522" t="s">
        <v>17</v>
      </c>
      <c r="G522" t="s">
        <v>23</v>
      </c>
      <c r="H522" t="s">
        <v>19</v>
      </c>
      <c r="I522" t="s">
        <v>20</v>
      </c>
      <c r="J522" s="2">
        <v>102</v>
      </c>
      <c r="L522" t="s">
        <v>29</v>
      </c>
    </row>
    <row r="523" spans="1:12" ht="19.95" customHeight="1">
      <c r="A523" t="s">
        <v>605</v>
      </c>
      <c r="B523" t="s">
        <v>602</v>
      </c>
      <c r="C523" t="s">
        <v>14</v>
      </c>
      <c r="D523" t="s">
        <v>31</v>
      </c>
      <c r="E523" t="s">
        <v>16</v>
      </c>
      <c r="F523" t="s">
        <v>17</v>
      </c>
      <c r="G523" t="s">
        <v>23</v>
      </c>
      <c r="H523" t="s">
        <v>19</v>
      </c>
      <c r="I523" t="s">
        <v>20</v>
      </c>
      <c r="J523" s="2">
        <v>120</v>
      </c>
    </row>
    <row r="524" spans="1:12" ht="19.95" customHeight="1">
      <c r="A524" t="s">
        <v>606</v>
      </c>
      <c r="B524" t="s">
        <v>602</v>
      </c>
      <c r="C524" t="s">
        <v>14</v>
      </c>
      <c r="D524" t="s">
        <v>28</v>
      </c>
      <c r="E524" t="s">
        <v>16</v>
      </c>
      <c r="F524" t="s">
        <v>17</v>
      </c>
      <c r="G524" t="s">
        <v>32</v>
      </c>
      <c r="H524" t="s">
        <v>19</v>
      </c>
      <c r="I524" t="s">
        <v>20</v>
      </c>
      <c r="J524" s="2">
        <v>300</v>
      </c>
    </row>
    <row r="525" spans="1:12" ht="19.95" customHeight="1">
      <c r="A525" t="s">
        <v>607</v>
      </c>
      <c r="B525" t="s">
        <v>602</v>
      </c>
      <c r="C525" t="s">
        <v>14</v>
      </c>
      <c r="D525" t="s">
        <v>210</v>
      </c>
      <c r="E525" t="s">
        <v>16</v>
      </c>
      <c r="F525" t="s">
        <v>35</v>
      </c>
      <c r="G525" t="s">
        <v>32</v>
      </c>
      <c r="H525" t="s">
        <v>19</v>
      </c>
      <c r="I525" t="s">
        <v>20</v>
      </c>
      <c r="J525" s="2">
        <v>225</v>
      </c>
      <c r="L525" t="s">
        <v>29</v>
      </c>
    </row>
    <row r="526" spans="1:12" ht="19.95" customHeight="1">
      <c r="A526" t="s">
        <v>608</v>
      </c>
      <c r="B526" t="s">
        <v>602</v>
      </c>
      <c r="C526" t="s">
        <v>14</v>
      </c>
      <c r="D526" t="s">
        <v>42</v>
      </c>
      <c r="E526" t="s">
        <v>16</v>
      </c>
      <c r="F526" t="s">
        <v>35</v>
      </c>
      <c r="G526" t="s">
        <v>18</v>
      </c>
      <c r="H526" t="s">
        <v>24</v>
      </c>
      <c r="I526" t="s">
        <v>20</v>
      </c>
      <c r="J526" s="2">
        <v>200</v>
      </c>
    </row>
    <row r="527" spans="1:12" ht="19.95" customHeight="1">
      <c r="A527" t="s">
        <v>609</v>
      </c>
      <c r="B527" t="s">
        <v>602</v>
      </c>
      <c r="C527" t="s">
        <v>14</v>
      </c>
      <c r="D527" t="s">
        <v>137</v>
      </c>
      <c r="E527" t="s">
        <v>16</v>
      </c>
      <c r="F527" t="s">
        <v>35</v>
      </c>
      <c r="G527" t="s">
        <v>32</v>
      </c>
      <c r="H527" t="s">
        <v>19</v>
      </c>
      <c r="I527" t="s">
        <v>20</v>
      </c>
      <c r="J527" s="2">
        <v>300</v>
      </c>
    </row>
    <row r="528" spans="1:12" ht="19.95" customHeight="1">
      <c r="A528" t="s">
        <v>610</v>
      </c>
      <c r="B528" t="s">
        <v>602</v>
      </c>
      <c r="C528" t="s">
        <v>14</v>
      </c>
      <c r="D528" t="s">
        <v>26</v>
      </c>
      <c r="E528" t="s">
        <v>16</v>
      </c>
      <c r="F528" t="s">
        <v>17</v>
      </c>
      <c r="G528" t="s">
        <v>18</v>
      </c>
      <c r="H528" t="s">
        <v>24</v>
      </c>
      <c r="I528" t="s">
        <v>20</v>
      </c>
      <c r="J528" s="2">
        <v>200</v>
      </c>
    </row>
    <row r="529" spans="1:12" ht="19.95" customHeight="1">
      <c r="A529" t="s">
        <v>611</v>
      </c>
      <c r="B529" t="s">
        <v>602</v>
      </c>
      <c r="C529" t="s">
        <v>14</v>
      </c>
      <c r="D529" t="s">
        <v>131</v>
      </c>
      <c r="E529" t="s">
        <v>16</v>
      </c>
      <c r="F529" t="s">
        <v>17</v>
      </c>
      <c r="G529" t="s">
        <v>23</v>
      </c>
      <c r="H529" t="s">
        <v>19</v>
      </c>
      <c r="I529" t="s">
        <v>20</v>
      </c>
      <c r="J529" s="2">
        <v>120</v>
      </c>
    </row>
    <row r="530" spans="1:12" ht="19.95" customHeight="1">
      <c r="A530" t="s">
        <v>612</v>
      </c>
      <c r="B530" t="s">
        <v>602</v>
      </c>
      <c r="C530" t="s">
        <v>14</v>
      </c>
      <c r="D530" t="s">
        <v>210</v>
      </c>
      <c r="E530" t="s">
        <v>16</v>
      </c>
      <c r="F530" t="s">
        <v>17</v>
      </c>
      <c r="G530" t="s">
        <v>32</v>
      </c>
      <c r="H530" t="s">
        <v>19</v>
      </c>
      <c r="I530" t="s">
        <v>20</v>
      </c>
      <c r="J530" s="2">
        <v>300</v>
      </c>
    </row>
    <row r="531" spans="1:12" ht="19.95" customHeight="1">
      <c r="A531" t="s">
        <v>613</v>
      </c>
      <c r="B531" t="s">
        <v>602</v>
      </c>
      <c r="C531" t="s">
        <v>14</v>
      </c>
      <c r="D531" t="s">
        <v>37</v>
      </c>
      <c r="E531" t="s">
        <v>16</v>
      </c>
      <c r="F531" t="s">
        <v>17</v>
      </c>
      <c r="G531" t="s">
        <v>32</v>
      </c>
      <c r="H531" t="s">
        <v>19</v>
      </c>
      <c r="I531" t="s">
        <v>20</v>
      </c>
      <c r="J531" s="2">
        <v>300</v>
      </c>
    </row>
    <row r="532" spans="1:12" ht="19.95" customHeight="1">
      <c r="A532" t="s">
        <v>614</v>
      </c>
      <c r="B532" t="s">
        <v>602</v>
      </c>
      <c r="C532" t="s">
        <v>14</v>
      </c>
      <c r="D532" t="s">
        <v>31</v>
      </c>
      <c r="E532" t="s">
        <v>16</v>
      </c>
      <c r="F532" t="s">
        <v>35</v>
      </c>
      <c r="G532" t="s">
        <v>23</v>
      </c>
      <c r="H532" t="s">
        <v>19</v>
      </c>
      <c r="I532" t="s">
        <v>20</v>
      </c>
      <c r="J532" s="2">
        <v>120</v>
      </c>
    </row>
    <row r="533" spans="1:12" ht="19.95" customHeight="1">
      <c r="A533" t="s">
        <v>615</v>
      </c>
      <c r="B533" t="s">
        <v>602</v>
      </c>
      <c r="C533" t="s">
        <v>14</v>
      </c>
      <c r="D533" t="s">
        <v>28</v>
      </c>
      <c r="E533" t="s">
        <v>16</v>
      </c>
      <c r="F533" t="s">
        <v>17</v>
      </c>
      <c r="G533" t="s">
        <v>23</v>
      </c>
      <c r="H533" t="s">
        <v>19</v>
      </c>
      <c r="I533" t="s">
        <v>20</v>
      </c>
      <c r="J533" s="2">
        <v>120</v>
      </c>
    </row>
    <row r="534" spans="1:12" ht="19.95" customHeight="1">
      <c r="A534" t="s">
        <v>616</v>
      </c>
      <c r="B534" t="s">
        <v>602</v>
      </c>
      <c r="C534" t="s">
        <v>14</v>
      </c>
      <c r="D534" t="s">
        <v>210</v>
      </c>
      <c r="E534" t="s">
        <v>16</v>
      </c>
      <c r="F534" t="s">
        <v>17</v>
      </c>
      <c r="G534" t="s">
        <v>23</v>
      </c>
      <c r="H534" t="s">
        <v>19</v>
      </c>
      <c r="I534" t="s">
        <v>20</v>
      </c>
      <c r="J534" s="2">
        <v>120</v>
      </c>
    </row>
    <row r="535" spans="1:12" ht="19.95" customHeight="1">
      <c r="A535" t="s">
        <v>617</v>
      </c>
      <c r="B535" t="s">
        <v>602</v>
      </c>
      <c r="C535" t="s">
        <v>47</v>
      </c>
      <c r="D535" t="s">
        <v>73</v>
      </c>
      <c r="E535" t="s">
        <v>16</v>
      </c>
      <c r="F535" t="s">
        <v>17</v>
      </c>
      <c r="G535" t="s">
        <v>18</v>
      </c>
      <c r="H535" t="s">
        <v>19</v>
      </c>
      <c r="I535" t="s">
        <v>20</v>
      </c>
      <c r="J535" s="2">
        <v>150</v>
      </c>
      <c r="L535" t="s">
        <v>29</v>
      </c>
    </row>
    <row r="536" spans="1:12" ht="19.95" customHeight="1">
      <c r="A536" t="s">
        <v>618</v>
      </c>
      <c r="B536" t="s">
        <v>602</v>
      </c>
      <c r="C536" t="s">
        <v>47</v>
      </c>
      <c r="D536" t="s">
        <v>148</v>
      </c>
      <c r="E536" t="s">
        <v>16</v>
      </c>
      <c r="F536" t="s">
        <v>17</v>
      </c>
      <c r="G536" t="s">
        <v>23</v>
      </c>
      <c r="H536" t="s">
        <v>19</v>
      </c>
      <c r="I536" t="s">
        <v>20</v>
      </c>
      <c r="J536" s="2">
        <v>120</v>
      </c>
    </row>
    <row r="537" spans="1:12" ht="19.95" customHeight="1">
      <c r="A537" t="s">
        <v>619</v>
      </c>
      <c r="B537" t="s">
        <v>602</v>
      </c>
      <c r="C537" t="s">
        <v>47</v>
      </c>
      <c r="D537" t="s">
        <v>71</v>
      </c>
      <c r="E537" t="s">
        <v>16</v>
      </c>
      <c r="F537" t="s">
        <v>35</v>
      </c>
      <c r="G537" t="s">
        <v>23</v>
      </c>
      <c r="H537" t="s">
        <v>19</v>
      </c>
      <c r="I537" t="s">
        <v>53</v>
      </c>
      <c r="J537" s="2">
        <v>90</v>
      </c>
      <c r="L537" t="s">
        <v>29</v>
      </c>
    </row>
    <row r="538" spans="1:12" ht="19.95" customHeight="1">
      <c r="A538" t="s">
        <v>620</v>
      </c>
      <c r="B538" t="s">
        <v>602</v>
      </c>
      <c r="C538" t="s">
        <v>47</v>
      </c>
      <c r="D538" t="s">
        <v>71</v>
      </c>
      <c r="E538" t="s">
        <v>16</v>
      </c>
      <c r="F538" t="s">
        <v>35</v>
      </c>
      <c r="G538" t="s">
        <v>32</v>
      </c>
      <c r="H538" t="s">
        <v>19</v>
      </c>
      <c r="I538" t="s">
        <v>20</v>
      </c>
      <c r="J538" s="2">
        <v>300</v>
      </c>
    </row>
    <row r="539" spans="1:12" ht="19.95" customHeight="1">
      <c r="A539" t="s">
        <v>621</v>
      </c>
      <c r="B539" t="s">
        <v>602</v>
      </c>
      <c r="C539" t="s">
        <v>47</v>
      </c>
      <c r="D539" t="s">
        <v>152</v>
      </c>
      <c r="E539" t="s">
        <v>16</v>
      </c>
      <c r="F539" t="s">
        <v>17</v>
      </c>
      <c r="G539" t="s">
        <v>18</v>
      </c>
      <c r="H539" t="s">
        <v>19</v>
      </c>
      <c r="I539" t="s">
        <v>20</v>
      </c>
      <c r="J539" s="2">
        <v>200</v>
      </c>
    </row>
    <row r="540" spans="1:12" ht="19.95" customHeight="1">
      <c r="A540" t="s">
        <v>622</v>
      </c>
      <c r="B540" t="s">
        <v>602</v>
      </c>
      <c r="C540" t="s">
        <v>47</v>
      </c>
      <c r="D540" t="s">
        <v>55</v>
      </c>
      <c r="E540" t="s">
        <v>16</v>
      </c>
      <c r="F540" t="s">
        <v>17</v>
      </c>
      <c r="G540" t="s">
        <v>23</v>
      </c>
      <c r="H540" t="s">
        <v>19</v>
      </c>
      <c r="I540" t="s">
        <v>20</v>
      </c>
      <c r="J540" s="2">
        <v>120</v>
      </c>
    </row>
    <row r="541" spans="1:12" ht="19.95" customHeight="1">
      <c r="A541" t="s">
        <v>623</v>
      </c>
      <c r="B541" t="s">
        <v>602</v>
      </c>
      <c r="C541" t="s">
        <v>47</v>
      </c>
      <c r="D541" t="s">
        <v>71</v>
      </c>
      <c r="E541" t="s">
        <v>16</v>
      </c>
      <c r="F541" t="s">
        <v>17</v>
      </c>
      <c r="G541" t="s">
        <v>32</v>
      </c>
      <c r="H541" t="s">
        <v>19</v>
      </c>
      <c r="I541" t="s">
        <v>20</v>
      </c>
      <c r="J541" s="2">
        <v>300</v>
      </c>
    </row>
    <row r="542" spans="1:12" ht="19.95" customHeight="1">
      <c r="A542" t="s">
        <v>624</v>
      </c>
      <c r="B542" t="s">
        <v>602</v>
      </c>
      <c r="C542" t="s">
        <v>47</v>
      </c>
      <c r="D542" t="s">
        <v>148</v>
      </c>
      <c r="E542" t="s">
        <v>16</v>
      </c>
      <c r="F542" t="s">
        <v>17</v>
      </c>
      <c r="G542" t="s">
        <v>23</v>
      </c>
      <c r="H542" t="s">
        <v>19</v>
      </c>
      <c r="I542" t="s">
        <v>20</v>
      </c>
      <c r="J542" s="2">
        <v>120</v>
      </c>
    </row>
    <row r="543" spans="1:12" ht="19.95" customHeight="1">
      <c r="A543" t="s">
        <v>625</v>
      </c>
      <c r="B543" t="s">
        <v>602</v>
      </c>
      <c r="C543" t="s">
        <v>47</v>
      </c>
      <c r="D543" t="s">
        <v>50</v>
      </c>
      <c r="E543" t="s">
        <v>16</v>
      </c>
      <c r="F543" t="s">
        <v>17</v>
      </c>
      <c r="G543" t="s">
        <v>23</v>
      </c>
      <c r="H543" t="s">
        <v>19</v>
      </c>
      <c r="I543" t="s">
        <v>20</v>
      </c>
      <c r="J543" s="2">
        <v>120</v>
      </c>
    </row>
    <row r="544" spans="1:12" ht="19.95" customHeight="1">
      <c r="A544" t="s">
        <v>626</v>
      </c>
      <c r="B544" t="s">
        <v>602</v>
      </c>
      <c r="C544" t="s">
        <v>47</v>
      </c>
      <c r="D544" t="s">
        <v>148</v>
      </c>
      <c r="E544" t="s">
        <v>16</v>
      </c>
      <c r="F544" t="s">
        <v>17</v>
      </c>
      <c r="G544" t="s">
        <v>23</v>
      </c>
      <c r="H544" t="s">
        <v>19</v>
      </c>
      <c r="I544" t="s">
        <v>74</v>
      </c>
      <c r="J544" s="2">
        <v>90</v>
      </c>
      <c r="L544" t="s">
        <v>29</v>
      </c>
    </row>
    <row r="545" spans="1:12" ht="19.95" customHeight="1">
      <c r="A545" t="s">
        <v>627</v>
      </c>
      <c r="B545" t="s">
        <v>602</v>
      </c>
      <c r="C545" t="s">
        <v>47</v>
      </c>
      <c r="D545" t="s">
        <v>148</v>
      </c>
      <c r="E545" t="s">
        <v>16</v>
      </c>
      <c r="F545" t="s">
        <v>35</v>
      </c>
      <c r="G545" t="s">
        <v>18</v>
      </c>
      <c r="H545" t="s">
        <v>24</v>
      </c>
      <c r="I545" t="s">
        <v>20</v>
      </c>
      <c r="J545" s="2">
        <v>200</v>
      </c>
    </row>
    <row r="546" spans="1:12" ht="19.95" customHeight="1">
      <c r="A546" t="s">
        <v>628</v>
      </c>
      <c r="B546" t="s">
        <v>602</v>
      </c>
      <c r="C546" t="s">
        <v>47</v>
      </c>
      <c r="D546" t="s">
        <v>50</v>
      </c>
      <c r="E546" t="s">
        <v>16</v>
      </c>
      <c r="F546" t="s">
        <v>17</v>
      </c>
      <c r="G546" t="s">
        <v>32</v>
      </c>
      <c r="H546" t="s">
        <v>19</v>
      </c>
      <c r="I546" t="s">
        <v>20</v>
      </c>
      <c r="J546" s="2">
        <v>300</v>
      </c>
    </row>
    <row r="547" spans="1:12" ht="19.95" customHeight="1">
      <c r="A547" t="s">
        <v>629</v>
      </c>
      <c r="B547" t="s">
        <v>602</v>
      </c>
      <c r="C547" t="s">
        <v>47</v>
      </c>
      <c r="D547" t="s">
        <v>62</v>
      </c>
      <c r="E547" t="s">
        <v>16</v>
      </c>
      <c r="F547" t="s">
        <v>17</v>
      </c>
      <c r="G547" t="s">
        <v>32</v>
      </c>
      <c r="H547" t="s">
        <v>19</v>
      </c>
      <c r="I547" t="s">
        <v>74</v>
      </c>
      <c r="J547" s="2">
        <v>300</v>
      </c>
    </row>
    <row r="548" spans="1:12" ht="19.95" customHeight="1">
      <c r="A548" t="s">
        <v>630</v>
      </c>
      <c r="B548" t="s">
        <v>602</v>
      </c>
      <c r="C548" t="s">
        <v>47</v>
      </c>
      <c r="D548" t="s">
        <v>148</v>
      </c>
      <c r="E548" t="s">
        <v>16</v>
      </c>
      <c r="F548" t="s">
        <v>17</v>
      </c>
      <c r="G548" t="s">
        <v>32</v>
      </c>
      <c r="H548" t="s">
        <v>19</v>
      </c>
      <c r="I548" t="s">
        <v>20</v>
      </c>
      <c r="J548" s="2">
        <v>300</v>
      </c>
    </row>
    <row r="549" spans="1:12" ht="19.95" customHeight="1">
      <c r="A549" t="s">
        <v>631</v>
      </c>
      <c r="B549" t="s">
        <v>602</v>
      </c>
      <c r="C549" t="s">
        <v>47</v>
      </c>
      <c r="D549" t="s">
        <v>52</v>
      </c>
      <c r="E549" t="s">
        <v>16</v>
      </c>
      <c r="F549" t="s">
        <v>17</v>
      </c>
      <c r="G549" t="s">
        <v>23</v>
      </c>
      <c r="H549" t="s">
        <v>19</v>
      </c>
      <c r="I549" t="s">
        <v>20</v>
      </c>
      <c r="J549" s="2">
        <v>120</v>
      </c>
    </row>
    <row r="550" spans="1:12" ht="19.95" customHeight="1">
      <c r="A550" t="s">
        <v>632</v>
      </c>
      <c r="B550" t="s">
        <v>602</v>
      </c>
      <c r="C550" t="s">
        <v>47</v>
      </c>
      <c r="D550" t="s">
        <v>59</v>
      </c>
      <c r="E550" t="s">
        <v>16</v>
      </c>
      <c r="F550" t="s">
        <v>17</v>
      </c>
      <c r="G550" t="s">
        <v>18</v>
      </c>
      <c r="H550" t="s">
        <v>19</v>
      </c>
      <c r="I550" t="s">
        <v>20</v>
      </c>
      <c r="J550" s="2">
        <v>200</v>
      </c>
    </row>
    <row r="551" spans="1:12" ht="19.95" customHeight="1">
      <c r="A551" t="s">
        <v>633</v>
      </c>
      <c r="B551" t="s">
        <v>602</v>
      </c>
      <c r="C551" t="s">
        <v>47</v>
      </c>
      <c r="D551" t="s">
        <v>73</v>
      </c>
      <c r="E551" t="s">
        <v>16</v>
      </c>
      <c r="F551" t="s">
        <v>17</v>
      </c>
      <c r="G551" t="s">
        <v>23</v>
      </c>
      <c r="H551" t="s">
        <v>19</v>
      </c>
      <c r="I551" t="s">
        <v>74</v>
      </c>
      <c r="J551" s="2">
        <v>120</v>
      </c>
    </row>
    <row r="552" spans="1:12" ht="19.95" customHeight="1">
      <c r="A552" t="s">
        <v>634</v>
      </c>
      <c r="B552" t="s">
        <v>602</v>
      </c>
      <c r="C552" t="s">
        <v>47</v>
      </c>
      <c r="D552" t="s">
        <v>152</v>
      </c>
      <c r="E552" t="s">
        <v>16</v>
      </c>
      <c r="F552" t="s">
        <v>17</v>
      </c>
      <c r="G552" t="s">
        <v>23</v>
      </c>
      <c r="H552" t="s">
        <v>19</v>
      </c>
      <c r="I552" t="s">
        <v>20</v>
      </c>
      <c r="J552" s="2">
        <v>120</v>
      </c>
    </row>
    <row r="553" spans="1:12" ht="19.95" customHeight="1">
      <c r="A553" t="s">
        <v>635</v>
      </c>
      <c r="B553" t="s">
        <v>602</v>
      </c>
      <c r="C553" t="s">
        <v>78</v>
      </c>
      <c r="D553" t="s">
        <v>85</v>
      </c>
      <c r="E553" t="s">
        <v>16</v>
      </c>
      <c r="F553" t="s">
        <v>17</v>
      </c>
      <c r="G553" t="s">
        <v>32</v>
      </c>
      <c r="H553" t="s">
        <v>19</v>
      </c>
      <c r="I553" t="s">
        <v>20</v>
      </c>
      <c r="J553" s="2">
        <v>300</v>
      </c>
    </row>
    <row r="554" spans="1:12" ht="19.95" customHeight="1">
      <c r="A554" t="s">
        <v>636</v>
      </c>
      <c r="B554" t="s">
        <v>602</v>
      </c>
      <c r="C554" t="s">
        <v>78</v>
      </c>
      <c r="D554" t="s">
        <v>242</v>
      </c>
      <c r="E554" t="s">
        <v>16</v>
      </c>
      <c r="F554" t="s">
        <v>35</v>
      </c>
      <c r="G554" t="s">
        <v>18</v>
      </c>
      <c r="H554" t="s">
        <v>19</v>
      </c>
      <c r="I554" t="s">
        <v>20</v>
      </c>
      <c r="J554" s="2">
        <v>170</v>
      </c>
      <c r="L554" t="s">
        <v>29</v>
      </c>
    </row>
    <row r="555" spans="1:12" ht="19.95" customHeight="1">
      <c r="A555" t="s">
        <v>637</v>
      </c>
      <c r="B555" t="s">
        <v>602</v>
      </c>
      <c r="C555" t="s">
        <v>78</v>
      </c>
      <c r="D555" t="s">
        <v>79</v>
      </c>
      <c r="E555" t="s">
        <v>16</v>
      </c>
      <c r="F555" t="s">
        <v>17</v>
      </c>
      <c r="G555" t="s">
        <v>32</v>
      </c>
      <c r="H555" t="s">
        <v>19</v>
      </c>
      <c r="I555" t="s">
        <v>20</v>
      </c>
      <c r="J555" s="2">
        <v>300</v>
      </c>
    </row>
    <row r="556" spans="1:12" ht="19.95" customHeight="1">
      <c r="A556" t="s">
        <v>638</v>
      </c>
      <c r="B556" t="s">
        <v>602</v>
      </c>
      <c r="C556" t="s">
        <v>78</v>
      </c>
      <c r="D556" t="s">
        <v>85</v>
      </c>
      <c r="E556" t="s">
        <v>16</v>
      </c>
      <c r="F556" t="s">
        <v>17</v>
      </c>
      <c r="G556" t="s">
        <v>32</v>
      </c>
      <c r="H556" t="s">
        <v>19</v>
      </c>
      <c r="I556" t="s">
        <v>20</v>
      </c>
      <c r="J556" s="2">
        <v>300</v>
      </c>
    </row>
    <row r="557" spans="1:12" ht="19.95" customHeight="1">
      <c r="A557" t="s">
        <v>639</v>
      </c>
      <c r="B557" t="s">
        <v>602</v>
      </c>
      <c r="C557" t="s">
        <v>78</v>
      </c>
      <c r="D557" t="s">
        <v>85</v>
      </c>
      <c r="E557" t="s">
        <v>16</v>
      </c>
      <c r="F557" t="s">
        <v>17</v>
      </c>
      <c r="G557" t="s">
        <v>18</v>
      </c>
      <c r="H557" t="s">
        <v>19</v>
      </c>
      <c r="I557" t="s">
        <v>20</v>
      </c>
      <c r="J557" s="2">
        <v>200</v>
      </c>
    </row>
    <row r="558" spans="1:12" ht="19.95" customHeight="1">
      <c r="A558" t="s">
        <v>640</v>
      </c>
      <c r="B558" t="s">
        <v>602</v>
      </c>
      <c r="C558" t="s">
        <v>78</v>
      </c>
      <c r="D558" t="s">
        <v>87</v>
      </c>
      <c r="E558" t="s">
        <v>16</v>
      </c>
      <c r="F558" t="s">
        <v>17</v>
      </c>
      <c r="G558" t="s">
        <v>23</v>
      </c>
      <c r="H558" t="s">
        <v>24</v>
      </c>
      <c r="I558" t="s">
        <v>20</v>
      </c>
      <c r="J558" s="2">
        <v>120</v>
      </c>
    </row>
    <row r="559" spans="1:12" ht="19.95" customHeight="1">
      <c r="A559" t="s">
        <v>641</v>
      </c>
      <c r="B559" t="s">
        <v>602</v>
      </c>
      <c r="C559" t="s">
        <v>78</v>
      </c>
      <c r="D559" t="s">
        <v>83</v>
      </c>
      <c r="E559" t="s">
        <v>16</v>
      </c>
      <c r="F559" t="s">
        <v>17</v>
      </c>
      <c r="G559" t="s">
        <v>18</v>
      </c>
      <c r="H559" t="s">
        <v>19</v>
      </c>
      <c r="I559" t="s">
        <v>20</v>
      </c>
      <c r="J559" s="2">
        <v>170</v>
      </c>
      <c r="L559" t="s">
        <v>29</v>
      </c>
    </row>
    <row r="560" spans="1:12" ht="19.95" customHeight="1">
      <c r="A560" t="s">
        <v>642</v>
      </c>
      <c r="B560" t="s">
        <v>602</v>
      </c>
      <c r="C560" t="s">
        <v>78</v>
      </c>
      <c r="D560" t="s">
        <v>93</v>
      </c>
      <c r="E560" t="s">
        <v>16</v>
      </c>
      <c r="F560" t="s">
        <v>17</v>
      </c>
      <c r="G560" t="s">
        <v>23</v>
      </c>
      <c r="H560" t="s">
        <v>19</v>
      </c>
      <c r="I560" t="s">
        <v>20</v>
      </c>
      <c r="J560" s="2">
        <v>102</v>
      </c>
      <c r="L560" t="s">
        <v>29</v>
      </c>
    </row>
    <row r="561" spans="1:12" ht="19.95" customHeight="1">
      <c r="A561" t="s">
        <v>643</v>
      </c>
      <c r="B561" t="s">
        <v>602</v>
      </c>
      <c r="C561" t="s">
        <v>78</v>
      </c>
      <c r="D561" t="s">
        <v>93</v>
      </c>
      <c r="E561" t="s">
        <v>16</v>
      </c>
      <c r="F561" t="s">
        <v>17</v>
      </c>
      <c r="G561" t="s">
        <v>23</v>
      </c>
      <c r="H561" t="s">
        <v>19</v>
      </c>
      <c r="I561" t="s">
        <v>20</v>
      </c>
      <c r="J561" s="2">
        <v>120</v>
      </c>
    </row>
    <row r="562" spans="1:12" ht="19.95" customHeight="1">
      <c r="A562" t="s">
        <v>644</v>
      </c>
      <c r="B562" t="s">
        <v>602</v>
      </c>
      <c r="C562" t="s">
        <v>78</v>
      </c>
      <c r="D562" t="s">
        <v>83</v>
      </c>
      <c r="E562" t="s">
        <v>16</v>
      </c>
      <c r="F562" t="s">
        <v>17</v>
      </c>
      <c r="G562" t="s">
        <v>18</v>
      </c>
      <c r="H562" t="s">
        <v>19</v>
      </c>
      <c r="I562" t="s">
        <v>20</v>
      </c>
      <c r="J562" s="2">
        <v>200</v>
      </c>
    </row>
    <row r="563" spans="1:12" ht="19.95" customHeight="1">
      <c r="A563" t="s">
        <v>645</v>
      </c>
      <c r="B563" t="s">
        <v>602</v>
      </c>
      <c r="C563" t="s">
        <v>78</v>
      </c>
      <c r="D563" t="s">
        <v>163</v>
      </c>
      <c r="E563" t="s">
        <v>16</v>
      </c>
      <c r="F563" t="s">
        <v>35</v>
      </c>
      <c r="G563" t="s">
        <v>18</v>
      </c>
      <c r="H563" t="s">
        <v>19</v>
      </c>
      <c r="I563" t="s">
        <v>20</v>
      </c>
      <c r="J563" s="2">
        <v>200</v>
      </c>
    </row>
    <row r="564" spans="1:12" ht="19.95" customHeight="1">
      <c r="A564" t="s">
        <v>646</v>
      </c>
      <c r="B564" t="s">
        <v>602</v>
      </c>
      <c r="C564" t="s">
        <v>78</v>
      </c>
      <c r="D564" t="s">
        <v>242</v>
      </c>
      <c r="E564" t="s">
        <v>16</v>
      </c>
      <c r="F564" t="s">
        <v>35</v>
      </c>
      <c r="G564" t="s">
        <v>32</v>
      </c>
      <c r="H564" t="s">
        <v>19</v>
      </c>
      <c r="I564" t="s">
        <v>20</v>
      </c>
      <c r="J564" s="2">
        <v>300</v>
      </c>
    </row>
    <row r="565" spans="1:12" ht="19.95" customHeight="1">
      <c r="A565" t="s">
        <v>647</v>
      </c>
      <c r="B565" t="s">
        <v>602</v>
      </c>
      <c r="C565" t="s">
        <v>78</v>
      </c>
      <c r="D565" t="s">
        <v>79</v>
      </c>
      <c r="E565" t="s">
        <v>16</v>
      </c>
      <c r="F565" t="s">
        <v>17</v>
      </c>
      <c r="G565" t="s">
        <v>18</v>
      </c>
      <c r="H565" t="s">
        <v>19</v>
      </c>
      <c r="I565" t="s">
        <v>20</v>
      </c>
      <c r="J565" s="2">
        <v>150</v>
      </c>
      <c r="L565" t="s">
        <v>29</v>
      </c>
    </row>
    <row r="566" spans="1:12" ht="19.95" customHeight="1">
      <c r="A566" t="s">
        <v>648</v>
      </c>
      <c r="B566" t="s">
        <v>602</v>
      </c>
      <c r="C566" t="s">
        <v>78</v>
      </c>
      <c r="D566" t="s">
        <v>85</v>
      </c>
      <c r="E566" t="s">
        <v>16</v>
      </c>
      <c r="F566" t="s">
        <v>17</v>
      </c>
      <c r="G566" t="s">
        <v>23</v>
      </c>
      <c r="H566" t="s">
        <v>19</v>
      </c>
      <c r="I566" t="s">
        <v>20</v>
      </c>
      <c r="J566" s="2">
        <v>120</v>
      </c>
    </row>
    <row r="567" spans="1:12" ht="19.95" customHeight="1">
      <c r="A567" t="s">
        <v>649</v>
      </c>
      <c r="B567" t="s">
        <v>602</v>
      </c>
      <c r="C567" t="s">
        <v>78</v>
      </c>
      <c r="D567" t="s">
        <v>89</v>
      </c>
      <c r="E567" t="s">
        <v>16</v>
      </c>
      <c r="F567" t="s">
        <v>17</v>
      </c>
      <c r="G567" t="s">
        <v>18</v>
      </c>
      <c r="H567" t="s">
        <v>19</v>
      </c>
      <c r="I567" t="s">
        <v>20</v>
      </c>
      <c r="J567" s="2">
        <v>200</v>
      </c>
    </row>
    <row r="568" spans="1:12" ht="19.95" customHeight="1">
      <c r="A568" t="s">
        <v>650</v>
      </c>
      <c r="B568" t="s">
        <v>602</v>
      </c>
      <c r="C568" t="s">
        <v>78</v>
      </c>
      <c r="D568" t="s">
        <v>87</v>
      </c>
      <c r="E568" t="s">
        <v>16</v>
      </c>
      <c r="F568" t="s">
        <v>35</v>
      </c>
      <c r="G568" t="s">
        <v>32</v>
      </c>
      <c r="H568" t="s">
        <v>19</v>
      </c>
      <c r="I568" t="s">
        <v>20</v>
      </c>
      <c r="J568" s="2">
        <v>300</v>
      </c>
    </row>
    <row r="569" spans="1:12" ht="19.95" customHeight="1">
      <c r="A569" t="s">
        <v>651</v>
      </c>
      <c r="B569" t="s">
        <v>602</v>
      </c>
      <c r="C569" t="s">
        <v>78</v>
      </c>
      <c r="D569" t="s">
        <v>85</v>
      </c>
      <c r="E569" t="s">
        <v>16</v>
      </c>
      <c r="F569" t="s">
        <v>17</v>
      </c>
      <c r="G569" t="s">
        <v>32</v>
      </c>
      <c r="H569" t="s">
        <v>19</v>
      </c>
      <c r="I569" t="s">
        <v>20</v>
      </c>
      <c r="J569" s="2">
        <v>300</v>
      </c>
    </row>
    <row r="570" spans="1:12" ht="19.95" customHeight="1">
      <c r="A570" t="s">
        <v>652</v>
      </c>
      <c r="B570" t="s">
        <v>602</v>
      </c>
      <c r="C570" t="s">
        <v>78</v>
      </c>
      <c r="D570" t="s">
        <v>81</v>
      </c>
      <c r="E570" t="s">
        <v>16</v>
      </c>
      <c r="F570" t="s">
        <v>17</v>
      </c>
      <c r="G570" t="s">
        <v>18</v>
      </c>
      <c r="H570" t="s">
        <v>19</v>
      </c>
      <c r="I570" t="s">
        <v>20</v>
      </c>
      <c r="J570" s="2">
        <v>200</v>
      </c>
    </row>
    <row r="571" spans="1:12" ht="19.95" customHeight="1">
      <c r="A571" t="s">
        <v>653</v>
      </c>
      <c r="B571" t="s">
        <v>602</v>
      </c>
      <c r="C571" t="s">
        <v>78</v>
      </c>
      <c r="D571" t="s">
        <v>161</v>
      </c>
      <c r="E571" t="s">
        <v>16</v>
      </c>
      <c r="F571" t="s">
        <v>17</v>
      </c>
      <c r="G571" t="s">
        <v>18</v>
      </c>
      <c r="H571" t="s">
        <v>19</v>
      </c>
      <c r="I571" t="s">
        <v>20</v>
      </c>
      <c r="J571" s="2">
        <v>150</v>
      </c>
      <c r="L571" t="s">
        <v>29</v>
      </c>
    </row>
    <row r="572" spans="1:12" ht="19.95" customHeight="1">
      <c r="A572" t="s">
        <v>654</v>
      </c>
      <c r="B572" t="s">
        <v>602</v>
      </c>
      <c r="C572" t="s">
        <v>105</v>
      </c>
      <c r="D572" t="s">
        <v>191</v>
      </c>
      <c r="E572" t="s">
        <v>16</v>
      </c>
      <c r="F572" t="s">
        <v>35</v>
      </c>
      <c r="G572" t="s">
        <v>32</v>
      </c>
      <c r="H572" t="s">
        <v>19</v>
      </c>
      <c r="I572" t="s">
        <v>20</v>
      </c>
      <c r="J572" s="2">
        <v>300</v>
      </c>
    </row>
    <row r="573" spans="1:12" ht="19.95" customHeight="1">
      <c r="A573" t="s">
        <v>655</v>
      </c>
      <c r="B573" t="s">
        <v>602</v>
      </c>
      <c r="C573" t="s">
        <v>105</v>
      </c>
      <c r="D573" t="s">
        <v>116</v>
      </c>
      <c r="E573" t="s">
        <v>16</v>
      </c>
      <c r="F573" t="s">
        <v>17</v>
      </c>
      <c r="G573" t="s">
        <v>18</v>
      </c>
      <c r="H573" t="s">
        <v>19</v>
      </c>
      <c r="I573" t="s">
        <v>20</v>
      </c>
      <c r="J573" s="2">
        <v>150</v>
      </c>
      <c r="L573" t="s">
        <v>29</v>
      </c>
    </row>
    <row r="574" spans="1:12" ht="19.95" customHeight="1">
      <c r="A574" t="s">
        <v>656</v>
      </c>
      <c r="B574" t="s">
        <v>602</v>
      </c>
      <c r="C574" t="s">
        <v>105</v>
      </c>
      <c r="D574" t="s">
        <v>108</v>
      </c>
      <c r="E574" t="s">
        <v>16</v>
      </c>
      <c r="F574" t="s">
        <v>17</v>
      </c>
      <c r="G574" t="s">
        <v>23</v>
      </c>
      <c r="H574" t="s">
        <v>19</v>
      </c>
      <c r="I574" t="s">
        <v>20</v>
      </c>
      <c r="J574" s="2">
        <v>120</v>
      </c>
    </row>
    <row r="575" spans="1:12" ht="19.95" customHeight="1">
      <c r="A575" t="s">
        <v>657</v>
      </c>
      <c r="B575" t="s">
        <v>602</v>
      </c>
      <c r="C575" t="s">
        <v>105</v>
      </c>
      <c r="D575" t="s">
        <v>120</v>
      </c>
      <c r="E575" t="s">
        <v>16</v>
      </c>
      <c r="F575" t="s">
        <v>17</v>
      </c>
      <c r="G575" t="s">
        <v>23</v>
      </c>
      <c r="H575" t="s">
        <v>19</v>
      </c>
      <c r="I575" t="s">
        <v>20</v>
      </c>
      <c r="J575" s="2">
        <v>120</v>
      </c>
    </row>
    <row r="576" spans="1:12" ht="19.95" customHeight="1">
      <c r="A576" t="s">
        <v>658</v>
      </c>
      <c r="B576" t="s">
        <v>602</v>
      </c>
      <c r="C576" t="s">
        <v>105</v>
      </c>
      <c r="D576" t="s">
        <v>187</v>
      </c>
      <c r="E576" t="s">
        <v>16</v>
      </c>
      <c r="F576" t="s">
        <v>35</v>
      </c>
      <c r="G576" t="s">
        <v>23</v>
      </c>
      <c r="H576" t="s">
        <v>19</v>
      </c>
      <c r="I576" t="s">
        <v>20</v>
      </c>
      <c r="J576" s="2">
        <v>120</v>
      </c>
    </row>
    <row r="577" spans="1:11" ht="19.95" customHeight="1">
      <c r="A577" t="s">
        <v>659</v>
      </c>
      <c r="B577" t="s">
        <v>602</v>
      </c>
      <c r="C577" t="s">
        <v>105</v>
      </c>
      <c r="D577" t="s">
        <v>110</v>
      </c>
      <c r="E577" t="s">
        <v>16</v>
      </c>
      <c r="F577" t="s">
        <v>17</v>
      </c>
      <c r="G577" t="s">
        <v>32</v>
      </c>
      <c r="H577" t="s">
        <v>19</v>
      </c>
      <c r="I577" t="s">
        <v>20</v>
      </c>
      <c r="J577" s="2">
        <v>300</v>
      </c>
    </row>
    <row r="578" spans="1:11" ht="19.95" customHeight="1">
      <c r="A578" t="s">
        <v>660</v>
      </c>
      <c r="B578" t="s">
        <v>602</v>
      </c>
      <c r="C578" t="s">
        <v>105</v>
      </c>
      <c r="D578" t="s">
        <v>112</v>
      </c>
      <c r="E578" t="s">
        <v>16</v>
      </c>
      <c r="F578" t="s">
        <v>17</v>
      </c>
      <c r="G578" t="s">
        <v>23</v>
      </c>
      <c r="H578" t="s">
        <v>19</v>
      </c>
      <c r="I578" t="s">
        <v>20</v>
      </c>
      <c r="J578" s="2">
        <v>120</v>
      </c>
    </row>
    <row r="579" spans="1:11" ht="19.95" customHeight="1">
      <c r="A579" t="s">
        <v>661</v>
      </c>
      <c r="B579" t="s">
        <v>602</v>
      </c>
      <c r="C579" t="s">
        <v>105</v>
      </c>
      <c r="D579" t="s">
        <v>194</v>
      </c>
      <c r="E579" t="s">
        <v>16</v>
      </c>
      <c r="F579" t="s">
        <v>17</v>
      </c>
      <c r="G579" t="s">
        <v>32</v>
      </c>
      <c r="H579" t="s">
        <v>24</v>
      </c>
      <c r="I579" t="s">
        <v>20</v>
      </c>
      <c r="J579" s="2">
        <v>300</v>
      </c>
    </row>
    <row r="580" spans="1:11" ht="19.95" customHeight="1">
      <c r="A580" t="s">
        <v>662</v>
      </c>
      <c r="B580" t="s">
        <v>602</v>
      </c>
      <c r="C580" t="s">
        <v>105</v>
      </c>
      <c r="D580" t="s">
        <v>182</v>
      </c>
      <c r="E580" t="s">
        <v>16</v>
      </c>
      <c r="F580" t="s">
        <v>35</v>
      </c>
      <c r="G580" t="s">
        <v>23</v>
      </c>
      <c r="H580" t="s">
        <v>24</v>
      </c>
      <c r="I580" t="s">
        <v>20</v>
      </c>
      <c r="J580" s="2">
        <v>120</v>
      </c>
    </row>
    <row r="581" spans="1:11" ht="19.95" customHeight="1">
      <c r="A581" t="s">
        <v>663</v>
      </c>
      <c r="B581" t="s">
        <v>602</v>
      </c>
      <c r="C581" t="s">
        <v>105</v>
      </c>
      <c r="D581" t="s">
        <v>265</v>
      </c>
      <c r="E581" t="s">
        <v>16</v>
      </c>
      <c r="F581" t="s">
        <v>35</v>
      </c>
      <c r="G581" t="s">
        <v>23</v>
      </c>
      <c r="H581" t="s">
        <v>19</v>
      </c>
      <c r="I581" t="s">
        <v>20</v>
      </c>
      <c r="J581" s="2">
        <v>120</v>
      </c>
    </row>
    <row r="582" spans="1:11" ht="19.95" customHeight="1">
      <c r="A582" t="s">
        <v>664</v>
      </c>
      <c r="B582" t="s">
        <v>602</v>
      </c>
      <c r="C582" t="s">
        <v>105</v>
      </c>
      <c r="D582" t="s">
        <v>118</v>
      </c>
      <c r="E582" t="s">
        <v>16</v>
      </c>
      <c r="F582" t="s">
        <v>17</v>
      </c>
      <c r="G582" t="s">
        <v>18</v>
      </c>
      <c r="H582" t="s">
        <v>19</v>
      </c>
      <c r="I582" t="s">
        <v>53</v>
      </c>
      <c r="J582" s="2">
        <v>200</v>
      </c>
    </row>
    <row r="583" spans="1:11" ht="19.95" customHeight="1">
      <c r="A583" t="s">
        <v>665</v>
      </c>
      <c r="B583" t="s">
        <v>602</v>
      </c>
      <c r="C583" t="s">
        <v>105</v>
      </c>
      <c r="D583" t="s">
        <v>120</v>
      </c>
      <c r="E583" t="s">
        <v>16</v>
      </c>
      <c r="F583" t="s">
        <v>17</v>
      </c>
      <c r="G583" t="s">
        <v>32</v>
      </c>
      <c r="H583" t="s">
        <v>24</v>
      </c>
      <c r="I583" t="s">
        <v>20</v>
      </c>
      <c r="J583" s="2">
        <v>300</v>
      </c>
    </row>
    <row r="584" spans="1:11" ht="19.95" customHeight="1">
      <c r="A584" t="s">
        <v>666</v>
      </c>
      <c r="B584" t="s">
        <v>602</v>
      </c>
      <c r="C584" t="s">
        <v>105</v>
      </c>
      <c r="D584" t="s">
        <v>187</v>
      </c>
      <c r="E584" t="s">
        <v>16</v>
      </c>
      <c r="F584" t="s">
        <v>17</v>
      </c>
      <c r="G584" t="s">
        <v>23</v>
      </c>
      <c r="H584" t="s">
        <v>19</v>
      </c>
      <c r="I584" t="s">
        <v>20</v>
      </c>
      <c r="J584" s="2">
        <v>120</v>
      </c>
    </row>
    <row r="585" spans="1:11" ht="19.95" customHeight="1">
      <c r="A585" t="s">
        <v>667</v>
      </c>
      <c r="B585" t="s">
        <v>602</v>
      </c>
      <c r="C585" t="s">
        <v>105</v>
      </c>
      <c r="D585" t="s">
        <v>194</v>
      </c>
      <c r="E585" t="s">
        <v>16</v>
      </c>
      <c r="F585" t="s">
        <v>17</v>
      </c>
      <c r="G585" t="s">
        <v>32</v>
      </c>
      <c r="H585" t="s">
        <v>19</v>
      </c>
      <c r="I585" t="s">
        <v>20</v>
      </c>
      <c r="J585" s="2">
        <v>300</v>
      </c>
    </row>
    <row r="586" spans="1:11" ht="19.95" customHeight="1">
      <c r="A586" t="s">
        <v>668</v>
      </c>
      <c r="B586" t="s">
        <v>602</v>
      </c>
      <c r="C586" t="s">
        <v>105</v>
      </c>
      <c r="D586" t="s">
        <v>120</v>
      </c>
      <c r="E586" t="s">
        <v>16</v>
      </c>
      <c r="F586" t="s">
        <v>17</v>
      </c>
      <c r="G586" t="s">
        <v>18</v>
      </c>
      <c r="H586" t="s">
        <v>19</v>
      </c>
      <c r="I586" t="s">
        <v>20</v>
      </c>
      <c r="J586" s="2">
        <v>200</v>
      </c>
    </row>
    <row r="587" spans="1:11" ht="19.95" customHeight="1">
      <c r="A587" t="s">
        <v>669</v>
      </c>
      <c r="B587" t="s">
        <v>602</v>
      </c>
      <c r="C587" t="s">
        <v>105</v>
      </c>
      <c r="D587" t="s">
        <v>108</v>
      </c>
      <c r="E587" t="s">
        <v>16</v>
      </c>
      <c r="F587" t="s">
        <v>17</v>
      </c>
      <c r="G587" t="s">
        <v>23</v>
      </c>
      <c r="H587" t="s">
        <v>19</v>
      </c>
      <c r="I587" t="s">
        <v>20</v>
      </c>
      <c r="J587" s="2">
        <v>120</v>
      </c>
    </row>
    <row r="588" spans="1:11" ht="19.95" customHeight="1">
      <c r="A588" t="s">
        <v>670</v>
      </c>
      <c r="B588" t="s">
        <v>602</v>
      </c>
      <c r="C588" t="s">
        <v>105</v>
      </c>
      <c r="D588" t="s">
        <v>191</v>
      </c>
      <c r="E588" t="s">
        <v>16</v>
      </c>
      <c r="F588" t="s">
        <v>17</v>
      </c>
      <c r="G588" t="s">
        <v>18</v>
      </c>
      <c r="H588" t="s">
        <v>19</v>
      </c>
      <c r="I588" t="s">
        <v>20</v>
      </c>
      <c r="J588" s="2">
        <v>200</v>
      </c>
    </row>
    <row r="589" spans="1:11" ht="19.95" customHeight="1">
      <c r="A589" t="s">
        <v>671</v>
      </c>
      <c r="B589" t="s">
        <v>602</v>
      </c>
      <c r="C589" t="s">
        <v>105</v>
      </c>
      <c r="D589" t="s">
        <v>108</v>
      </c>
      <c r="E589" t="s">
        <v>402</v>
      </c>
      <c r="F589" t="s">
        <v>17</v>
      </c>
      <c r="G589" t="s">
        <v>32</v>
      </c>
      <c r="H589" t="s">
        <v>24</v>
      </c>
      <c r="I589" t="s">
        <v>20</v>
      </c>
      <c r="J589" s="2">
        <v>300</v>
      </c>
      <c r="K589" t="s">
        <v>450</v>
      </c>
    </row>
    <row r="590" spans="1:11" ht="19.95" customHeight="1">
      <c r="A590" t="s">
        <v>672</v>
      </c>
      <c r="B590" t="s">
        <v>602</v>
      </c>
      <c r="C590" t="s">
        <v>14</v>
      </c>
      <c r="D590" t="s">
        <v>31</v>
      </c>
      <c r="E590" t="s">
        <v>402</v>
      </c>
      <c r="F590" t="s">
        <v>35</v>
      </c>
      <c r="G590" t="s">
        <v>18</v>
      </c>
      <c r="H590" t="s">
        <v>19</v>
      </c>
      <c r="I590" t="s">
        <v>20</v>
      </c>
      <c r="J590" s="2">
        <v>200</v>
      </c>
      <c r="K590" t="s">
        <v>275</v>
      </c>
    </row>
    <row r="591" spans="1:11" ht="19.95" customHeight="1">
      <c r="A591" t="s">
        <v>673</v>
      </c>
      <c r="B591" t="s">
        <v>602</v>
      </c>
      <c r="C591" t="s">
        <v>78</v>
      </c>
      <c r="D591" t="s">
        <v>79</v>
      </c>
      <c r="E591" t="s">
        <v>402</v>
      </c>
      <c r="F591" t="s">
        <v>17</v>
      </c>
      <c r="G591" t="s">
        <v>23</v>
      </c>
      <c r="H591" t="s">
        <v>19</v>
      </c>
      <c r="I591" t="s">
        <v>20</v>
      </c>
      <c r="J591" s="2">
        <v>120</v>
      </c>
      <c r="K591" t="s">
        <v>321</v>
      </c>
    </row>
    <row r="592" spans="1:11" ht="19.95" customHeight="1">
      <c r="A592" t="s">
        <v>674</v>
      </c>
      <c r="B592" t="s">
        <v>602</v>
      </c>
      <c r="C592" t="s">
        <v>14</v>
      </c>
      <c r="D592" t="s">
        <v>26</v>
      </c>
      <c r="E592" t="s">
        <v>402</v>
      </c>
      <c r="F592" t="s">
        <v>17</v>
      </c>
      <c r="G592" t="s">
        <v>32</v>
      </c>
      <c r="H592" t="s">
        <v>19</v>
      </c>
      <c r="I592" t="s">
        <v>20</v>
      </c>
      <c r="J592" s="2">
        <v>300</v>
      </c>
      <c r="K592" t="s">
        <v>468</v>
      </c>
    </row>
    <row r="593" spans="1:12" ht="19.95" customHeight="1">
      <c r="A593" t="s">
        <v>675</v>
      </c>
      <c r="B593" t="s">
        <v>676</v>
      </c>
      <c r="C593" t="s">
        <v>14</v>
      </c>
      <c r="D593" t="s">
        <v>15</v>
      </c>
      <c r="E593" t="s">
        <v>16</v>
      </c>
      <c r="F593" t="s">
        <v>17</v>
      </c>
      <c r="G593" t="s">
        <v>18</v>
      </c>
      <c r="H593" t="s">
        <v>19</v>
      </c>
      <c r="I593" t="s">
        <v>20</v>
      </c>
      <c r="J593" s="2">
        <v>200</v>
      </c>
    </row>
    <row r="594" spans="1:12" ht="19.95" customHeight="1">
      <c r="A594" t="s">
        <v>677</v>
      </c>
      <c r="B594" t="s">
        <v>676</v>
      </c>
      <c r="C594" t="s">
        <v>14</v>
      </c>
      <c r="D594" t="s">
        <v>210</v>
      </c>
      <c r="E594" t="s">
        <v>16</v>
      </c>
      <c r="F594" t="s">
        <v>35</v>
      </c>
      <c r="G594" t="s">
        <v>18</v>
      </c>
      <c r="H594" t="s">
        <v>19</v>
      </c>
      <c r="I594" t="s">
        <v>20</v>
      </c>
      <c r="J594" s="2">
        <v>200</v>
      </c>
    </row>
    <row r="595" spans="1:12" ht="19.95" customHeight="1">
      <c r="A595" t="s">
        <v>678</v>
      </c>
      <c r="B595" t="s">
        <v>676</v>
      </c>
      <c r="C595" t="s">
        <v>14</v>
      </c>
      <c r="D595" t="s">
        <v>28</v>
      </c>
      <c r="E595" t="s">
        <v>16</v>
      </c>
      <c r="F595" t="s">
        <v>35</v>
      </c>
      <c r="G595" t="s">
        <v>18</v>
      </c>
      <c r="H595" t="s">
        <v>19</v>
      </c>
      <c r="I595" t="s">
        <v>20</v>
      </c>
      <c r="J595" s="2">
        <v>150</v>
      </c>
      <c r="L595" t="s">
        <v>29</v>
      </c>
    </row>
    <row r="596" spans="1:12" ht="19.95" customHeight="1">
      <c r="A596" t="s">
        <v>679</v>
      </c>
      <c r="B596" t="s">
        <v>676</v>
      </c>
      <c r="C596" t="s">
        <v>14</v>
      </c>
      <c r="D596" t="s">
        <v>31</v>
      </c>
      <c r="E596" t="s">
        <v>16</v>
      </c>
      <c r="F596" t="s">
        <v>17</v>
      </c>
      <c r="G596" t="s">
        <v>32</v>
      </c>
      <c r="H596" t="s">
        <v>24</v>
      </c>
      <c r="I596" t="s">
        <v>20</v>
      </c>
      <c r="J596" s="2">
        <v>300</v>
      </c>
    </row>
    <row r="597" spans="1:12" ht="19.95" customHeight="1">
      <c r="A597" t="s">
        <v>680</v>
      </c>
      <c r="B597" t="s">
        <v>676</v>
      </c>
      <c r="C597" t="s">
        <v>14</v>
      </c>
      <c r="D597" t="s">
        <v>34</v>
      </c>
      <c r="E597" t="s">
        <v>16</v>
      </c>
      <c r="F597" t="s">
        <v>17</v>
      </c>
      <c r="G597" t="s">
        <v>32</v>
      </c>
      <c r="H597" t="s">
        <v>19</v>
      </c>
      <c r="I597" t="s">
        <v>20</v>
      </c>
      <c r="J597" s="2">
        <v>300</v>
      </c>
    </row>
    <row r="598" spans="1:12" ht="19.95" customHeight="1">
      <c r="A598" t="s">
        <v>681</v>
      </c>
      <c r="B598" t="s">
        <v>676</v>
      </c>
      <c r="C598" t="s">
        <v>14</v>
      </c>
      <c r="D598" t="s">
        <v>26</v>
      </c>
      <c r="E598" t="s">
        <v>16</v>
      </c>
      <c r="F598" t="s">
        <v>17</v>
      </c>
      <c r="G598" t="s">
        <v>23</v>
      </c>
      <c r="H598" t="s">
        <v>19</v>
      </c>
      <c r="I598" t="s">
        <v>20</v>
      </c>
      <c r="J598" s="2">
        <v>120</v>
      </c>
    </row>
    <row r="599" spans="1:12" ht="19.95" customHeight="1">
      <c r="A599" t="s">
        <v>682</v>
      </c>
      <c r="B599" t="s">
        <v>676</v>
      </c>
      <c r="C599" t="s">
        <v>14</v>
      </c>
      <c r="D599" t="s">
        <v>26</v>
      </c>
      <c r="E599" t="s">
        <v>16</v>
      </c>
      <c r="F599" t="s">
        <v>17</v>
      </c>
      <c r="G599" t="s">
        <v>32</v>
      </c>
      <c r="H599" t="s">
        <v>19</v>
      </c>
      <c r="I599" t="s">
        <v>20</v>
      </c>
      <c r="J599" s="2">
        <v>300</v>
      </c>
    </row>
    <row r="600" spans="1:12" ht="19.95" customHeight="1">
      <c r="A600" t="s">
        <v>683</v>
      </c>
      <c r="B600" t="s">
        <v>676</v>
      </c>
      <c r="C600" t="s">
        <v>14</v>
      </c>
      <c r="D600" t="s">
        <v>40</v>
      </c>
      <c r="E600" t="s">
        <v>16</v>
      </c>
      <c r="F600" t="s">
        <v>17</v>
      </c>
      <c r="G600" t="s">
        <v>18</v>
      </c>
      <c r="H600" t="s">
        <v>19</v>
      </c>
      <c r="I600" t="s">
        <v>20</v>
      </c>
      <c r="J600" s="2">
        <v>200</v>
      </c>
    </row>
    <row r="601" spans="1:12" ht="19.95" customHeight="1">
      <c r="A601" t="s">
        <v>684</v>
      </c>
      <c r="B601" t="s">
        <v>676</v>
      </c>
      <c r="C601" t="s">
        <v>14</v>
      </c>
      <c r="D601" t="s">
        <v>131</v>
      </c>
      <c r="E601" t="s">
        <v>16</v>
      </c>
      <c r="F601" t="s">
        <v>17</v>
      </c>
      <c r="G601" t="s">
        <v>32</v>
      </c>
      <c r="H601" t="s">
        <v>19</v>
      </c>
      <c r="I601" t="s">
        <v>20</v>
      </c>
      <c r="J601" s="2">
        <v>255</v>
      </c>
      <c r="L601" t="s">
        <v>29</v>
      </c>
    </row>
    <row r="602" spans="1:12" ht="19.95" customHeight="1">
      <c r="A602" t="s">
        <v>685</v>
      </c>
      <c r="B602" t="s">
        <v>676</v>
      </c>
      <c r="C602" t="s">
        <v>14</v>
      </c>
      <c r="D602" t="s">
        <v>28</v>
      </c>
      <c r="E602" t="s">
        <v>16</v>
      </c>
      <c r="F602" t="s">
        <v>17</v>
      </c>
      <c r="G602" t="s">
        <v>32</v>
      </c>
      <c r="H602" t="s">
        <v>19</v>
      </c>
      <c r="I602" t="s">
        <v>20</v>
      </c>
      <c r="J602" s="2">
        <v>300</v>
      </c>
    </row>
    <row r="603" spans="1:12" ht="19.95" customHeight="1">
      <c r="A603" t="s">
        <v>686</v>
      </c>
      <c r="B603" t="s">
        <v>676</v>
      </c>
      <c r="C603" t="s">
        <v>14</v>
      </c>
      <c r="D603" t="s">
        <v>42</v>
      </c>
      <c r="E603" t="s">
        <v>16</v>
      </c>
      <c r="F603" t="s">
        <v>17</v>
      </c>
      <c r="G603" t="s">
        <v>18</v>
      </c>
      <c r="H603" t="s">
        <v>19</v>
      </c>
      <c r="I603" t="s">
        <v>20</v>
      </c>
      <c r="J603" s="2">
        <v>170</v>
      </c>
      <c r="L603" t="s">
        <v>29</v>
      </c>
    </row>
    <row r="604" spans="1:12" ht="19.95" customHeight="1">
      <c r="A604" t="s">
        <v>687</v>
      </c>
      <c r="B604" t="s">
        <v>676</v>
      </c>
      <c r="C604" t="s">
        <v>14</v>
      </c>
      <c r="D604" t="s">
        <v>28</v>
      </c>
      <c r="E604" t="s">
        <v>16</v>
      </c>
      <c r="F604" t="s">
        <v>17</v>
      </c>
      <c r="G604" t="s">
        <v>32</v>
      </c>
      <c r="H604" t="s">
        <v>19</v>
      </c>
      <c r="I604" t="s">
        <v>20</v>
      </c>
      <c r="J604" s="2">
        <v>300</v>
      </c>
    </row>
    <row r="605" spans="1:12" ht="19.95" customHeight="1">
      <c r="A605" t="s">
        <v>688</v>
      </c>
      <c r="B605" t="s">
        <v>676</v>
      </c>
      <c r="C605" t="s">
        <v>14</v>
      </c>
      <c r="D605" t="s">
        <v>137</v>
      </c>
      <c r="E605" t="s">
        <v>16</v>
      </c>
      <c r="F605" t="s">
        <v>17</v>
      </c>
      <c r="G605" t="s">
        <v>32</v>
      </c>
      <c r="H605" t="s">
        <v>24</v>
      </c>
      <c r="I605" t="s">
        <v>20</v>
      </c>
      <c r="J605" s="2">
        <v>300</v>
      </c>
    </row>
    <row r="606" spans="1:12" ht="19.95" customHeight="1">
      <c r="A606" t="s">
        <v>689</v>
      </c>
      <c r="B606" t="s">
        <v>676</v>
      </c>
      <c r="C606" t="s">
        <v>14</v>
      </c>
      <c r="D606" t="s">
        <v>137</v>
      </c>
      <c r="E606" t="s">
        <v>16</v>
      </c>
      <c r="F606" t="s">
        <v>17</v>
      </c>
      <c r="G606" t="s">
        <v>18</v>
      </c>
      <c r="H606" t="s">
        <v>19</v>
      </c>
      <c r="I606" t="s">
        <v>20</v>
      </c>
      <c r="J606" s="2">
        <v>150</v>
      </c>
      <c r="L606" t="s">
        <v>29</v>
      </c>
    </row>
    <row r="607" spans="1:12" ht="19.95" customHeight="1">
      <c r="A607" t="s">
        <v>690</v>
      </c>
      <c r="B607" t="s">
        <v>676</v>
      </c>
      <c r="C607" t="s">
        <v>14</v>
      </c>
      <c r="D607" t="s">
        <v>137</v>
      </c>
      <c r="E607" t="s">
        <v>16</v>
      </c>
      <c r="F607" t="s">
        <v>35</v>
      </c>
      <c r="G607" t="s">
        <v>32</v>
      </c>
      <c r="H607" t="s">
        <v>19</v>
      </c>
      <c r="I607" t="s">
        <v>20</v>
      </c>
      <c r="J607" s="2">
        <v>225</v>
      </c>
      <c r="L607" t="s">
        <v>29</v>
      </c>
    </row>
    <row r="608" spans="1:12" ht="19.95" customHeight="1">
      <c r="A608" t="s">
        <v>691</v>
      </c>
      <c r="B608" t="s">
        <v>676</v>
      </c>
      <c r="C608" t="s">
        <v>47</v>
      </c>
      <c r="D608" t="s">
        <v>152</v>
      </c>
      <c r="E608" t="s">
        <v>16</v>
      </c>
      <c r="F608" t="s">
        <v>17</v>
      </c>
      <c r="G608" t="s">
        <v>23</v>
      </c>
      <c r="H608" t="s">
        <v>19</v>
      </c>
      <c r="I608" t="s">
        <v>20</v>
      </c>
      <c r="J608" s="2">
        <v>120</v>
      </c>
    </row>
    <row r="609" spans="1:12" ht="19.95" customHeight="1">
      <c r="A609" t="s">
        <v>692</v>
      </c>
      <c r="B609" t="s">
        <v>676</v>
      </c>
      <c r="C609" t="s">
        <v>47</v>
      </c>
      <c r="D609" t="s">
        <v>64</v>
      </c>
      <c r="E609" t="s">
        <v>16</v>
      </c>
      <c r="F609" t="s">
        <v>17</v>
      </c>
      <c r="G609" t="s">
        <v>18</v>
      </c>
      <c r="H609" t="s">
        <v>19</v>
      </c>
      <c r="I609" t="s">
        <v>20</v>
      </c>
      <c r="J609" s="2">
        <v>200</v>
      </c>
    </row>
    <row r="610" spans="1:12" ht="19.95" customHeight="1">
      <c r="A610" t="s">
        <v>693</v>
      </c>
      <c r="B610" t="s">
        <v>676</v>
      </c>
      <c r="C610" t="s">
        <v>47</v>
      </c>
      <c r="D610" t="s">
        <v>152</v>
      </c>
      <c r="E610" t="s">
        <v>16</v>
      </c>
      <c r="F610" t="s">
        <v>17</v>
      </c>
      <c r="G610" t="s">
        <v>32</v>
      </c>
      <c r="H610" t="s">
        <v>19</v>
      </c>
      <c r="I610" t="s">
        <v>74</v>
      </c>
      <c r="J610" s="2">
        <v>300</v>
      </c>
    </row>
    <row r="611" spans="1:12" ht="19.95" customHeight="1">
      <c r="A611" t="s">
        <v>694</v>
      </c>
      <c r="B611" t="s">
        <v>676</v>
      </c>
      <c r="C611" t="s">
        <v>47</v>
      </c>
      <c r="D611" t="s">
        <v>59</v>
      </c>
      <c r="E611" t="s">
        <v>16</v>
      </c>
      <c r="F611" t="s">
        <v>17</v>
      </c>
      <c r="G611" t="s">
        <v>32</v>
      </c>
      <c r="H611" t="s">
        <v>19</v>
      </c>
      <c r="I611" t="s">
        <v>20</v>
      </c>
      <c r="J611" s="2">
        <v>300</v>
      </c>
    </row>
    <row r="612" spans="1:12" ht="19.95" customHeight="1">
      <c r="A612" t="s">
        <v>695</v>
      </c>
      <c r="B612" t="s">
        <v>676</v>
      </c>
      <c r="C612" t="s">
        <v>47</v>
      </c>
      <c r="D612" t="s">
        <v>73</v>
      </c>
      <c r="E612" t="s">
        <v>16</v>
      </c>
      <c r="F612" t="s">
        <v>17</v>
      </c>
      <c r="G612" t="s">
        <v>18</v>
      </c>
      <c r="H612" t="s">
        <v>19</v>
      </c>
      <c r="I612" t="s">
        <v>20</v>
      </c>
      <c r="J612" s="2">
        <v>200</v>
      </c>
    </row>
    <row r="613" spans="1:12" ht="19.95" customHeight="1">
      <c r="A613" t="s">
        <v>696</v>
      </c>
      <c r="B613" t="s">
        <v>676</v>
      </c>
      <c r="C613" t="s">
        <v>47</v>
      </c>
      <c r="D613" t="s">
        <v>66</v>
      </c>
      <c r="E613" t="s">
        <v>16</v>
      </c>
      <c r="F613" t="s">
        <v>35</v>
      </c>
      <c r="G613" t="s">
        <v>18</v>
      </c>
      <c r="H613" t="s">
        <v>19</v>
      </c>
      <c r="I613" t="s">
        <v>20</v>
      </c>
      <c r="J613" s="2">
        <v>150</v>
      </c>
      <c r="L613" t="s">
        <v>29</v>
      </c>
    </row>
    <row r="614" spans="1:12" ht="19.95" customHeight="1">
      <c r="A614" t="s">
        <v>697</v>
      </c>
      <c r="B614" t="s">
        <v>676</v>
      </c>
      <c r="C614" t="s">
        <v>47</v>
      </c>
      <c r="D614" t="s">
        <v>59</v>
      </c>
      <c r="E614" t="s">
        <v>16</v>
      </c>
      <c r="F614" t="s">
        <v>17</v>
      </c>
      <c r="G614" t="s">
        <v>32</v>
      </c>
      <c r="H614" t="s">
        <v>19</v>
      </c>
      <c r="I614" t="s">
        <v>20</v>
      </c>
      <c r="J614" s="2">
        <v>300</v>
      </c>
    </row>
    <row r="615" spans="1:12" ht="19.95" customHeight="1">
      <c r="A615" t="s">
        <v>698</v>
      </c>
      <c r="B615" t="s">
        <v>676</v>
      </c>
      <c r="C615" t="s">
        <v>47</v>
      </c>
      <c r="D615" t="s">
        <v>48</v>
      </c>
      <c r="E615" t="s">
        <v>16</v>
      </c>
      <c r="F615" t="s">
        <v>17</v>
      </c>
      <c r="G615" t="s">
        <v>32</v>
      </c>
      <c r="H615" t="s">
        <v>19</v>
      </c>
      <c r="I615" t="s">
        <v>20</v>
      </c>
      <c r="J615" s="2">
        <v>225</v>
      </c>
      <c r="L615" t="s">
        <v>29</v>
      </c>
    </row>
    <row r="616" spans="1:12" ht="19.95" customHeight="1">
      <c r="A616" t="s">
        <v>699</v>
      </c>
      <c r="B616" t="s">
        <v>676</v>
      </c>
      <c r="C616" t="s">
        <v>47</v>
      </c>
      <c r="D616" t="s">
        <v>52</v>
      </c>
      <c r="E616" t="s">
        <v>16</v>
      </c>
      <c r="F616" t="s">
        <v>17</v>
      </c>
      <c r="G616" t="s">
        <v>23</v>
      </c>
      <c r="H616" t="s">
        <v>19</v>
      </c>
      <c r="I616" t="s">
        <v>53</v>
      </c>
      <c r="J616" s="2">
        <v>120</v>
      </c>
    </row>
    <row r="617" spans="1:12" ht="19.95" customHeight="1">
      <c r="A617" t="s">
        <v>700</v>
      </c>
      <c r="B617" t="s">
        <v>676</v>
      </c>
      <c r="C617" t="s">
        <v>47</v>
      </c>
      <c r="D617" t="s">
        <v>66</v>
      </c>
      <c r="E617" t="s">
        <v>16</v>
      </c>
      <c r="F617" t="s">
        <v>17</v>
      </c>
      <c r="G617" t="s">
        <v>18</v>
      </c>
      <c r="H617" t="s">
        <v>19</v>
      </c>
      <c r="I617" t="s">
        <v>20</v>
      </c>
      <c r="J617" s="2">
        <v>200</v>
      </c>
    </row>
    <row r="618" spans="1:12" ht="19.95" customHeight="1">
      <c r="A618" t="s">
        <v>701</v>
      </c>
      <c r="B618" t="s">
        <v>676</v>
      </c>
      <c r="C618" t="s">
        <v>47</v>
      </c>
      <c r="D618" t="s">
        <v>64</v>
      </c>
      <c r="E618" t="s">
        <v>16</v>
      </c>
      <c r="F618" t="s">
        <v>17</v>
      </c>
      <c r="G618" t="s">
        <v>23</v>
      </c>
      <c r="H618" t="s">
        <v>19</v>
      </c>
      <c r="I618" t="s">
        <v>20</v>
      </c>
      <c r="J618" s="2">
        <v>120</v>
      </c>
    </row>
    <row r="619" spans="1:12" ht="19.95" customHeight="1">
      <c r="A619" t="s">
        <v>702</v>
      </c>
      <c r="B619" t="s">
        <v>676</v>
      </c>
      <c r="C619" t="s">
        <v>47</v>
      </c>
      <c r="D619" t="s">
        <v>55</v>
      </c>
      <c r="E619" t="s">
        <v>16</v>
      </c>
      <c r="F619" t="s">
        <v>17</v>
      </c>
      <c r="G619" t="s">
        <v>32</v>
      </c>
      <c r="H619" t="s">
        <v>19</v>
      </c>
      <c r="I619" t="s">
        <v>20</v>
      </c>
      <c r="J619" s="2">
        <v>300</v>
      </c>
    </row>
    <row r="620" spans="1:12" ht="19.95" customHeight="1">
      <c r="A620" t="s">
        <v>703</v>
      </c>
      <c r="B620" t="s">
        <v>676</v>
      </c>
      <c r="C620" t="s">
        <v>47</v>
      </c>
      <c r="D620" t="s">
        <v>52</v>
      </c>
      <c r="E620" t="s">
        <v>16</v>
      </c>
      <c r="F620" t="s">
        <v>17</v>
      </c>
      <c r="G620" t="s">
        <v>23</v>
      </c>
      <c r="H620" t="s">
        <v>24</v>
      </c>
      <c r="I620" t="s">
        <v>20</v>
      </c>
      <c r="J620" s="2">
        <v>120</v>
      </c>
    </row>
    <row r="621" spans="1:12" ht="19.95" customHeight="1">
      <c r="A621" t="s">
        <v>704</v>
      </c>
      <c r="B621" t="s">
        <v>676</v>
      </c>
      <c r="C621" t="s">
        <v>78</v>
      </c>
      <c r="D621" t="s">
        <v>85</v>
      </c>
      <c r="E621" t="s">
        <v>16</v>
      </c>
      <c r="F621" t="s">
        <v>17</v>
      </c>
      <c r="G621" t="s">
        <v>23</v>
      </c>
      <c r="H621" t="s">
        <v>19</v>
      </c>
      <c r="I621" t="s">
        <v>20</v>
      </c>
      <c r="J621" s="2">
        <v>120</v>
      </c>
    </row>
    <row r="622" spans="1:12" ht="19.95" customHeight="1">
      <c r="A622" t="s">
        <v>705</v>
      </c>
      <c r="B622" t="s">
        <v>676</v>
      </c>
      <c r="C622" t="s">
        <v>78</v>
      </c>
      <c r="D622" t="s">
        <v>79</v>
      </c>
      <c r="E622" t="s">
        <v>16</v>
      </c>
      <c r="F622" t="s">
        <v>17</v>
      </c>
      <c r="G622" t="s">
        <v>18</v>
      </c>
      <c r="H622" t="s">
        <v>24</v>
      </c>
      <c r="I622" t="s">
        <v>20</v>
      </c>
      <c r="J622" s="2">
        <v>150</v>
      </c>
      <c r="L622" t="s">
        <v>29</v>
      </c>
    </row>
    <row r="623" spans="1:12" ht="19.95" customHeight="1">
      <c r="A623" t="s">
        <v>706</v>
      </c>
      <c r="B623" t="s">
        <v>676</v>
      </c>
      <c r="C623" t="s">
        <v>78</v>
      </c>
      <c r="D623" t="s">
        <v>81</v>
      </c>
      <c r="E623" t="s">
        <v>16</v>
      </c>
      <c r="F623" t="s">
        <v>17</v>
      </c>
      <c r="G623" t="s">
        <v>32</v>
      </c>
      <c r="H623" t="s">
        <v>19</v>
      </c>
      <c r="I623" t="s">
        <v>20</v>
      </c>
      <c r="J623" s="2">
        <v>300</v>
      </c>
    </row>
    <row r="624" spans="1:12" ht="19.95" customHeight="1">
      <c r="A624" t="s">
        <v>707</v>
      </c>
      <c r="B624" t="s">
        <v>676</v>
      </c>
      <c r="C624" t="s">
        <v>78</v>
      </c>
      <c r="D624" t="s">
        <v>93</v>
      </c>
      <c r="E624" t="s">
        <v>16</v>
      </c>
      <c r="F624" t="s">
        <v>17</v>
      </c>
      <c r="G624" t="s">
        <v>23</v>
      </c>
      <c r="H624" t="s">
        <v>24</v>
      </c>
      <c r="I624" t="s">
        <v>20</v>
      </c>
      <c r="J624" s="2">
        <v>120</v>
      </c>
    </row>
    <row r="625" spans="1:12" ht="19.95" customHeight="1">
      <c r="A625" t="s">
        <v>708</v>
      </c>
      <c r="B625" t="s">
        <v>676</v>
      </c>
      <c r="C625" t="s">
        <v>78</v>
      </c>
      <c r="D625" t="s">
        <v>87</v>
      </c>
      <c r="E625" t="s">
        <v>16</v>
      </c>
      <c r="F625" t="s">
        <v>17</v>
      </c>
      <c r="G625" t="s">
        <v>18</v>
      </c>
      <c r="H625" t="s">
        <v>19</v>
      </c>
      <c r="I625" t="s">
        <v>20</v>
      </c>
      <c r="J625" s="2">
        <v>200</v>
      </c>
    </row>
    <row r="626" spans="1:12" ht="19.95" customHeight="1">
      <c r="A626" t="s">
        <v>709</v>
      </c>
      <c r="B626" t="s">
        <v>676</v>
      </c>
      <c r="C626" t="s">
        <v>78</v>
      </c>
      <c r="D626" t="s">
        <v>79</v>
      </c>
      <c r="E626" t="s">
        <v>16</v>
      </c>
      <c r="F626" t="s">
        <v>35</v>
      </c>
      <c r="G626" t="s">
        <v>18</v>
      </c>
      <c r="H626" t="s">
        <v>24</v>
      </c>
      <c r="I626" t="s">
        <v>53</v>
      </c>
      <c r="J626" s="2">
        <v>200</v>
      </c>
    </row>
    <row r="627" spans="1:12" ht="19.95" customHeight="1">
      <c r="A627" t="s">
        <v>710</v>
      </c>
      <c r="B627" t="s">
        <v>676</v>
      </c>
      <c r="C627" t="s">
        <v>78</v>
      </c>
      <c r="D627" t="s">
        <v>161</v>
      </c>
      <c r="E627" t="s">
        <v>16</v>
      </c>
      <c r="F627" t="s">
        <v>17</v>
      </c>
      <c r="G627" t="s">
        <v>23</v>
      </c>
      <c r="H627" t="s">
        <v>19</v>
      </c>
      <c r="I627" t="s">
        <v>20</v>
      </c>
      <c r="J627" s="2">
        <v>120</v>
      </c>
    </row>
    <row r="628" spans="1:12" ht="19.95" customHeight="1">
      <c r="A628" t="s">
        <v>711</v>
      </c>
      <c r="B628" t="s">
        <v>676</v>
      </c>
      <c r="C628" t="s">
        <v>78</v>
      </c>
      <c r="D628" t="s">
        <v>83</v>
      </c>
      <c r="E628" t="s">
        <v>16</v>
      </c>
      <c r="F628" t="s">
        <v>17</v>
      </c>
      <c r="G628" t="s">
        <v>23</v>
      </c>
      <c r="H628" t="s">
        <v>19</v>
      </c>
      <c r="I628" t="s">
        <v>20</v>
      </c>
      <c r="J628" s="2">
        <v>120</v>
      </c>
    </row>
    <row r="629" spans="1:12" ht="19.95" customHeight="1">
      <c r="A629" t="s">
        <v>712</v>
      </c>
      <c r="B629" t="s">
        <v>676</v>
      </c>
      <c r="C629" t="s">
        <v>78</v>
      </c>
      <c r="D629" t="s">
        <v>87</v>
      </c>
      <c r="E629" t="s">
        <v>16</v>
      </c>
      <c r="F629" t="s">
        <v>17</v>
      </c>
      <c r="G629" t="s">
        <v>23</v>
      </c>
      <c r="H629" t="s">
        <v>24</v>
      </c>
      <c r="I629" t="s">
        <v>20</v>
      </c>
      <c r="J629" s="2">
        <v>120</v>
      </c>
    </row>
    <row r="630" spans="1:12" ht="19.95" customHeight="1">
      <c r="A630" t="s">
        <v>713</v>
      </c>
      <c r="B630" t="s">
        <v>676</v>
      </c>
      <c r="C630" t="s">
        <v>78</v>
      </c>
      <c r="D630" t="s">
        <v>79</v>
      </c>
      <c r="E630" t="s">
        <v>16</v>
      </c>
      <c r="F630" t="s">
        <v>17</v>
      </c>
      <c r="G630" t="s">
        <v>23</v>
      </c>
      <c r="H630" t="s">
        <v>19</v>
      </c>
      <c r="I630" t="s">
        <v>20</v>
      </c>
      <c r="J630" s="2">
        <v>120</v>
      </c>
    </row>
    <row r="631" spans="1:12" ht="19.95" customHeight="1">
      <c r="A631" t="s">
        <v>714</v>
      </c>
      <c r="B631" t="s">
        <v>676</v>
      </c>
      <c r="C631" t="s">
        <v>78</v>
      </c>
      <c r="D631" t="s">
        <v>242</v>
      </c>
      <c r="E631" t="s">
        <v>16</v>
      </c>
      <c r="F631" t="s">
        <v>17</v>
      </c>
      <c r="G631" t="s">
        <v>23</v>
      </c>
      <c r="H631" t="s">
        <v>19</v>
      </c>
      <c r="I631" t="s">
        <v>20</v>
      </c>
      <c r="J631" s="2">
        <v>120</v>
      </c>
    </row>
    <row r="632" spans="1:12" ht="19.95" customHeight="1">
      <c r="A632" t="s">
        <v>715</v>
      </c>
      <c r="B632" t="s">
        <v>676</v>
      </c>
      <c r="C632" t="s">
        <v>78</v>
      </c>
      <c r="D632" t="s">
        <v>93</v>
      </c>
      <c r="E632" t="s">
        <v>16</v>
      </c>
      <c r="F632" t="s">
        <v>17</v>
      </c>
      <c r="G632" t="s">
        <v>23</v>
      </c>
      <c r="H632" t="s">
        <v>19</v>
      </c>
      <c r="I632" t="s">
        <v>20</v>
      </c>
      <c r="J632" s="2">
        <v>120</v>
      </c>
    </row>
    <row r="633" spans="1:12" ht="19.95" customHeight="1">
      <c r="A633" t="s">
        <v>716</v>
      </c>
      <c r="B633" t="s">
        <v>676</v>
      </c>
      <c r="C633" t="s">
        <v>78</v>
      </c>
      <c r="D633" t="s">
        <v>87</v>
      </c>
      <c r="E633" t="s">
        <v>16</v>
      </c>
      <c r="F633" t="s">
        <v>17</v>
      </c>
      <c r="G633" t="s">
        <v>23</v>
      </c>
      <c r="H633" t="s">
        <v>24</v>
      </c>
      <c r="I633" t="s">
        <v>20</v>
      </c>
      <c r="J633" s="2">
        <v>90</v>
      </c>
      <c r="L633" t="s">
        <v>29</v>
      </c>
    </row>
    <row r="634" spans="1:12" ht="19.95" customHeight="1">
      <c r="A634" t="s">
        <v>717</v>
      </c>
      <c r="B634" t="s">
        <v>676</v>
      </c>
      <c r="C634" t="s">
        <v>105</v>
      </c>
      <c r="D634" t="s">
        <v>191</v>
      </c>
      <c r="E634" t="s">
        <v>16</v>
      </c>
      <c r="F634" t="s">
        <v>17</v>
      </c>
      <c r="G634" t="s">
        <v>18</v>
      </c>
      <c r="H634" t="s">
        <v>19</v>
      </c>
      <c r="I634" t="s">
        <v>20</v>
      </c>
      <c r="J634" s="2">
        <v>170</v>
      </c>
      <c r="L634" t="s">
        <v>29</v>
      </c>
    </row>
    <row r="635" spans="1:12" ht="19.95" customHeight="1">
      <c r="A635" t="s">
        <v>718</v>
      </c>
      <c r="B635" t="s">
        <v>676</v>
      </c>
      <c r="C635" t="s">
        <v>105</v>
      </c>
      <c r="D635" t="s">
        <v>187</v>
      </c>
      <c r="E635" t="s">
        <v>16</v>
      </c>
      <c r="F635" t="s">
        <v>17</v>
      </c>
      <c r="G635" t="s">
        <v>23</v>
      </c>
      <c r="H635" t="s">
        <v>19</v>
      </c>
      <c r="I635" t="s">
        <v>20</v>
      </c>
      <c r="J635" s="2">
        <v>90</v>
      </c>
      <c r="L635" t="s">
        <v>29</v>
      </c>
    </row>
    <row r="636" spans="1:12" ht="19.95" customHeight="1">
      <c r="A636" t="s">
        <v>719</v>
      </c>
      <c r="B636" t="s">
        <v>676</v>
      </c>
      <c r="C636" t="s">
        <v>105</v>
      </c>
      <c r="D636" t="s">
        <v>106</v>
      </c>
      <c r="E636" t="s">
        <v>16</v>
      </c>
      <c r="F636" t="s">
        <v>17</v>
      </c>
      <c r="G636" t="s">
        <v>32</v>
      </c>
      <c r="H636" t="s">
        <v>24</v>
      </c>
      <c r="I636" t="s">
        <v>20</v>
      </c>
      <c r="J636" s="2">
        <v>300</v>
      </c>
    </row>
    <row r="637" spans="1:12" ht="19.95" customHeight="1">
      <c r="A637" t="s">
        <v>720</v>
      </c>
      <c r="B637" t="s">
        <v>676</v>
      </c>
      <c r="C637" t="s">
        <v>105</v>
      </c>
      <c r="D637" t="s">
        <v>108</v>
      </c>
      <c r="E637" t="s">
        <v>16</v>
      </c>
      <c r="F637" t="s">
        <v>17</v>
      </c>
      <c r="G637" t="s">
        <v>32</v>
      </c>
      <c r="H637" t="s">
        <v>19</v>
      </c>
      <c r="I637" t="s">
        <v>20</v>
      </c>
      <c r="J637" s="2">
        <v>300</v>
      </c>
    </row>
    <row r="638" spans="1:12" ht="19.95" customHeight="1">
      <c r="A638" t="s">
        <v>721</v>
      </c>
      <c r="B638" t="s">
        <v>676</v>
      </c>
      <c r="C638" t="s">
        <v>105</v>
      </c>
      <c r="D638" t="s">
        <v>108</v>
      </c>
      <c r="E638" t="s">
        <v>16</v>
      </c>
      <c r="F638" t="s">
        <v>17</v>
      </c>
      <c r="G638" t="s">
        <v>18</v>
      </c>
      <c r="H638" t="s">
        <v>19</v>
      </c>
      <c r="I638" t="s">
        <v>20</v>
      </c>
      <c r="J638" s="2">
        <v>200</v>
      </c>
    </row>
    <row r="639" spans="1:12" ht="19.95" customHeight="1">
      <c r="A639" t="s">
        <v>722</v>
      </c>
      <c r="B639" t="s">
        <v>676</v>
      </c>
      <c r="C639" t="s">
        <v>105</v>
      </c>
      <c r="D639" t="s">
        <v>112</v>
      </c>
      <c r="E639" t="s">
        <v>16</v>
      </c>
      <c r="F639" t="s">
        <v>17</v>
      </c>
      <c r="G639" t="s">
        <v>32</v>
      </c>
      <c r="H639" t="s">
        <v>19</v>
      </c>
      <c r="I639" t="s">
        <v>74</v>
      </c>
      <c r="J639" s="2">
        <v>300</v>
      </c>
    </row>
    <row r="640" spans="1:12" ht="19.95" customHeight="1">
      <c r="A640" t="s">
        <v>723</v>
      </c>
      <c r="B640" t="s">
        <v>676</v>
      </c>
      <c r="C640" t="s">
        <v>105</v>
      </c>
      <c r="D640" t="s">
        <v>106</v>
      </c>
      <c r="E640" t="s">
        <v>16</v>
      </c>
      <c r="F640" t="s">
        <v>17</v>
      </c>
      <c r="G640" t="s">
        <v>32</v>
      </c>
      <c r="H640" t="s">
        <v>19</v>
      </c>
      <c r="I640" t="s">
        <v>20</v>
      </c>
      <c r="J640" s="2">
        <v>300</v>
      </c>
    </row>
    <row r="641" spans="1:12" ht="19.95" customHeight="1">
      <c r="A641" t="s">
        <v>724</v>
      </c>
      <c r="B641" t="s">
        <v>676</v>
      </c>
      <c r="C641" t="s">
        <v>105</v>
      </c>
      <c r="D641" t="s">
        <v>182</v>
      </c>
      <c r="E641" t="s">
        <v>16</v>
      </c>
      <c r="F641" t="s">
        <v>17</v>
      </c>
      <c r="G641" t="s">
        <v>18</v>
      </c>
      <c r="H641" t="s">
        <v>19</v>
      </c>
      <c r="I641" t="s">
        <v>20</v>
      </c>
      <c r="J641" s="2">
        <v>200</v>
      </c>
    </row>
    <row r="642" spans="1:12" ht="19.95" customHeight="1">
      <c r="A642" t="s">
        <v>725</v>
      </c>
      <c r="B642" t="s">
        <v>676</v>
      </c>
      <c r="C642" t="s">
        <v>105</v>
      </c>
      <c r="D642" t="s">
        <v>120</v>
      </c>
      <c r="E642" t="s">
        <v>16</v>
      </c>
      <c r="F642" t="s">
        <v>35</v>
      </c>
      <c r="G642" t="s">
        <v>18</v>
      </c>
      <c r="H642" t="s">
        <v>19</v>
      </c>
      <c r="I642" t="s">
        <v>20</v>
      </c>
      <c r="J642" s="2">
        <v>200</v>
      </c>
    </row>
    <row r="643" spans="1:12" ht="19.95" customHeight="1">
      <c r="A643" t="s">
        <v>726</v>
      </c>
      <c r="B643" t="s">
        <v>676</v>
      </c>
      <c r="C643" t="s">
        <v>105</v>
      </c>
      <c r="D643" t="s">
        <v>120</v>
      </c>
      <c r="E643" t="s">
        <v>16</v>
      </c>
      <c r="F643" t="s">
        <v>17</v>
      </c>
      <c r="G643" t="s">
        <v>32</v>
      </c>
      <c r="H643" t="s">
        <v>19</v>
      </c>
      <c r="I643" t="s">
        <v>20</v>
      </c>
      <c r="J643" s="2">
        <v>300</v>
      </c>
    </row>
    <row r="644" spans="1:12" ht="19.95" customHeight="1">
      <c r="A644" t="s">
        <v>727</v>
      </c>
      <c r="B644" t="s">
        <v>676</v>
      </c>
      <c r="C644" t="s">
        <v>105</v>
      </c>
      <c r="D644" t="s">
        <v>265</v>
      </c>
      <c r="E644" t="s">
        <v>16</v>
      </c>
      <c r="F644" t="s">
        <v>17</v>
      </c>
      <c r="G644" t="s">
        <v>18</v>
      </c>
      <c r="H644" t="s">
        <v>19</v>
      </c>
      <c r="I644" t="s">
        <v>74</v>
      </c>
      <c r="J644" s="2">
        <v>200</v>
      </c>
    </row>
    <row r="645" spans="1:12" ht="19.95" customHeight="1">
      <c r="A645" t="s">
        <v>728</v>
      </c>
      <c r="B645" t="s">
        <v>676</v>
      </c>
      <c r="C645" t="s">
        <v>105</v>
      </c>
      <c r="D645" t="s">
        <v>265</v>
      </c>
      <c r="E645" t="s">
        <v>16</v>
      </c>
      <c r="F645" t="s">
        <v>17</v>
      </c>
      <c r="G645" t="s">
        <v>23</v>
      </c>
      <c r="H645" t="s">
        <v>19</v>
      </c>
      <c r="I645" t="s">
        <v>20</v>
      </c>
      <c r="J645" s="2">
        <v>120</v>
      </c>
    </row>
    <row r="646" spans="1:12" ht="19.95" customHeight="1">
      <c r="A646" t="s">
        <v>729</v>
      </c>
      <c r="B646" t="s">
        <v>676</v>
      </c>
      <c r="C646" t="s">
        <v>105</v>
      </c>
      <c r="D646" t="s">
        <v>265</v>
      </c>
      <c r="E646" t="s">
        <v>16</v>
      </c>
      <c r="F646" t="s">
        <v>17</v>
      </c>
      <c r="G646" t="s">
        <v>18</v>
      </c>
      <c r="H646" t="s">
        <v>24</v>
      </c>
      <c r="I646" t="s">
        <v>20</v>
      </c>
      <c r="J646" s="2">
        <v>200</v>
      </c>
    </row>
    <row r="647" spans="1:12" ht="19.95" customHeight="1">
      <c r="A647" t="s">
        <v>730</v>
      </c>
      <c r="B647" t="s">
        <v>676</v>
      </c>
      <c r="C647" t="s">
        <v>105</v>
      </c>
      <c r="D647" t="s">
        <v>120</v>
      </c>
      <c r="E647" t="s">
        <v>16</v>
      </c>
      <c r="F647" t="s">
        <v>17</v>
      </c>
      <c r="G647" t="s">
        <v>32</v>
      </c>
      <c r="H647" t="s">
        <v>24</v>
      </c>
      <c r="I647" t="s">
        <v>20</v>
      </c>
      <c r="J647" s="2">
        <v>225</v>
      </c>
      <c r="L647" t="s">
        <v>29</v>
      </c>
    </row>
    <row r="648" spans="1:12" ht="19.95" customHeight="1">
      <c r="A648" t="s">
        <v>731</v>
      </c>
      <c r="B648" t="s">
        <v>676</v>
      </c>
      <c r="C648" t="s">
        <v>105</v>
      </c>
      <c r="D648" t="s">
        <v>118</v>
      </c>
      <c r="E648" t="s">
        <v>16</v>
      </c>
      <c r="F648" t="s">
        <v>17</v>
      </c>
      <c r="G648" t="s">
        <v>32</v>
      </c>
      <c r="H648" t="s">
        <v>19</v>
      </c>
      <c r="I648" t="s">
        <v>20</v>
      </c>
      <c r="J648" s="2">
        <v>300</v>
      </c>
    </row>
    <row r="649" spans="1:12" ht="19.95" customHeight="1">
      <c r="A649" t="s">
        <v>732</v>
      </c>
      <c r="B649" t="s">
        <v>676</v>
      </c>
      <c r="C649" t="s">
        <v>105</v>
      </c>
      <c r="D649" t="s">
        <v>118</v>
      </c>
      <c r="E649" t="s">
        <v>16</v>
      </c>
      <c r="F649" t="s">
        <v>35</v>
      </c>
      <c r="G649" t="s">
        <v>23</v>
      </c>
      <c r="H649" t="s">
        <v>19</v>
      </c>
      <c r="I649" t="s">
        <v>20</v>
      </c>
      <c r="J649" s="2">
        <v>120</v>
      </c>
    </row>
    <row r="650" spans="1:12" ht="19.95" customHeight="1">
      <c r="A650" t="s">
        <v>733</v>
      </c>
      <c r="B650" t="s">
        <v>676</v>
      </c>
      <c r="C650" t="s">
        <v>105</v>
      </c>
      <c r="D650" t="s">
        <v>182</v>
      </c>
      <c r="E650" t="s">
        <v>16</v>
      </c>
      <c r="F650" t="s">
        <v>17</v>
      </c>
      <c r="G650" t="s">
        <v>23</v>
      </c>
      <c r="H650" t="s">
        <v>19</v>
      </c>
      <c r="I650" t="s">
        <v>20</v>
      </c>
      <c r="J650" s="2">
        <v>120</v>
      </c>
    </row>
    <row r="651" spans="1:12" ht="19.95" customHeight="1">
      <c r="A651" t="s">
        <v>734</v>
      </c>
      <c r="B651" t="s">
        <v>676</v>
      </c>
      <c r="C651" t="s">
        <v>105</v>
      </c>
      <c r="D651" t="s">
        <v>112</v>
      </c>
      <c r="E651" t="s">
        <v>16</v>
      </c>
      <c r="F651" t="s">
        <v>17</v>
      </c>
      <c r="G651" t="s">
        <v>23</v>
      </c>
      <c r="H651" t="s">
        <v>19</v>
      </c>
      <c r="I651" t="s">
        <v>20</v>
      </c>
      <c r="J651" s="2">
        <v>120</v>
      </c>
    </row>
    <row r="652" spans="1:12" ht="19.95" customHeight="1">
      <c r="A652" t="s">
        <v>735</v>
      </c>
      <c r="B652" t="s">
        <v>676</v>
      </c>
      <c r="C652" t="s">
        <v>47</v>
      </c>
      <c r="D652" t="s">
        <v>152</v>
      </c>
      <c r="E652" t="s">
        <v>402</v>
      </c>
      <c r="F652" t="s">
        <v>35</v>
      </c>
      <c r="G652" t="s">
        <v>32</v>
      </c>
      <c r="H652" t="s">
        <v>19</v>
      </c>
      <c r="I652" t="s">
        <v>20</v>
      </c>
      <c r="J652" s="2">
        <v>300</v>
      </c>
      <c r="K652" t="s">
        <v>563</v>
      </c>
    </row>
    <row r="653" spans="1:12" ht="19.95" customHeight="1">
      <c r="A653" t="s">
        <v>736</v>
      </c>
      <c r="B653" t="s">
        <v>737</v>
      </c>
      <c r="C653" t="s">
        <v>14</v>
      </c>
      <c r="D653" t="s">
        <v>22</v>
      </c>
      <c r="E653" t="s">
        <v>16</v>
      </c>
      <c r="F653" t="s">
        <v>17</v>
      </c>
      <c r="G653" t="s">
        <v>23</v>
      </c>
      <c r="H653" t="s">
        <v>19</v>
      </c>
      <c r="I653" t="s">
        <v>20</v>
      </c>
      <c r="J653" s="2">
        <v>120</v>
      </c>
    </row>
    <row r="654" spans="1:12" ht="19.95" customHeight="1">
      <c r="A654" t="s">
        <v>738</v>
      </c>
      <c r="B654" t="s">
        <v>737</v>
      </c>
      <c r="C654" t="s">
        <v>14</v>
      </c>
      <c r="D654" t="s">
        <v>34</v>
      </c>
      <c r="E654" t="s">
        <v>16</v>
      </c>
      <c r="F654" t="s">
        <v>17</v>
      </c>
      <c r="G654" t="s">
        <v>32</v>
      </c>
      <c r="H654" t="s">
        <v>19</v>
      </c>
      <c r="I654" t="s">
        <v>20</v>
      </c>
      <c r="J654" s="2">
        <v>300</v>
      </c>
    </row>
    <row r="655" spans="1:12" ht="19.95" customHeight="1">
      <c r="A655" t="s">
        <v>739</v>
      </c>
      <c r="B655" t="s">
        <v>737</v>
      </c>
      <c r="C655" t="s">
        <v>14</v>
      </c>
      <c r="D655" t="s">
        <v>42</v>
      </c>
      <c r="E655" t="s">
        <v>16</v>
      </c>
      <c r="F655" t="s">
        <v>17</v>
      </c>
      <c r="G655" t="s">
        <v>23</v>
      </c>
      <c r="H655" t="s">
        <v>19</v>
      </c>
      <c r="I655" t="s">
        <v>20</v>
      </c>
      <c r="J655" s="2">
        <v>102</v>
      </c>
      <c r="L655" t="s">
        <v>29</v>
      </c>
    </row>
    <row r="656" spans="1:12" ht="19.95" customHeight="1">
      <c r="A656" t="s">
        <v>740</v>
      </c>
      <c r="B656" t="s">
        <v>737</v>
      </c>
      <c r="C656" t="s">
        <v>14</v>
      </c>
      <c r="D656" t="s">
        <v>28</v>
      </c>
      <c r="E656" t="s">
        <v>16</v>
      </c>
      <c r="F656" t="s">
        <v>17</v>
      </c>
      <c r="G656" t="s">
        <v>32</v>
      </c>
      <c r="H656" t="s">
        <v>19</v>
      </c>
      <c r="I656" t="s">
        <v>20</v>
      </c>
      <c r="J656" s="2">
        <v>300</v>
      </c>
    </row>
    <row r="657" spans="1:12" ht="19.95" customHeight="1">
      <c r="A657" t="s">
        <v>741</v>
      </c>
      <c r="B657" t="s">
        <v>737</v>
      </c>
      <c r="C657" t="s">
        <v>14</v>
      </c>
      <c r="D657" t="s">
        <v>22</v>
      </c>
      <c r="E657" t="s">
        <v>16</v>
      </c>
      <c r="F657" t="s">
        <v>35</v>
      </c>
      <c r="G657" t="s">
        <v>18</v>
      </c>
      <c r="H657" t="s">
        <v>19</v>
      </c>
      <c r="I657" t="s">
        <v>20</v>
      </c>
      <c r="J657" s="2">
        <v>200</v>
      </c>
    </row>
    <row r="658" spans="1:12" ht="19.95" customHeight="1">
      <c r="A658" t="s">
        <v>742</v>
      </c>
      <c r="B658" t="s">
        <v>737</v>
      </c>
      <c r="C658" t="s">
        <v>14</v>
      </c>
      <c r="D658" t="s">
        <v>26</v>
      </c>
      <c r="E658" t="s">
        <v>16</v>
      </c>
      <c r="F658" t="s">
        <v>17</v>
      </c>
      <c r="G658" t="s">
        <v>32</v>
      </c>
      <c r="H658" t="s">
        <v>19</v>
      </c>
      <c r="I658" t="s">
        <v>20</v>
      </c>
      <c r="J658" s="2">
        <v>300</v>
      </c>
    </row>
    <row r="659" spans="1:12" ht="19.95" customHeight="1">
      <c r="A659" t="s">
        <v>743</v>
      </c>
      <c r="B659" t="s">
        <v>737</v>
      </c>
      <c r="C659" t="s">
        <v>14</v>
      </c>
      <c r="D659" t="s">
        <v>42</v>
      </c>
      <c r="E659" t="s">
        <v>16</v>
      </c>
      <c r="F659" t="s">
        <v>35</v>
      </c>
      <c r="G659" t="s">
        <v>18</v>
      </c>
      <c r="H659" t="s">
        <v>24</v>
      </c>
      <c r="I659" t="s">
        <v>53</v>
      </c>
      <c r="J659" s="2">
        <v>150</v>
      </c>
      <c r="L659" t="s">
        <v>29</v>
      </c>
    </row>
    <row r="660" spans="1:12" ht="19.95" customHeight="1">
      <c r="A660" t="s">
        <v>744</v>
      </c>
      <c r="B660" t="s">
        <v>737</v>
      </c>
      <c r="C660" t="s">
        <v>14</v>
      </c>
      <c r="D660" t="s">
        <v>37</v>
      </c>
      <c r="E660" t="s">
        <v>16</v>
      </c>
      <c r="F660" t="s">
        <v>17</v>
      </c>
      <c r="G660" t="s">
        <v>23</v>
      </c>
      <c r="H660" t="s">
        <v>19</v>
      </c>
      <c r="I660" t="s">
        <v>20</v>
      </c>
      <c r="J660" s="2">
        <v>120</v>
      </c>
    </row>
    <row r="661" spans="1:12" ht="19.95" customHeight="1">
      <c r="A661" t="s">
        <v>745</v>
      </c>
      <c r="B661" t="s">
        <v>737</v>
      </c>
      <c r="C661" t="s">
        <v>14</v>
      </c>
      <c r="D661" t="s">
        <v>42</v>
      </c>
      <c r="E661" t="s">
        <v>16</v>
      </c>
      <c r="F661" t="s">
        <v>17</v>
      </c>
      <c r="G661" t="s">
        <v>23</v>
      </c>
      <c r="H661" t="s">
        <v>19</v>
      </c>
      <c r="I661" t="s">
        <v>20</v>
      </c>
      <c r="J661" s="2">
        <v>120</v>
      </c>
    </row>
    <row r="662" spans="1:12" ht="19.95" customHeight="1">
      <c r="A662" t="s">
        <v>746</v>
      </c>
      <c r="B662" t="s">
        <v>737</v>
      </c>
      <c r="C662" t="s">
        <v>14</v>
      </c>
      <c r="D662" t="s">
        <v>40</v>
      </c>
      <c r="E662" t="s">
        <v>16</v>
      </c>
      <c r="F662" t="s">
        <v>17</v>
      </c>
      <c r="G662" t="s">
        <v>23</v>
      </c>
      <c r="H662" t="s">
        <v>19</v>
      </c>
      <c r="I662" t="s">
        <v>74</v>
      </c>
      <c r="J662" s="2">
        <v>90</v>
      </c>
      <c r="L662" t="s">
        <v>29</v>
      </c>
    </row>
    <row r="663" spans="1:12" ht="19.95" customHeight="1">
      <c r="A663" t="s">
        <v>747</v>
      </c>
      <c r="B663" t="s">
        <v>737</v>
      </c>
      <c r="C663" t="s">
        <v>14</v>
      </c>
      <c r="D663" t="s">
        <v>37</v>
      </c>
      <c r="E663" t="s">
        <v>16</v>
      </c>
      <c r="F663" t="s">
        <v>17</v>
      </c>
      <c r="G663" t="s">
        <v>18</v>
      </c>
      <c r="H663" t="s">
        <v>19</v>
      </c>
      <c r="I663" t="s">
        <v>20</v>
      </c>
      <c r="J663" s="2">
        <v>200</v>
      </c>
    </row>
    <row r="664" spans="1:12" ht="19.95" customHeight="1">
      <c r="A664" t="s">
        <v>748</v>
      </c>
      <c r="B664" t="s">
        <v>737</v>
      </c>
      <c r="C664" t="s">
        <v>14</v>
      </c>
      <c r="D664" t="s">
        <v>210</v>
      </c>
      <c r="E664" t="s">
        <v>16</v>
      </c>
      <c r="F664" t="s">
        <v>17</v>
      </c>
      <c r="G664" t="s">
        <v>23</v>
      </c>
      <c r="H664" t="s">
        <v>19</v>
      </c>
      <c r="I664" t="s">
        <v>20</v>
      </c>
      <c r="J664" s="2">
        <v>120</v>
      </c>
    </row>
    <row r="665" spans="1:12" ht="19.95" customHeight="1">
      <c r="A665" t="s">
        <v>749</v>
      </c>
      <c r="B665" t="s">
        <v>737</v>
      </c>
      <c r="C665" t="s">
        <v>14</v>
      </c>
      <c r="D665" t="s">
        <v>131</v>
      </c>
      <c r="E665" t="s">
        <v>16</v>
      </c>
      <c r="F665" t="s">
        <v>17</v>
      </c>
      <c r="G665" t="s">
        <v>23</v>
      </c>
      <c r="H665" t="s">
        <v>19</v>
      </c>
      <c r="I665" t="s">
        <v>20</v>
      </c>
      <c r="J665" s="2">
        <v>120</v>
      </c>
    </row>
    <row r="666" spans="1:12" ht="19.95" customHeight="1">
      <c r="A666" t="s">
        <v>750</v>
      </c>
      <c r="B666" t="s">
        <v>737</v>
      </c>
      <c r="C666" t="s">
        <v>14</v>
      </c>
      <c r="D666" t="s">
        <v>22</v>
      </c>
      <c r="E666" t="s">
        <v>16</v>
      </c>
      <c r="F666" t="s">
        <v>35</v>
      </c>
      <c r="G666" t="s">
        <v>32</v>
      </c>
      <c r="H666" t="s">
        <v>24</v>
      </c>
      <c r="I666" t="s">
        <v>20</v>
      </c>
      <c r="J666" s="2">
        <v>300</v>
      </c>
    </row>
    <row r="667" spans="1:12" ht="19.95" customHeight="1">
      <c r="A667" t="s">
        <v>751</v>
      </c>
      <c r="B667" t="s">
        <v>737</v>
      </c>
      <c r="C667" t="s">
        <v>14</v>
      </c>
      <c r="D667" t="s">
        <v>40</v>
      </c>
      <c r="E667" t="s">
        <v>16</v>
      </c>
      <c r="F667" t="s">
        <v>17</v>
      </c>
      <c r="G667" t="s">
        <v>23</v>
      </c>
      <c r="H667" t="s">
        <v>19</v>
      </c>
      <c r="I667" t="s">
        <v>20</v>
      </c>
      <c r="J667" s="2">
        <v>120</v>
      </c>
    </row>
    <row r="668" spans="1:12" ht="19.95" customHeight="1">
      <c r="A668" t="s">
        <v>752</v>
      </c>
      <c r="B668" t="s">
        <v>737</v>
      </c>
      <c r="C668" t="s">
        <v>14</v>
      </c>
      <c r="D668" t="s">
        <v>31</v>
      </c>
      <c r="E668" t="s">
        <v>16</v>
      </c>
      <c r="F668" t="s">
        <v>35</v>
      </c>
      <c r="G668" t="s">
        <v>23</v>
      </c>
      <c r="H668" t="s">
        <v>19</v>
      </c>
      <c r="I668" t="s">
        <v>20</v>
      </c>
      <c r="J668" s="2">
        <v>120</v>
      </c>
    </row>
    <row r="669" spans="1:12" ht="19.95" customHeight="1">
      <c r="A669" t="s">
        <v>753</v>
      </c>
      <c r="B669" t="s">
        <v>737</v>
      </c>
      <c r="C669" t="s">
        <v>47</v>
      </c>
      <c r="D669" t="s">
        <v>62</v>
      </c>
      <c r="E669" t="s">
        <v>16</v>
      </c>
      <c r="F669" t="s">
        <v>35</v>
      </c>
      <c r="G669" t="s">
        <v>18</v>
      </c>
      <c r="H669" t="s">
        <v>19</v>
      </c>
      <c r="I669" t="s">
        <v>20</v>
      </c>
      <c r="J669" s="2">
        <v>200</v>
      </c>
    </row>
    <row r="670" spans="1:12" ht="19.95" customHeight="1">
      <c r="A670" t="s">
        <v>754</v>
      </c>
      <c r="B670" t="s">
        <v>737</v>
      </c>
      <c r="C670" t="s">
        <v>47</v>
      </c>
      <c r="D670" t="s">
        <v>62</v>
      </c>
      <c r="E670" t="s">
        <v>16</v>
      </c>
      <c r="F670" t="s">
        <v>17</v>
      </c>
      <c r="G670" t="s">
        <v>18</v>
      </c>
      <c r="H670" t="s">
        <v>24</v>
      </c>
      <c r="I670" t="s">
        <v>20</v>
      </c>
      <c r="J670" s="2">
        <v>170</v>
      </c>
      <c r="L670" t="s">
        <v>29</v>
      </c>
    </row>
    <row r="671" spans="1:12" ht="19.95" customHeight="1">
      <c r="A671" t="s">
        <v>755</v>
      </c>
      <c r="B671" t="s">
        <v>737</v>
      </c>
      <c r="C671" t="s">
        <v>47</v>
      </c>
      <c r="D671" t="s">
        <v>52</v>
      </c>
      <c r="E671" t="s">
        <v>16</v>
      </c>
      <c r="F671" t="s">
        <v>17</v>
      </c>
      <c r="G671" t="s">
        <v>32</v>
      </c>
      <c r="H671" t="s">
        <v>19</v>
      </c>
      <c r="I671" t="s">
        <v>20</v>
      </c>
      <c r="J671" s="2">
        <v>300</v>
      </c>
    </row>
    <row r="672" spans="1:12" ht="19.95" customHeight="1">
      <c r="A672" t="s">
        <v>756</v>
      </c>
      <c r="B672" t="s">
        <v>737</v>
      </c>
      <c r="C672" t="s">
        <v>47</v>
      </c>
      <c r="D672" t="s">
        <v>48</v>
      </c>
      <c r="E672" t="s">
        <v>16</v>
      </c>
      <c r="F672" t="s">
        <v>35</v>
      </c>
      <c r="G672" t="s">
        <v>32</v>
      </c>
      <c r="H672" t="s">
        <v>19</v>
      </c>
      <c r="I672" t="s">
        <v>20</v>
      </c>
      <c r="J672" s="2">
        <v>225</v>
      </c>
      <c r="L672" t="s">
        <v>29</v>
      </c>
    </row>
    <row r="673" spans="1:12" ht="19.95" customHeight="1">
      <c r="A673" t="s">
        <v>757</v>
      </c>
      <c r="B673" t="s">
        <v>737</v>
      </c>
      <c r="C673" t="s">
        <v>47</v>
      </c>
      <c r="D673" t="s">
        <v>73</v>
      </c>
      <c r="E673" t="s">
        <v>16</v>
      </c>
      <c r="F673" t="s">
        <v>17</v>
      </c>
      <c r="G673" t="s">
        <v>32</v>
      </c>
      <c r="H673" t="s">
        <v>24</v>
      </c>
      <c r="I673" t="s">
        <v>20</v>
      </c>
      <c r="J673" s="2">
        <v>300</v>
      </c>
    </row>
    <row r="674" spans="1:12" ht="19.95" customHeight="1">
      <c r="A674" t="s">
        <v>758</v>
      </c>
      <c r="B674" t="s">
        <v>737</v>
      </c>
      <c r="C674" t="s">
        <v>47</v>
      </c>
      <c r="D674" t="s">
        <v>148</v>
      </c>
      <c r="E674" t="s">
        <v>16</v>
      </c>
      <c r="F674" t="s">
        <v>17</v>
      </c>
      <c r="G674" t="s">
        <v>23</v>
      </c>
      <c r="H674" t="s">
        <v>19</v>
      </c>
      <c r="I674" t="s">
        <v>20</v>
      </c>
      <c r="J674" s="2">
        <v>102</v>
      </c>
      <c r="L674" t="s">
        <v>29</v>
      </c>
    </row>
    <row r="675" spans="1:12" ht="19.95" customHeight="1">
      <c r="A675" t="s">
        <v>759</v>
      </c>
      <c r="B675" t="s">
        <v>737</v>
      </c>
      <c r="C675" t="s">
        <v>47</v>
      </c>
      <c r="D675" t="s">
        <v>48</v>
      </c>
      <c r="E675" t="s">
        <v>16</v>
      </c>
      <c r="F675" t="s">
        <v>17</v>
      </c>
      <c r="G675" t="s">
        <v>18</v>
      </c>
      <c r="H675" t="s">
        <v>19</v>
      </c>
      <c r="I675" t="s">
        <v>20</v>
      </c>
      <c r="J675" s="2">
        <v>200</v>
      </c>
    </row>
    <row r="676" spans="1:12" ht="19.95" customHeight="1">
      <c r="A676" t="s">
        <v>760</v>
      </c>
      <c r="B676" t="s">
        <v>737</v>
      </c>
      <c r="C676" t="s">
        <v>47</v>
      </c>
      <c r="D676" t="s">
        <v>48</v>
      </c>
      <c r="E676" t="s">
        <v>16</v>
      </c>
      <c r="F676" t="s">
        <v>17</v>
      </c>
      <c r="G676" t="s">
        <v>32</v>
      </c>
      <c r="H676" t="s">
        <v>19</v>
      </c>
      <c r="I676" t="s">
        <v>20</v>
      </c>
      <c r="J676" s="2">
        <v>225</v>
      </c>
      <c r="L676" t="s">
        <v>29</v>
      </c>
    </row>
    <row r="677" spans="1:12" ht="19.95" customHeight="1">
      <c r="A677" t="s">
        <v>761</v>
      </c>
      <c r="B677" t="s">
        <v>737</v>
      </c>
      <c r="C677" t="s">
        <v>47</v>
      </c>
      <c r="D677" t="s">
        <v>59</v>
      </c>
      <c r="E677" t="s">
        <v>16</v>
      </c>
      <c r="F677" t="s">
        <v>17</v>
      </c>
      <c r="G677" t="s">
        <v>32</v>
      </c>
      <c r="H677" t="s">
        <v>19</v>
      </c>
      <c r="I677" t="s">
        <v>20</v>
      </c>
      <c r="J677" s="2">
        <v>300</v>
      </c>
    </row>
    <row r="678" spans="1:12" ht="19.95" customHeight="1">
      <c r="A678" t="s">
        <v>762</v>
      </c>
      <c r="B678" t="s">
        <v>737</v>
      </c>
      <c r="C678" t="s">
        <v>47</v>
      </c>
      <c r="D678" t="s">
        <v>66</v>
      </c>
      <c r="E678" t="s">
        <v>16</v>
      </c>
      <c r="F678" t="s">
        <v>17</v>
      </c>
      <c r="G678" t="s">
        <v>23</v>
      </c>
      <c r="H678" t="s">
        <v>19</v>
      </c>
      <c r="I678" t="s">
        <v>20</v>
      </c>
      <c r="J678" s="2">
        <v>120</v>
      </c>
    </row>
    <row r="679" spans="1:12" ht="19.95" customHeight="1">
      <c r="A679" t="s">
        <v>763</v>
      </c>
      <c r="B679" t="s">
        <v>737</v>
      </c>
      <c r="C679" t="s">
        <v>47</v>
      </c>
      <c r="D679" t="s">
        <v>148</v>
      </c>
      <c r="E679" t="s">
        <v>16</v>
      </c>
      <c r="F679" t="s">
        <v>35</v>
      </c>
      <c r="G679" t="s">
        <v>23</v>
      </c>
      <c r="H679" t="s">
        <v>24</v>
      </c>
      <c r="I679" t="s">
        <v>20</v>
      </c>
      <c r="J679" s="2">
        <v>120</v>
      </c>
    </row>
    <row r="680" spans="1:12" ht="19.95" customHeight="1">
      <c r="A680" t="s">
        <v>764</v>
      </c>
      <c r="B680" t="s">
        <v>737</v>
      </c>
      <c r="C680" t="s">
        <v>47</v>
      </c>
      <c r="D680" t="s">
        <v>50</v>
      </c>
      <c r="E680" t="s">
        <v>16</v>
      </c>
      <c r="F680" t="s">
        <v>17</v>
      </c>
      <c r="G680" t="s">
        <v>23</v>
      </c>
      <c r="H680" t="s">
        <v>24</v>
      </c>
      <c r="I680" t="s">
        <v>20</v>
      </c>
      <c r="J680" s="2">
        <v>120</v>
      </c>
    </row>
    <row r="681" spans="1:12" ht="19.95" customHeight="1">
      <c r="A681" t="s">
        <v>765</v>
      </c>
      <c r="B681" t="s">
        <v>737</v>
      </c>
      <c r="C681" t="s">
        <v>47</v>
      </c>
      <c r="D681" t="s">
        <v>55</v>
      </c>
      <c r="E681" t="s">
        <v>16</v>
      </c>
      <c r="F681" t="s">
        <v>35</v>
      </c>
      <c r="G681" t="s">
        <v>18</v>
      </c>
      <c r="H681" t="s">
        <v>19</v>
      </c>
      <c r="I681" t="s">
        <v>20</v>
      </c>
      <c r="J681" s="2">
        <v>200</v>
      </c>
    </row>
    <row r="682" spans="1:12" ht="19.95" customHeight="1">
      <c r="A682" t="s">
        <v>766</v>
      </c>
      <c r="B682" t="s">
        <v>737</v>
      </c>
      <c r="C682" t="s">
        <v>47</v>
      </c>
      <c r="D682" t="s">
        <v>62</v>
      </c>
      <c r="E682" t="s">
        <v>16</v>
      </c>
      <c r="F682" t="s">
        <v>17</v>
      </c>
      <c r="G682" t="s">
        <v>32</v>
      </c>
      <c r="H682" t="s">
        <v>19</v>
      </c>
      <c r="I682" t="s">
        <v>20</v>
      </c>
      <c r="J682" s="2">
        <v>300</v>
      </c>
    </row>
    <row r="683" spans="1:12" ht="19.95" customHeight="1">
      <c r="A683" t="s">
        <v>767</v>
      </c>
      <c r="B683" t="s">
        <v>737</v>
      </c>
      <c r="C683" t="s">
        <v>47</v>
      </c>
      <c r="D683" t="s">
        <v>62</v>
      </c>
      <c r="E683" t="s">
        <v>16</v>
      </c>
      <c r="F683" t="s">
        <v>17</v>
      </c>
      <c r="G683" t="s">
        <v>23</v>
      </c>
      <c r="H683" t="s">
        <v>19</v>
      </c>
      <c r="I683" t="s">
        <v>20</v>
      </c>
      <c r="J683" s="2">
        <v>102</v>
      </c>
      <c r="L683" t="s">
        <v>29</v>
      </c>
    </row>
    <row r="684" spans="1:12" ht="19.95" customHeight="1">
      <c r="A684" t="s">
        <v>768</v>
      </c>
      <c r="B684" t="s">
        <v>737</v>
      </c>
      <c r="C684" t="s">
        <v>47</v>
      </c>
      <c r="D684" t="s">
        <v>52</v>
      </c>
      <c r="E684" t="s">
        <v>16</v>
      </c>
      <c r="F684" t="s">
        <v>17</v>
      </c>
      <c r="G684" t="s">
        <v>23</v>
      </c>
      <c r="H684" t="s">
        <v>19</v>
      </c>
      <c r="I684" t="s">
        <v>20</v>
      </c>
      <c r="J684" s="2">
        <v>120</v>
      </c>
    </row>
    <row r="685" spans="1:12" ht="19.95" customHeight="1">
      <c r="A685" t="s">
        <v>769</v>
      </c>
      <c r="B685" t="s">
        <v>737</v>
      </c>
      <c r="C685" t="s">
        <v>47</v>
      </c>
      <c r="D685" t="s">
        <v>50</v>
      </c>
      <c r="E685" t="s">
        <v>16</v>
      </c>
      <c r="F685" t="s">
        <v>17</v>
      </c>
      <c r="G685" t="s">
        <v>32</v>
      </c>
      <c r="H685" t="s">
        <v>24</v>
      </c>
      <c r="I685" t="s">
        <v>20</v>
      </c>
      <c r="J685" s="2">
        <v>300</v>
      </c>
    </row>
    <row r="686" spans="1:12" ht="19.95" customHeight="1">
      <c r="A686" t="s">
        <v>770</v>
      </c>
      <c r="B686" t="s">
        <v>737</v>
      </c>
      <c r="C686" t="s">
        <v>78</v>
      </c>
      <c r="D686" t="s">
        <v>93</v>
      </c>
      <c r="E686" t="s">
        <v>16</v>
      </c>
      <c r="F686" t="s">
        <v>17</v>
      </c>
      <c r="G686" t="s">
        <v>18</v>
      </c>
      <c r="H686" t="s">
        <v>19</v>
      </c>
      <c r="I686" t="s">
        <v>20</v>
      </c>
      <c r="J686" s="2">
        <v>200</v>
      </c>
    </row>
    <row r="687" spans="1:12" ht="19.95" customHeight="1">
      <c r="A687" t="s">
        <v>771</v>
      </c>
      <c r="B687" t="s">
        <v>737</v>
      </c>
      <c r="C687" t="s">
        <v>78</v>
      </c>
      <c r="D687" t="s">
        <v>93</v>
      </c>
      <c r="E687" t="s">
        <v>16</v>
      </c>
      <c r="F687" t="s">
        <v>17</v>
      </c>
      <c r="G687" t="s">
        <v>18</v>
      </c>
      <c r="H687" t="s">
        <v>19</v>
      </c>
      <c r="I687" t="s">
        <v>20</v>
      </c>
      <c r="J687" s="2">
        <v>200</v>
      </c>
    </row>
    <row r="688" spans="1:12" ht="19.95" customHeight="1">
      <c r="A688" t="s">
        <v>772</v>
      </c>
      <c r="B688" t="s">
        <v>737</v>
      </c>
      <c r="C688" t="s">
        <v>78</v>
      </c>
      <c r="D688" t="s">
        <v>163</v>
      </c>
      <c r="E688" t="s">
        <v>16</v>
      </c>
      <c r="F688" t="s">
        <v>17</v>
      </c>
      <c r="G688" t="s">
        <v>18</v>
      </c>
      <c r="H688" t="s">
        <v>19</v>
      </c>
      <c r="I688" t="s">
        <v>20</v>
      </c>
      <c r="J688" s="2">
        <v>150</v>
      </c>
      <c r="L688" t="s">
        <v>29</v>
      </c>
    </row>
    <row r="689" spans="1:12" ht="19.95" customHeight="1">
      <c r="A689" t="s">
        <v>773</v>
      </c>
      <c r="B689" t="s">
        <v>737</v>
      </c>
      <c r="C689" t="s">
        <v>78</v>
      </c>
      <c r="D689" t="s">
        <v>97</v>
      </c>
      <c r="E689" t="s">
        <v>16</v>
      </c>
      <c r="F689" t="s">
        <v>35</v>
      </c>
      <c r="G689" t="s">
        <v>18</v>
      </c>
      <c r="H689" t="s">
        <v>19</v>
      </c>
      <c r="I689" t="s">
        <v>20</v>
      </c>
      <c r="J689" s="2">
        <v>200</v>
      </c>
    </row>
    <row r="690" spans="1:12" ht="19.95" customHeight="1">
      <c r="A690" t="s">
        <v>774</v>
      </c>
      <c r="B690" t="s">
        <v>737</v>
      </c>
      <c r="C690" t="s">
        <v>78</v>
      </c>
      <c r="D690" t="s">
        <v>102</v>
      </c>
      <c r="E690" t="s">
        <v>16</v>
      </c>
      <c r="F690" t="s">
        <v>17</v>
      </c>
      <c r="G690" t="s">
        <v>23</v>
      </c>
      <c r="H690" t="s">
        <v>19</v>
      </c>
      <c r="I690" t="s">
        <v>20</v>
      </c>
      <c r="J690" s="2">
        <v>120</v>
      </c>
    </row>
    <row r="691" spans="1:12" ht="19.95" customHeight="1">
      <c r="A691" t="s">
        <v>775</v>
      </c>
      <c r="B691" t="s">
        <v>737</v>
      </c>
      <c r="C691" t="s">
        <v>78</v>
      </c>
      <c r="D691" t="s">
        <v>81</v>
      </c>
      <c r="E691" t="s">
        <v>16</v>
      </c>
      <c r="F691" t="s">
        <v>17</v>
      </c>
      <c r="G691" t="s">
        <v>32</v>
      </c>
      <c r="H691" t="s">
        <v>19</v>
      </c>
      <c r="I691" t="s">
        <v>20</v>
      </c>
      <c r="J691" s="2">
        <v>300</v>
      </c>
    </row>
    <row r="692" spans="1:12" ht="19.95" customHeight="1">
      <c r="A692" t="s">
        <v>776</v>
      </c>
      <c r="B692" t="s">
        <v>737</v>
      </c>
      <c r="C692" t="s">
        <v>78</v>
      </c>
      <c r="D692" t="s">
        <v>89</v>
      </c>
      <c r="E692" t="s">
        <v>16</v>
      </c>
      <c r="F692" t="s">
        <v>17</v>
      </c>
      <c r="G692" t="s">
        <v>32</v>
      </c>
      <c r="H692" t="s">
        <v>19</v>
      </c>
      <c r="I692" t="s">
        <v>20</v>
      </c>
      <c r="J692" s="2">
        <v>300</v>
      </c>
    </row>
    <row r="693" spans="1:12" ht="19.95" customHeight="1">
      <c r="A693" t="s">
        <v>777</v>
      </c>
      <c r="B693" t="s">
        <v>737</v>
      </c>
      <c r="C693" t="s">
        <v>78</v>
      </c>
      <c r="D693" t="s">
        <v>93</v>
      </c>
      <c r="E693" t="s">
        <v>16</v>
      </c>
      <c r="F693" t="s">
        <v>35</v>
      </c>
      <c r="G693" t="s">
        <v>32</v>
      </c>
      <c r="H693" t="s">
        <v>24</v>
      </c>
      <c r="I693" t="s">
        <v>20</v>
      </c>
      <c r="J693" s="2">
        <v>300</v>
      </c>
    </row>
    <row r="694" spans="1:12" ht="19.95" customHeight="1">
      <c r="A694" t="s">
        <v>778</v>
      </c>
      <c r="B694" t="s">
        <v>737</v>
      </c>
      <c r="C694" t="s">
        <v>78</v>
      </c>
      <c r="D694" t="s">
        <v>97</v>
      </c>
      <c r="E694" t="s">
        <v>16</v>
      </c>
      <c r="F694" t="s">
        <v>17</v>
      </c>
      <c r="G694" t="s">
        <v>32</v>
      </c>
      <c r="H694" t="s">
        <v>19</v>
      </c>
      <c r="I694" t="s">
        <v>20</v>
      </c>
      <c r="J694" s="2">
        <v>300</v>
      </c>
    </row>
    <row r="695" spans="1:12" ht="19.95" customHeight="1">
      <c r="A695" t="s">
        <v>779</v>
      </c>
      <c r="B695" t="s">
        <v>737</v>
      </c>
      <c r="C695" t="s">
        <v>78</v>
      </c>
      <c r="D695" t="s">
        <v>79</v>
      </c>
      <c r="E695" t="s">
        <v>16</v>
      </c>
      <c r="F695" t="s">
        <v>17</v>
      </c>
      <c r="G695" t="s">
        <v>32</v>
      </c>
      <c r="H695" t="s">
        <v>19</v>
      </c>
      <c r="I695" t="s">
        <v>20</v>
      </c>
      <c r="J695" s="2">
        <v>300</v>
      </c>
    </row>
    <row r="696" spans="1:12" ht="19.95" customHeight="1">
      <c r="A696" t="s">
        <v>780</v>
      </c>
      <c r="B696" t="s">
        <v>737</v>
      </c>
      <c r="C696" t="s">
        <v>78</v>
      </c>
      <c r="D696" t="s">
        <v>89</v>
      </c>
      <c r="E696" t="s">
        <v>16</v>
      </c>
      <c r="F696" t="s">
        <v>35</v>
      </c>
      <c r="G696" t="s">
        <v>23</v>
      </c>
      <c r="H696" t="s">
        <v>19</v>
      </c>
      <c r="I696" t="s">
        <v>53</v>
      </c>
      <c r="J696" s="2">
        <v>120</v>
      </c>
    </row>
    <row r="697" spans="1:12" ht="19.95" customHeight="1">
      <c r="A697" t="s">
        <v>781</v>
      </c>
      <c r="B697" t="s">
        <v>737</v>
      </c>
      <c r="C697" t="s">
        <v>78</v>
      </c>
      <c r="D697" t="s">
        <v>163</v>
      </c>
      <c r="E697" t="s">
        <v>16</v>
      </c>
      <c r="F697" t="s">
        <v>17</v>
      </c>
      <c r="G697" t="s">
        <v>32</v>
      </c>
      <c r="H697" t="s">
        <v>19</v>
      </c>
      <c r="I697" t="s">
        <v>20</v>
      </c>
      <c r="J697" s="2">
        <v>225</v>
      </c>
      <c r="L697" t="s">
        <v>29</v>
      </c>
    </row>
    <row r="698" spans="1:12" ht="19.95" customHeight="1">
      <c r="A698" t="s">
        <v>782</v>
      </c>
      <c r="B698" t="s">
        <v>737</v>
      </c>
      <c r="C698" t="s">
        <v>78</v>
      </c>
      <c r="D698" t="s">
        <v>161</v>
      </c>
      <c r="E698" t="s">
        <v>16</v>
      </c>
      <c r="F698" t="s">
        <v>17</v>
      </c>
      <c r="G698" t="s">
        <v>32</v>
      </c>
      <c r="H698" t="s">
        <v>19</v>
      </c>
      <c r="I698" t="s">
        <v>20</v>
      </c>
      <c r="J698" s="2">
        <v>300</v>
      </c>
    </row>
    <row r="699" spans="1:12" ht="19.95" customHeight="1">
      <c r="A699" t="s">
        <v>783</v>
      </c>
      <c r="B699" t="s">
        <v>737</v>
      </c>
      <c r="C699" t="s">
        <v>78</v>
      </c>
      <c r="D699" t="s">
        <v>93</v>
      </c>
      <c r="E699" t="s">
        <v>16</v>
      </c>
      <c r="F699" t="s">
        <v>17</v>
      </c>
      <c r="G699" t="s">
        <v>23</v>
      </c>
      <c r="H699" t="s">
        <v>19</v>
      </c>
      <c r="I699" t="s">
        <v>20</v>
      </c>
      <c r="J699" s="2">
        <v>120</v>
      </c>
    </row>
    <row r="700" spans="1:12" ht="19.95" customHeight="1">
      <c r="A700" t="s">
        <v>784</v>
      </c>
      <c r="B700" t="s">
        <v>737</v>
      </c>
      <c r="C700" t="s">
        <v>78</v>
      </c>
      <c r="D700" t="s">
        <v>81</v>
      </c>
      <c r="E700" t="s">
        <v>16</v>
      </c>
      <c r="F700" t="s">
        <v>35</v>
      </c>
      <c r="G700" t="s">
        <v>32</v>
      </c>
      <c r="H700" t="s">
        <v>24</v>
      </c>
      <c r="I700" t="s">
        <v>20</v>
      </c>
      <c r="J700" s="2">
        <v>300</v>
      </c>
    </row>
    <row r="701" spans="1:12" ht="19.95" customHeight="1">
      <c r="A701" t="s">
        <v>785</v>
      </c>
      <c r="B701" t="s">
        <v>737</v>
      </c>
      <c r="C701" t="s">
        <v>78</v>
      </c>
      <c r="D701" t="s">
        <v>89</v>
      </c>
      <c r="E701" t="s">
        <v>16</v>
      </c>
      <c r="F701" t="s">
        <v>17</v>
      </c>
      <c r="G701" t="s">
        <v>18</v>
      </c>
      <c r="H701" t="s">
        <v>19</v>
      </c>
      <c r="I701" t="s">
        <v>20</v>
      </c>
      <c r="J701" s="2">
        <v>150</v>
      </c>
      <c r="L701" t="s">
        <v>29</v>
      </c>
    </row>
    <row r="702" spans="1:12" ht="19.95" customHeight="1">
      <c r="A702" t="s">
        <v>786</v>
      </c>
      <c r="B702" t="s">
        <v>737</v>
      </c>
      <c r="C702" t="s">
        <v>78</v>
      </c>
      <c r="D702" t="s">
        <v>89</v>
      </c>
      <c r="E702" t="s">
        <v>16</v>
      </c>
      <c r="F702" t="s">
        <v>35</v>
      </c>
      <c r="G702" t="s">
        <v>23</v>
      </c>
      <c r="H702" t="s">
        <v>19</v>
      </c>
      <c r="I702" t="s">
        <v>20</v>
      </c>
      <c r="J702" s="2">
        <v>120</v>
      </c>
    </row>
    <row r="703" spans="1:12" ht="19.95" customHeight="1">
      <c r="A703" t="s">
        <v>787</v>
      </c>
      <c r="B703" t="s">
        <v>737</v>
      </c>
      <c r="C703" t="s">
        <v>78</v>
      </c>
      <c r="D703" t="s">
        <v>85</v>
      </c>
      <c r="E703" t="s">
        <v>16</v>
      </c>
      <c r="F703" t="s">
        <v>35</v>
      </c>
      <c r="G703" t="s">
        <v>18</v>
      </c>
      <c r="H703" t="s">
        <v>19</v>
      </c>
      <c r="I703" t="s">
        <v>20</v>
      </c>
      <c r="J703" s="2">
        <v>200</v>
      </c>
    </row>
    <row r="704" spans="1:12" ht="19.95" customHeight="1">
      <c r="A704" t="s">
        <v>788</v>
      </c>
      <c r="B704" t="s">
        <v>737</v>
      </c>
      <c r="C704" t="s">
        <v>78</v>
      </c>
      <c r="D704" t="s">
        <v>79</v>
      </c>
      <c r="E704" t="s">
        <v>16</v>
      </c>
      <c r="F704" t="s">
        <v>17</v>
      </c>
      <c r="G704" t="s">
        <v>32</v>
      </c>
      <c r="H704" t="s">
        <v>19</v>
      </c>
      <c r="I704" t="s">
        <v>20</v>
      </c>
      <c r="J704" s="2">
        <v>225</v>
      </c>
      <c r="L704" t="s">
        <v>29</v>
      </c>
    </row>
    <row r="705" spans="1:12" ht="19.95" customHeight="1">
      <c r="A705" t="s">
        <v>789</v>
      </c>
      <c r="B705" t="s">
        <v>737</v>
      </c>
      <c r="C705" t="s">
        <v>105</v>
      </c>
      <c r="D705" t="s">
        <v>182</v>
      </c>
      <c r="E705" t="s">
        <v>16</v>
      </c>
      <c r="F705" t="s">
        <v>17</v>
      </c>
      <c r="G705" t="s">
        <v>32</v>
      </c>
      <c r="H705" t="s">
        <v>19</v>
      </c>
      <c r="I705" t="s">
        <v>20</v>
      </c>
      <c r="J705" s="2">
        <v>300</v>
      </c>
    </row>
    <row r="706" spans="1:12" ht="19.95" customHeight="1">
      <c r="A706" t="s">
        <v>790</v>
      </c>
      <c r="B706" t="s">
        <v>737</v>
      </c>
      <c r="C706" t="s">
        <v>105</v>
      </c>
      <c r="D706" t="s">
        <v>112</v>
      </c>
      <c r="E706" t="s">
        <v>16</v>
      </c>
      <c r="F706" t="s">
        <v>35</v>
      </c>
      <c r="G706" t="s">
        <v>23</v>
      </c>
      <c r="H706" t="s">
        <v>19</v>
      </c>
      <c r="I706" t="s">
        <v>20</v>
      </c>
      <c r="J706" s="2">
        <v>120</v>
      </c>
    </row>
    <row r="707" spans="1:12" ht="19.95" customHeight="1">
      <c r="A707" t="s">
        <v>791</v>
      </c>
      <c r="B707" t="s">
        <v>737</v>
      </c>
      <c r="C707" t="s">
        <v>105</v>
      </c>
      <c r="D707" t="s">
        <v>112</v>
      </c>
      <c r="E707" t="s">
        <v>16</v>
      </c>
      <c r="F707" t="s">
        <v>17</v>
      </c>
      <c r="G707" t="s">
        <v>18</v>
      </c>
      <c r="H707" t="s">
        <v>19</v>
      </c>
      <c r="I707" t="s">
        <v>20</v>
      </c>
      <c r="J707" s="2">
        <v>170</v>
      </c>
      <c r="L707" t="s">
        <v>29</v>
      </c>
    </row>
    <row r="708" spans="1:12" ht="19.95" customHeight="1">
      <c r="A708" t="s">
        <v>792</v>
      </c>
      <c r="B708" t="s">
        <v>737</v>
      </c>
      <c r="C708" t="s">
        <v>105</v>
      </c>
      <c r="D708" t="s">
        <v>118</v>
      </c>
      <c r="E708" t="s">
        <v>16</v>
      </c>
      <c r="F708" t="s">
        <v>35</v>
      </c>
      <c r="G708" t="s">
        <v>18</v>
      </c>
      <c r="H708" t="s">
        <v>19</v>
      </c>
      <c r="I708" t="s">
        <v>20</v>
      </c>
      <c r="J708" s="2">
        <v>200</v>
      </c>
    </row>
    <row r="709" spans="1:12" ht="19.95" customHeight="1">
      <c r="A709" t="s">
        <v>793</v>
      </c>
      <c r="B709" t="s">
        <v>737</v>
      </c>
      <c r="C709" t="s">
        <v>105</v>
      </c>
      <c r="D709" t="s">
        <v>116</v>
      </c>
      <c r="E709" t="s">
        <v>16</v>
      </c>
      <c r="F709" t="s">
        <v>17</v>
      </c>
      <c r="G709" t="s">
        <v>18</v>
      </c>
      <c r="H709" t="s">
        <v>19</v>
      </c>
      <c r="I709" t="s">
        <v>20</v>
      </c>
      <c r="J709" s="2">
        <v>200</v>
      </c>
    </row>
    <row r="710" spans="1:12" ht="19.95" customHeight="1">
      <c r="A710" t="s">
        <v>794</v>
      </c>
      <c r="B710" t="s">
        <v>737</v>
      </c>
      <c r="C710" t="s">
        <v>105</v>
      </c>
      <c r="D710" t="s">
        <v>187</v>
      </c>
      <c r="E710" t="s">
        <v>16</v>
      </c>
      <c r="F710" t="s">
        <v>17</v>
      </c>
      <c r="G710" t="s">
        <v>32</v>
      </c>
      <c r="H710" t="s">
        <v>19</v>
      </c>
      <c r="I710" t="s">
        <v>20</v>
      </c>
      <c r="J710" s="2">
        <v>300</v>
      </c>
    </row>
    <row r="711" spans="1:12" ht="19.95" customHeight="1">
      <c r="A711" t="s">
        <v>795</v>
      </c>
      <c r="B711" t="s">
        <v>737</v>
      </c>
      <c r="C711" t="s">
        <v>105</v>
      </c>
      <c r="D711" t="s">
        <v>182</v>
      </c>
      <c r="E711" t="s">
        <v>16</v>
      </c>
      <c r="F711" t="s">
        <v>17</v>
      </c>
      <c r="G711" t="s">
        <v>32</v>
      </c>
      <c r="H711" t="s">
        <v>19</v>
      </c>
      <c r="I711" t="s">
        <v>20</v>
      </c>
      <c r="J711" s="2">
        <v>300</v>
      </c>
    </row>
    <row r="712" spans="1:12" ht="19.95" customHeight="1">
      <c r="A712" t="s">
        <v>796</v>
      </c>
      <c r="B712" t="s">
        <v>737</v>
      </c>
      <c r="C712" t="s">
        <v>105</v>
      </c>
      <c r="D712" t="s">
        <v>182</v>
      </c>
      <c r="E712" t="s">
        <v>16</v>
      </c>
      <c r="F712" t="s">
        <v>35</v>
      </c>
      <c r="G712" t="s">
        <v>23</v>
      </c>
      <c r="H712" t="s">
        <v>19</v>
      </c>
      <c r="I712" t="s">
        <v>20</v>
      </c>
      <c r="J712" s="2">
        <v>120</v>
      </c>
    </row>
    <row r="713" spans="1:12" ht="19.95" customHeight="1">
      <c r="A713" t="s">
        <v>797</v>
      </c>
      <c r="B713" t="s">
        <v>737</v>
      </c>
      <c r="C713" t="s">
        <v>105</v>
      </c>
      <c r="D713" t="s">
        <v>112</v>
      </c>
      <c r="E713" t="s">
        <v>16</v>
      </c>
      <c r="F713" t="s">
        <v>17</v>
      </c>
      <c r="G713" t="s">
        <v>32</v>
      </c>
      <c r="H713" t="s">
        <v>19</v>
      </c>
      <c r="I713" t="s">
        <v>20</v>
      </c>
      <c r="J713" s="2">
        <v>225</v>
      </c>
      <c r="L713" t="s">
        <v>29</v>
      </c>
    </row>
    <row r="714" spans="1:12" ht="19.95" customHeight="1">
      <c r="A714" t="s">
        <v>798</v>
      </c>
      <c r="B714" t="s">
        <v>737</v>
      </c>
      <c r="C714" t="s">
        <v>105</v>
      </c>
      <c r="D714" t="s">
        <v>116</v>
      </c>
      <c r="E714" t="s">
        <v>16</v>
      </c>
      <c r="F714" t="s">
        <v>17</v>
      </c>
      <c r="G714" t="s">
        <v>32</v>
      </c>
      <c r="H714" t="s">
        <v>19</v>
      </c>
      <c r="I714" t="s">
        <v>20</v>
      </c>
      <c r="J714" s="2">
        <v>300</v>
      </c>
    </row>
    <row r="715" spans="1:12" ht="19.95" customHeight="1">
      <c r="A715" t="s">
        <v>799</v>
      </c>
      <c r="B715" t="s">
        <v>737</v>
      </c>
      <c r="C715" t="s">
        <v>105</v>
      </c>
      <c r="D715" t="s">
        <v>108</v>
      </c>
      <c r="E715" t="s">
        <v>16</v>
      </c>
      <c r="F715" t="s">
        <v>17</v>
      </c>
      <c r="G715" t="s">
        <v>23</v>
      </c>
      <c r="H715" t="s">
        <v>19</v>
      </c>
      <c r="I715" t="s">
        <v>20</v>
      </c>
      <c r="J715" s="2">
        <v>120</v>
      </c>
    </row>
    <row r="716" spans="1:12" ht="19.95" customHeight="1">
      <c r="A716" t="s">
        <v>800</v>
      </c>
      <c r="B716" t="s">
        <v>737</v>
      </c>
      <c r="C716" t="s">
        <v>105</v>
      </c>
      <c r="D716" t="s">
        <v>120</v>
      </c>
      <c r="E716" t="s">
        <v>16</v>
      </c>
      <c r="F716" t="s">
        <v>17</v>
      </c>
      <c r="G716" t="s">
        <v>23</v>
      </c>
      <c r="H716" t="s">
        <v>19</v>
      </c>
      <c r="I716" t="s">
        <v>20</v>
      </c>
      <c r="J716" s="2">
        <v>120</v>
      </c>
    </row>
    <row r="717" spans="1:12" ht="19.95" customHeight="1">
      <c r="A717" t="s">
        <v>801</v>
      </c>
      <c r="B717" t="s">
        <v>737</v>
      </c>
      <c r="C717" t="s">
        <v>105</v>
      </c>
      <c r="D717" t="s">
        <v>265</v>
      </c>
      <c r="E717" t="s">
        <v>16</v>
      </c>
      <c r="F717" t="s">
        <v>17</v>
      </c>
      <c r="G717" t="s">
        <v>23</v>
      </c>
      <c r="H717" t="s">
        <v>24</v>
      </c>
      <c r="I717" t="s">
        <v>20</v>
      </c>
      <c r="J717" s="2">
        <v>120</v>
      </c>
    </row>
    <row r="718" spans="1:12" ht="19.95" customHeight="1">
      <c r="A718" t="s">
        <v>802</v>
      </c>
      <c r="B718" t="s">
        <v>737</v>
      </c>
      <c r="C718" t="s">
        <v>47</v>
      </c>
      <c r="D718" t="s">
        <v>62</v>
      </c>
      <c r="E718" t="s">
        <v>402</v>
      </c>
      <c r="F718" t="s">
        <v>17</v>
      </c>
      <c r="G718" t="s">
        <v>18</v>
      </c>
      <c r="H718" t="s">
        <v>19</v>
      </c>
      <c r="I718" t="s">
        <v>20</v>
      </c>
      <c r="J718" s="2">
        <v>200</v>
      </c>
      <c r="K718" t="s">
        <v>700</v>
      </c>
    </row>
    <row r="719" spans="1:12" ht="19.95" customHeight="1">
      <c r="A719" t="s">
        <v>803</v>
      </c>
      <c r="B719" t="s">
        <v>804</v>
      </c>
      <c r="C719" t="s">
        <v>14</v>
      </c>
      <c r="D719" t="s">
        <v>15</v>
      </c>
      <c r="E719" t="s">
        <v>16</v>
      </c>
      <c r="F719" t="s">
        <v>17</v>
      </c>
      <c r="G719" t="s">
        <v>18</v>
      </c>
      <c r="H719" t="s">
        <v>19</v>
      </c>
      <c r="I719" t="s">
        <v>74</v>
      </c>
      <c r="J719" s="2">
        <v>200</v>
      </c>
    </row>
    <row r="720" spans="1:12" ht="19.95" customHeight="1">
      <c r="A720" t="s">
        <v>805</v>
      </c>
      <c r="B720" t="s">
        <v>804</v>
      </c>
      <c r="C720" t="s">
        <v>14</v>
      </c>
      <c r="D720" t="s">
        <v>40</v>
      </c>
      <c r="E720" t="s">
        <v>16</v>
      </c>
      <c r="F720" t="s">
        <v>17</v>
      </c>
      <c r="G720" t="s">
        <v>32</v>
      </c>
      <c r="H720" t="s">
        <v>19</v>
      </c>
      <c r="I720" t="s">
        <v>20</v>
      </c>
      <c r="J720" s="2">
        <v>300</v>
      </c>
    </row>
    <row r="721" spans="1:12" ht="19.95" customHeight="1">
      <c r="A721" t="s">
        <v>806</v>
      </c>
      <c r="B721" t="s">
        <v>804</v>
      </c>
      <c r="C721" t="s">
        <v>14</v>
      </c>
      <c r="D721" t="s">
        <v>210</v>
      </c>
      <c r="E721" t="s">
        <v>16</v>
      </c>
      <c r="F721" t="s">
        <v>17</v>
      </c>
      <c r="G721" t="s">
        <v>18</v>
      </c>
      <c r="H721" t="s">
        <v>19</v>
      </c>
      <c r="I721" t="s">
        <v>20</v>
      </c>
      <c r="J721" s="2">
        <v>200</v>
      </c>
    </row>
    <row r="722" spans="1:12" ht="19.95" customHeight="1">
      <c r="A722" t="s">
        <v>807</v>
      </c>
      <c r="B722" t="s">
        <v>804</v>
      </c>
      <c r="C722" t="s">
        <v>14</v>
      </c>
      <c r="D722" t="s">
        <v>42</v>
      </c>
      <c r="E722" t="s">
        <v>16</v>
      </c>
      <c r="F722" t="s">
        <v>17</v>
      </c>
      <c r="G722" t="s">
        <v>32</v>
      </c>
      <c r="H722" t="s">
        <v>19</v>
      </c>
      <c r="I722" t="s">
        <v>20</v>
      </c>
      <c r="J722" s="2">
        <v>225</v>
      </c>
      <c r="L722" t="s">
        <v>29</v>
      </c>
    </row>
    <row r="723" spans="1:12" ht="19.95" customHeight="1">
      <c r="A723" t="s">
        <v>808</v>
      </c>
      <c r="B723" t="s">
        <v>804</v>
      </c>
      <c r="C723" t="s">
        <v>14</v>
      </c>
      <c r="D723" t="s">
        <v>40</v>
      </c>
      <c r="E723" t="s">
        <v>16</v>
      </c>
      <c r="F723" t="s">
        <v>17</v>
      </c>
      <c r="G723" t="s">
        <v>32</v>
      </c>
      <c r="H723" t="s">
        <v>19</v>
      </c>
      <c r="I723" t="s">
        <v>20</v>
      </c>
      <c r="J723" s="2">
        <v>300</v>
      </c>
    </row>
    <row r="724" spans="1:12" ht="19.95" customHeight="1">
      <c r="A724" t="s">
        <v>809</v>
      </c>
      <c r="B724" t="s">
        <v>804</v>
      </c>
      <c r="C724" t="s">
        <v>14</v>
      </c>
      <c r="D724" t="s">
        <v>42</v>
      </c>
      <c r="E724" t="s">
        <v>16</v>
      </c>
      <c r="F724" t="s">
        <v>17</v>
      </c>
      <c r="G724" t="s">
        <v>32</v>
      </c>
      <c r="H724" t="s">
        <v>24</v>
      </c>
      <c r="I724" t="s">
        <v>20</v>
      </c>
      <c r="J724" s="2">
        <v>300</v>
      </c>
    </row>
    <row r="725" spans="1:12" ht="19.95" customHeight="1">
      <c r="A725" t="s">
        <v>810</v>
      </c>
      <c r="B725" t="s">
        <v>804</v>
      </c>
      <c r="C725" t="s">
        <v>14</v>
      </c>
      <c r="D725" t="s">
        <v>37</v>
      </c>
      <c r="E725" t="s">
        <v>16</v>
      </c>
      <c r="F725" t="s">
        <v>17</v>
      </c>
      <c r="G725" t="s">
        <v>18</v>
      </c>
      <c r="H725" t="s">
        <v>24</v>
      </c>
      <c r="I725" t="s">
        <v>20</v>
      </c>
      <c r="J725" s="2">
        <v>170</v>
      </c>
      <c r="L725" t="s">
        <v>29</v>
      </c>
    </row>
    <row r="726" spans="1:12" ht="19.95" customHeight="1">
      <c r="A726" t="s">
        <v>811</v>
      </c>
      <c r="B726" t="s">
        <v>804</v>
      </c>
      <c r="C726" t="s">
        <v>14</v>
      </c>
      <c r="D726" t="s">
        <v>42</v>
      </c>
      <c r="E726" t="s">
        <v>16</v>
      </c>
      <c r="F726" t="s">
        <v>17</v>
      </c>
      <c r="G726" t="s">
        <v>18</v>
      </c>
      <c r="H726" t="s">
        <v>19</v>
      </c>
      <c r="I726" t="s">
        <v>20</v>
      </c>
      <c r="J726" s="2">
        <v>200</v>
      </c>
    </row>
    <row r="727" spans="1:12" ht="19.95" customHeight="1">
      <c r="A727" t="s">
        <v>812</v>
      </c>
      <c r="B727" t="s">
        <v>804</v>
      </c>
      <c r="C727" t="s">
        <v>14</v>
      </c>
      <c r="D727" t="s">
        <v>34</v>
      </c>
      <c r="E727" t="s">
        <v>16</v>
      </c>
      <c r="F727" t="s">
        <v>17</v>
      </c>
      <c r="G727" t="s">
        <v>32</v>
      </c>
      <c r="H727" t="s">
        <v>19</v>
      </c>
      <c r="I727" t="s">
        <v>20</v>
      </c>
      <c r="J727" s="2">
        <v>255</v>
      </c>
      <c r="L727" t="s">
        <v>29</v>
      </c>
    </row>
    <row r="728" spans="1:12" ht="19.95" customHeight="1">
      <c r="A728" t="s">
        <v>813</v>
      </c>
      <c r="B728" t="s">
        <v>804</v>
      </c>
      <c r="C728" t="s">
        <v>14</v>
      </c>
      <c r="D728" t="s">
        <v>28</v>
      </c>
      <c r="E728" t="s">
        <v>16</v>
      </c>
      <c r="F728" t="s">
        <v>17</v>
      </c>
      <c r="G728" t="s">
        <v>23</v>
      </c>
      <c r="H728" t="s">
        <v>19</v>
      </c>
      <c r="I728" t="s">
        <v>20</v>
      </c>
      <c r="J728" s="2">
        <v>120</v>
      </c>
    </row>
    <row r="729" spans="1:12" ht="19.95" customHeight="1">
      <c r="A729" t="s">
        <v>814</v>
      </c>
      <c r="B729" t="s">
        <v>804</v>
      </c>
      <c r="C729" t="s">
        <v>14</v>
      </c>
      <c r="D729" t="s">
        <v>15</v>
      </c>
      <c r="E729" t="s">
        <v>16</v>
      </c>
      <c r="F729" t="s">
        <v>35</v>
      </c>
      <c r="G729" t="s">
        <v>23</v>
      </c>
      <c r="H729" t="s">
        <v>19</v>
      </c>
      <c r="I729" t="s">
        <v>20</v>
      </c>
      <c r="J729" s="2">
        <v>120</v>
      </c>
    </row>
    <row r="730" spans="1:12" ht="19.95" customHeight="1">
      <c r="A730" t="s">
        <v>815</v>
      </c>
      <c r="B730" t="s">
        <v>804</v>
      </c>
      <c r="C730" t="s">
        <v>14</v>
      </c>
      <c r="D730" t="s">
        <v>15</v>
      </c>
      <c r="E730" t="s">
        <v>16</v>
      </c>
      <c r="F730" t="s">
        <v>17</v>
      </c>
      <c r="G730" t="s">
        <v>18</v>
      </c>
      <c r="H730" t="s">
        <v>19</v>
      </c>
      <c r="I730" t="s">
        <v>20</v>
      </c>
      <c r="J730" s="2">
        <v>200</v>
      </c>
    </row>
    <row r="731" spans="1:12" ht="19.95" customHeight="1">
      <c r="A731" t="s">
        <v>816</v>
      </c>
      <c r="B731" t="s">
        <v>804</v>
      </c>
      <c r="C731" t="s">
        <v>14</v>
      </c>
      <c r="D731" t="s">
        <v>40</v>
      </c>
      <c r="E731" t="s">
        <v>16</v>
      </c>
      <c r="F731" t="s">
        <v>17</v>
      </c>
      <c r="G731" t="s">
        <v>18</v>
      </c>
      <c r="H731" t="s">
        <v>19</v>
      </c>
      <c r="I731" t="s">
        <v>20</v>
      </c>
      <c r="J731" s="2">
        <v>200</v>
      </c>
    </row>
    <row r="732" spans="1:12" ht="19.95" customHeight="1">
      <c r="A732" t="s">
        <v>817</v>
      </c>
      <c r="B732" t="s">
        <v>804</v>
      </c>
      <c r="C732" t="s">
        <v>14</v>
      </c>
      <c r="D732" t="s">
        <v>22</v>
      </c>
      <c r="E732" t="s">
        <v>16</v>
      </c>
      <c r="F732" t="s">
        <v>17</v>
      </c>
      <c r="G732" t="s">
        <v>32</v>
      </c>
      <c r="H732" t="s">
        <v>19</v>
      </c>
      <c r="I732" t="s">
        <v>20</v>
      </c>
      <c r="J732" s="2">
        <v>255</v>
      </c>
      <c r="L732" t="s">
        <v>29</v>
      </c>
    </row>
    <row r="733" spans="1:12" ht="19.95" customHeight="1">
      <c r="A733" t="s">
        <v>818</v>
      </c>
      <c r="B733" t="s">
        <v>804</v>
      </c>
      <c r="C733" t="s">
        <v>14</v>
      </c>
      <c r="D733" t="s">
        <v>28</v>
      </c>
      <c r="E733" t="s">
        <v>16</v>
      </c>
      <c r="F733" t="s">
        <v>17</v>
      </c>
      <c r="G733" t="s">
        <v>32</v>
      </c>
      <c r="H733" t="s">
        <v>24</v>
      </c>
      <c r="I733" t="s">
        <v>20</v>
      </c>
      <c r="J733" s="2">
        <v>300</v>
      </c>
    </row>
    <row r="734" spans="1:12" ht="19.95" customHeight="1">
      <c r="A734" t="s">
        <v>819</v>
      </c>
      <c r="B734" t="s">
        <v>804</v>
      </c>
      <c r="C734" t="s">
        <v>14</v>
      </c>
      <c r="D734" t="s">
        <v>37</v>
      </c>
      <c r="E734" t="s">
        <v>16</v>
      </c>
      <c r="F734" t="s">
        <v>17</v>
      </c>
      <c r="G734" t="s">
        <v>23</v>
      </c>
      <c r="H734" t="s">
        <v>19</v>
      </c>
      <c r="I734" t="s">
        <v>20</v>
      </c>
      <c r="J734" s="2">
        <v>120</v>
      </c>
    </row>
    <row r="735" spans="1:12" ht="19.95" customHeight="1">
      <c r="A735" t="s">
        <v>820</v>
      </c>
      <c r="B735" t="s">
        <v>804</v>
      </c>
      <c r="C735" t="s">
        <v>14</v>
      </c>
      <c r="D735" t="s">
        <v>40</v>
      </c>
      <c r="E735" t="s">
        <v>16</v>
      </c>
      <c r="F735" t="s">
        <v>35</v>
      </c>
      <c r="G735" t="s">
        <v>18</v>
      </c>
      <c r="H735" t="s">
        <v>19</v>
      </c>
      <c r="I735" t="s">
        <v>53</v>
      </c>
      <c r="J735" s="2">
        <v>200</v>
      </c>
    </row>
    <row r="736" spans="1:12" ht="19.95" customHeight="1">
      <c r="A736" t="s">
        <v>821</v>
      </c>
      <c r="B736" t="s">
        <v>804</v>
      </c>
      <c r="C736" t="s">
        <v>14</v>
      </c>
      <c r="D736" t="s">
        <v>210</v>
      </c>
      <c r="E736" t="s">
        <v>16</v>
      </c>
      <c r="F736" t="s">
        <v>17</v>
      </c>
      <c r="G736" t="s">
        <v>32</v>
      </c>
      <c r="H736" t="s">
        <v>19</v>
      </c>
      <c r="I736" t="s">
        <v>20</v>
      </c>
      <c r="J736" s="2">
        <v>300</v>
      </c>
    </row>
    <row r="737" spans="1:12" ht="19.95" customHeight="1">
      <c r="A737" t="s">
        <v>822</v>
      </c>
      <c r="B737" t="s">
        <v>804</v>
      </c>
      <c r="C737" t="s">
        <v>14</v>
      </c>
      <c r="D737" t="s">
        <v>22</v>
      </c>
      <c r="E737" t="s">
        <v>16</v>
      </c>
      <c r="F737" t="s">
        <v>17</v>
      </c>
      <c r="G737" t="s">
        <v>32</v>
      </c>
      <c r="H737" t="s">
        <v>19</v>
      </c>
      <c r="I737" t="s">
        <v>20</v>
      </c>
      <c r="J737" s="2">
        <v>300</v>
      </c>
    </row>
    <row r="738" spans="1:12" ht="19.95" customHeight="1">
      <c r="A738" t="s">
        <v>823</v>
      </c>
      <c r="B738" t="s">
        <v>804</v>
      </c>
      <c r="C738" t="s">
        <v>47</v>
      </c>
      <c r="D738" t="s">
        <v>59</v>
      </c>
      <c r="E738" t="s">
        <v>16</v>
      </c>
      <c r="F738" t="s">
        <v>35</v>
      </c>
      <c r="G738" t="s">
        <v>23</v>
      </c>
      <c r="H738" t="s">
        <v>19</v>
      </c>
      <c r="I738" t="s">
        <v>20</v>
      </c>
      <c r="J738" s="2">
        <v>102</v>
      </c>
      <c r="L738" t="s">
        <v>29</v>
      </c>
    </row>
    <row r="739" spans="1:12" ht="19.95" customHeight="1">
      <c r="A739" t="s">
        <v>824</v>
      </c>
      <c r="B739" t="s">
        <v>804</v>
      </c>
      <c r="C739" t="s">
        <v>47</v>
      </c>
      <c r="D739" t="s">
        <v>64</v>
      </c>
      <c r="E739" t="s">
        <v>16</v>
      </c>
      <c r="F739" t="s">
        <v>17</v>
      </c>
      <c r="G739" t="s">
        <v>18</v>
      </c>
      <c r="H739" t="s">
        <v>19</v>
      </c>
      <c r="I739" t="s">
        <v>20</v>
      </c>
      <c r="J739" s="2">
        <v>200</v>
      </c>
    </row>
    <row r="740" spans="1:12" ht="19.95" customHeight="1">
      <c r="A740" t="s">
        <v>825</v>
      </c>
      <c r="B740" t="s">
        <v>804</v>
      </c>
      <c r="C740" t="s">
        <v>47</v>
      </c>
      <c r="D740" t="s">
        <v>152</v>
      </c>
      <c r="E740" t="s">
        <v>16</v>
      </c>
      <c r="F740" t="s">
        <v>17</v>
      </c>
      <c r="G740" t="s">
        <v>32</v>
      </c>
      <c r="H740" t="s">
        <v>19</v>
      </c>
      <c r="I740" t="s">
        <v>20</v>
      </c>
      <c r="J740" s="2">
        <v>300</v>
      </c>
    </row>
    <row r="741" spans="1:12" ht="19.95" customHeight="1">
      <c r="A741" t="s">
        <v>826</v>
      </c>
      <c r="B741" t="s">
        <v>804</v>
      </c>
      <c r="C741" t="s">
        <v>47</v>
      </c>
      <c r="D741" t="s">
        <v>48</v>
      </c>
      <c r="E741" t="s">
        <v>16</v>
      </c>
      <c r="F741" t="s">
        <v>35</v>
      </c>
      <c r="G741" t="s">
        <v>23</v>
      </c>
      <c r="H741" t="s">
        <v>19</v>
      </c>
      <c r="I741" t="s">
        <v>20</v>
      </c>
      <c r="J741" s="2">
        <v>90</v>
      </c>
      <c r="L741" t="s">
        <v>29</v>
      </c>
    </row>
    <row r="742" spans="1:12" ht="19.95" customHeight="1">
      <c r="A742" t="s">
        <v>827</v>
      </c>
      <c r="B742" t="s">
        <v>804</v>
      </c>
      <c r="C742" t="s">
        <v>47</v>
      </c>
      <c r="D742" t="s">
        <v>148</v>
      </c>
      <c r="E742" t="s">
        <v>16</v>
      </c>
      <c r="F742" t="s">
        <v>17</v>
      </c>
      <c r="G742" t="s">
        <v>32</v>
      </c>
      <c r="H742" t="s">
        <v>19</v>
      </c>
      <c r="I742" t="s">
        <v>20</v>
      </c>
      <c r="J742" s="2">
        <v>300</v>
      </c>
    </row>
    <row r="743" spans="1:12" ht="19.95" customHeight="1">
      <c r="A743" t="s">
        <v>828</v>
      </c>
      <c r="B743" t="s">
        <v>804</v>
      </c>
      <c r="C743" t="s">
        <v>47</v>
      </c>
      <c r="D743" t="s">
        <v>59</v>
      </c>
      <c r="E743" t="s">
        <v>16</v>
      </c>
      <c r="F743" t="s">
        <v>17</v>
      </c>
      <c r="G743" t="s">
        <v>32</v>
      </c>
      <c r="H743" t="s">
        <v>19</v>
      </c>
      <c r="I743" t="s">
        <v>20</v>
      </c>
      <c r="J743" s="2">
        <v>300</v>
      </c>
    </row>
    <row r="744" spans="1:12" ht="19.95" customHeight="1">
      <c r="A744" t="s">
        <v>829</v>
      </c>
      <c r="B744" t="s">
        <v>804</v>
      </c>
      <c r="C744" t="s">
        <v>47</v>
      </c>
      <c r="D744" t="s">
        <v>50</v>
      </c>
      <c r="E744" t="s">
        <v>16</v>
      </c>
      <c r="F744" t="s">
        <v>17</v>
      </c>
      <c r="G744" t="s">
        <v>18</v>
      </c>
      <c r="H744" t="s">
        <v>19</v>
      </c>
      <c r="I744" t="s">
        <v>20</v>
      </c>
      <c r="J744" s="2">
        <v>200</v>
      </c>
    </row>
    <row r="745" spans="1:12" ht="19.95" customHeight="1">
      <c r="A745" t="s">
        <v>830</v>
      </c>
      <c r="B745" t="s">
        <v>804</v>
      </c>
      <c r="C745" t="s">
        <v>47</v>
      </c>
      <c r="D745" t="s">
        <v>52</v>
      </c>
      <c r="E745" t="s">
        <v>16</v>
      </c>
      <c r="F745" t="s">
        <v>17</v>
      </c>
      <c r="G745" t="s">
        <v>18</v>
      </c>
      <c r="H745" t="s">
        <v>24</v>
      </c>
      <c r="I745" t="s">
        <v>20</v>
      </c>
      <c r="J745" s="2">
        <v>200</v>
      </c>
    </row>
    <row r="746" spans="1:12" ht="19.95" customHeight="1">
      <c r="A746" t="s">
        <v>831</v>
      </c>
      <c r="B746" t="s">
        <v>804</v>
      </c>
      <c r="C746" t="s">
        <v>47</v>
      </c>
      <c r="D746" t="s">
        <v>59</v>
      </c>
      <c r="E746" t="s">
        <v>16</v>
      </c>
      <c r="F746" t="s">
        <v>17</v>
      </c>
      <c r="G746" t="s">
        <v>18</v>
      </c>
      <c r="H746" t="s">
        <v>19</v>
      </c>
      <c r="I746" t="s">
        <v>20</v>
      </c>
      <c r="J746" s="2">
        <v>200</v>
      </c>
    </row>
    <row r="747" spans="1:12" ht="19.95" customHeight="1">
      <c r="A747" t="s">
        <v>832</v>
      </c>
      <c r="B747" t="s">
        <v>804</v>
      </c>
      <c r="C747" t="s">
        <v>47</v>
      </c>
      <c r="D747" t="s">
        <v>55</v>
      </c>
      <c r="E747" t="s">
        <v>16</v>
      </c>
      <c r="F747" t="s">
        <v>17</v>
      </c>
      <c r="G747" t="s">
        <v>32</v>
      </c>
      <c r="H747" t="s">
        <v>19</v>
      </c>
      <c r="I747" t="s">
        <v>20</v>
      </c>
      <c r="J747" s="2">
        <v>300</v>
      </c>
    </row>
    <row r="748" spans="1:12" ht="19.95" customHeight="1">
      <c r="A748" t="s">
        <v>833</v>
      </c>
      <c r="B748" t="s">
        <v>804</v>
      </c>
      <c r="C748" t="s">
        <v>47</v>
      </c>
      <c r="D748" t="s">
        <v>73</v>
      </c>
      <c r="E748" t="s">
        <v>16</v>
      </c>
      <c r="F748" t="s">
        <v>17</v>
      </c>
      <c r="G748" t="s">
        <v>32</v>
      </c>
      <c r="H748" t="s">
        <v>19</v>
      </c>
      <c r="I748" t="s">
        <v>20</v>
      </c>
      <c r="J748" s="2">
        <v>225</v>
      </c>
      <c r="L748" t="s">
        <v>29</v>
      </c>
    </row>
    <row r="749" spans="1:12" ht="19.95" customHeight="1">
      <c r="A749" t="s">
        <v>834</v>
      </c>
      <c r="B749" t="s">
        <v>804</v>
      </c>
      <c r="C749" t="s">
        <v>47</v>
      </c>
      <c r="D749" t="s">
        <v>62</v>
      </c>
      <c r="E749" t="s">
        <v>16</v>
      </c>
      <c r="F749" t="s">
        <v>17</v>
      </c>
      <c r="G749" t="s">
        <v>32</v>
      </c>
      <c r="H749" t="s">
        <v>19</v>
      </c>
      <c r="I749" t="s">
        <v>20</v>
      </c>
      <c r="J749" s="2">
        <v>300</v>
      </c>
    </row>
    <row r="750" spans="1:12" ht="19.95" customHeight="1">
      <c r="A750" t="s">
        <v>835</v>
      </c>
      <c r="B750" t="s">
        <v>804</v>
      </c>
      <c r="C750" t="s">
        <v>47</v>
      </c>
      <c r="D750" t="s">
        <v>59</v>
      </c>
      <c r="E750" t="s">
        <v>16</v>
      </c>
      <c r="F750" t="s">
        <v>17</v>
      </c>
      <c r="G750" t="s">
        <v>23</v>
      </c>
      <c r="H750" t="s">
        <v>19</v>
      </c>
      <c r="I750" t="s">
        <v>20</v>
      </c>
      <c r="J750" s="2">
        <v>120</v>
      </c>
    </row>
    <row r="751" spans="1:12" ht="19.95" customHeight="1">
      <c r="A751" t="s">
        <v>836</v>
      </c>
      <c r="B751" t="s">
        <v>804</v>
      </c>
      <c r="C751" t="s">
        <v>47</v>
      </c>
      <c r="D751" t="s">
        <v>59</v>
      </c>
      <c r="E751" t="s">
        <v>16</v>
      </c>
      <c r="F751" t="s">
        <v>35</v>
      </c>
      <c r="G751" t="s">
        <v>18</v>
      </c>
      <c r="H751" t="s">
        <v>19</v>
      </c>
      <c r="I751" t="s">
        <v>20</v>
      </c>
      <c r="J751" s="2">
        <v>170</v>
      </c>
      <c r="L751" t="s">
        <v>29</v>
      </c>
    </row>
    <row r="752" spans="1:12" ht="19.95" customHeight="1">
      <c r="A752" t="s">
        <v>837</v>
      </c>
      <c r="B752" t="s">
        <v>804</v>
      </c>
      <c r="C752" t="s">
        <v>47</v>
      </c>
      <c r="D752" t="s">
        <v>50</v>
      </c>
      <c r="E752" t="s">
        <v>16</v>
      </c>
      <c r="F752" t="s">
        <v>17</v>
      </c>
      <c r="G752" t="s">
        <v>18</v>
      </c>
      <c r="H752" t="s">
        <v>19</v>
      </c>
      <c r="I752" t="s">
        <v>20</v>
      </c>
      <c r="J752" s="2">
        <v>200</v>
      </c>
    </row>
    <row r="753" spans="1:12" ht="19.95" customHeight="1">
      <c r="A753" t="s">
        <v>838</v>
      </c>
      <c r="B753" t="s">
        <v>804</v>
      </c>
      <c r="C753" t="s">
        <v>47</v>
      </c>
      <c r="D753" t="s">
        <v>48</v>
      </c>
      <c r="E753" t="s">
        <v>16</v>
      </c>
      <c r="F753" t="s">
        <v>17</v>
      </c>
      <c r="G753" t="s">
        <v>23</v>
      </c>
      <c r="H753" t="s">
        <v>19</v>
      </c>
      <c r="I753" t="s">
        <v>20</v>
      </c>
      <c r="J753" s="2">
        <v>90</v>
      </c>
      <c r="L753" t="s">
        <v>29</v>
      </c>
    </row>
    <row r="754" spans="1:12" ht="19.95" customHeight="1">
      <c r="A754" t="s">
        <v>839</v>
      </c>
      <c r="B754" t="s">
        <v>804</v>
      </c>
      <c r="C754" t="s">
        <v>47</v>
      </c>
      <c r="D754" t="s">
        <v>64</v>
      </c>
      <c r="E754" t="s">
        <v>16</v>
      </c>
      <c r="F754" t="s">
        <v>17</v>
      </c>
      <c r="G754" t="s">
        <v>18</v>
      </c>
      <c r="H754" t="s">
        <v>19</v>
      </c>
      <c r="I754" t="s">
        <v>20</v>
      </c>
      <c r="J754" s="2">
        <v>200</v>
      </c>
    </row>
    <row r="755" spans="1:12" ht="19.95" customHeight="1">
      <c r="A755" t="s">
        <v>840</v>
      </c>
      <c r="B755" t="s">
        <v>804</v>
      </c>
      <c r="C755" t="s">
        <v>78</v>
      </c>
      <c r="D755" t="s">
        <v>93</v>
      </c>
      <c r="E755" t="s">
        <v>16</v>
      </c>
      <c r="F755" t="s">
        <v>17</v>
      </c>
      <c r="G755" t="s">
        <v>18</v>
      </c>
      <c r="H755" t="s">
        <v>19</v>
      </c>
      <c r="I755" t="s">
        <v>20</v>
      </c>
      <c r="J755" s="2">
        <v>200</v>
      </c>
    </row>
    <row r="756" spans="1:12" ht="19.95" customHeight="1">
      <c r="A756" t="s">
        <v>841</v>
      </c>
      <c r="B756" t="s">
        <v>804</v>
      </c>
      <c r="C756" t="s">
        <v>78</v>
      </c>
      <c r="D756" t="s">
        <v>93</v>
      </c>
      <c r="E756" t="s">
        <v>16</v>
      </c>
      <c r="F756" t="s">
        <v>17</v>
      </c>
      <c r="G756" t="s">
        <v>23</v>
      </c>
      <c r="H756" t="s">
        <v>19</v>
      </c>
      <c r="I756" t="s">
        <v>20</v>
      </c>
      <c r="J756" s="2">
        <v>120</v>
      </c>
    </row>
    <row r="757" spans="1:12" ht="19.95" customHeight="1">
      <c r="A757" t="s">
        <v>842</v>
      </c>
      <c r="B757" t="s">
        <v>804</v>
      </c>
      <c r="C757" t="s">
        <v>78</v>
      </c>
      <c r="D757" t="s">
        <v>89</v>
      </c>
      <c r="E757" t="s">
        <v>16</v>
      </c>
      <c r="F757" t="s">
        <v>17</v>
      </c>
      <c r="G757" t="s">
        <v>23</v>
      </c>
      <c r="H757" t="s">
        <v>19</v>
      </c>
      <c r="I757" t="s">
        <v>20</v>
      </c>
      <c r="J757" s="2">
        <v>120</v>
      </c>
    </row>
    <row r="758" spans="1:12" ht="19.95" customHeight="1">
      <c r="A758" t="s">
        <v>843</v>
      </c>
      <c r="B758" t="s">
        <v>804</v>
      </c>
      <c r="C758" t="s">
        <v>78</v>
      </c>
      <c r="D758" t="s">
        <v>89</v>
      </c>
      <c r="E758" t="s">
        <v>16</v>
      </c>
      <c r="F758" t="s">
        <v>17</v>
      </c>
      <c r="G758" t="s">
        <v>18</v>
      </c>
      <c r="H758" t="s">
        <v>19</v>
      </c>
      <c r="I758" t="s">
        <v>20</v>
      </c>
      <c r="J758" s="2">
        <v>200</v>
      </c>
    </row>
    <row r="759" spans="1:12" ht="19.95" customHeight="1">
      <c r="A759" t="s">
        <v>844</v>
      </c>
      <c r="B759" t="s">
        <v>804</v>
      </c>
      <c r="C759" t="s">
        <v>78</v>
      </c>
      <c r="D759" t="s">
        <v>85</v>
      </c>
      <c r="E759" t="s">
        <v>16</v>
      </c>
      <c r="F759" t="s">
        <v>35</v>
      </c>
      <c r="G759" t="s">
        <v>18</v>
      </c>
      <c r="H759" t="s">
        <v>19</v>
      </c>
      <c r="I759" t="s">
        <v>20</v>
      </c>
      <c r="J759" s="2">
        <v>200</v>
      </c>
    </row>
    <row r="760" spans="1:12" ht="19.95" customHeight="1">
      <c r="A760" t="s">
        <v>845</v>
      </c>
      <c r="B760" t="s">
        <v>804</v>
      </c>
      <c r="C760" t="s">
        <v>78</v>
      </c>
      <c r="D760" t="s">
        <v>89</v>
      </c>
      <c r="E760" t="s">
        <v>16</v>
      </c>
      <c r="F760" t="s">
        <v>35</v>
      </c>
      <c r="G760" t="s">
        <v>18</v>
      </c>
      <c r="H760" t="s">
        <v>19</v>
      </c>
      <c r="I760" t="s">
        <v>20</v>
      </c>
      <c r="J760" s="2">
        <v>150</v>
      </c>
      <c r="L760" t="s">
        <v>29</v>
      </c>
    </row>
    <row r="761" spans="1:12" ht="19.95" customHeight="1">
      <c r="A761" t="s">
        <v>846</v>
      </c>
      <c r="B761" t="s">
        <v>804</v>
      </c>
      <c r="C761" t="s">
        <v>78</v>
      </c>
      <c r="D761" t="s">
        <v>242</v>
      </c>
      <c r="E761" t="s">
        <v>16</v>
      </c>
      <c r="F761" t="s">
        <v>17</v>
      </c>
      <c r="G761" t="s">
        <v>32</v>
      </c>
      <c r="H761" t="s">
        <v>19</v>
      </c>
      <c r="I761" t="s">
        <v>20</v>
      </c>
      <c r="J761" s="2">
        <v>300</v>
      </c>
    </row>
    <row r="762" spans="1:12" ht="19.95" customHeight="1">
      <c r="A762" t="s">
        <v>847</v>
      </c>
      <c r="B762" t="s">
        <v>804</v>
      </c>
      <c r="C762" t="s">
        <v>78</v>
      </c>
      <c r="D762" t="s">
        <v>97</v>
      </c>
      <c r="E762" t="s">
        <v>16</v>
      </c>
      <c r="F762" t="s">
        <v>17</v>
      </c>
      <c r="G762" t="s">
        <v>32</v>
      </c>
      <c r="H762" t="s">
        <v>19</v>
      </c>
      <c r="I762" t="s">
        <v>20</v>
      </c>
      <c r="J762" s="2">
        <v>300</v>
      </c>
    </row>
    <row r="763" spans="1:12" ht="19.95" customHeight="1">
      <c r="A763" t="s">
        <v>848</v>
      </c>
      <c r="B763" t="s">
        <v>804</v>
      </c>
      <c r="C763" t="s">
        <v>78</v>
      </c>
      <c r="D763" t="s">
        <v>87</v>
      </c>
      <c r="E763" t="s">
        <v>16</v>
      </c>
      <c r="F763" t="s">
        <v>17</v>
      </c>
      <c r="G763" t="s">
        <v>23</v>
      </c>
      <c r="H763" t="s">
        <v>19</v>
      </c>
      <c r="I763" t="s">
        <v>20</v>
      </c>
      <c r="J763" s="2">
        <v>120</v>
      </c>
    </row>
    <row r="764" spans="1:12" ht="19.95" customHeight="1">
      <c r="A764" t="s">
        <v>849</v>
      </c>
      <c r="B764" t="s">
        <v>804</v>
      </c>
      <c r="C764" t="s">
        <v>78</v>
      </c>
      <c r="D764" t="s">
        <v>79</v>
      </c>
      <c r="E764" t="s">
        <v>16</v>
      </c>
      <c r="F764" t="s">
        <v>17</v>
      </c>
      <c r="G764" t="s">
        <v>32</v>
      </c>
      <c r="H764" t="s">
        <v>19</v>
      </c>
      <c r="I764" t="s">
        <v>20</v>
      </c>
      <c r="J764" s="2">
        <v>300</v>
      </c>
    </row>
    <row r="765" spans="1:12" ht="19.95" customHeight="1">
      <c r="A765" t="s">
        <v>850</v>
      </c>
      <c r="B765" t="s">
        <v>804</v>
      </c>
      <c r="C765" t="s">
        <v>78</v>
      </c>
      <c r="D765" t="s">
        <v>89</v>
      </c>
      <c r="E765" t="s">
        <v>16</v>
      </c>
      <c r="F765" t="s">
        <v>17</v>
      </c>
      <c r="G765" t="s">
        <v>32</v>
      </c>
      <c r="H765" t="s">
        <v>19</v>
      </c>
      <c r="I765" t="s">
        <v>20</v>
      </c>
      <c r="J765" s="2">
        <v>300</v>
      </c>
    </row>
    <row r="766" spans="1:12" ht="19.95" customHeight="1">
      <c r="A766" t="s">
        <v>851</v>
      </c>
      <c r="B766" t="s">
        <v>804</v>
      </c>
      <c r="C766" t="s">
        <v>78</v>
      </c>
      <c r="D766" t="s">
        <v>161</v>
      </c>
      <c r="E766" t="s">
        <v>16</v>
      </c>
      <c r="F766" t="s">
        <v>17</v>
      </c>
      <c r="G766" t="s">
        <v>32</v>
      </c>
      <c r="H766" t="s">
        <v>19</v>
      </c>
      <c r="I766" t="s">
        <v>20</v>
      </c>
      <c r="J766" s="2">
        <v>300</v>
      </c>
    </row>
    <row r="767" spans="1:12" ht="19.95" customHeight="1">
      <c r="A767" t="s">
        <v>852</v>
      </c>
      <c r="B767" t="s">
        <v>804</v>
      </c>
      <c r="C767" t="s">
        <v>78</v>
      </c>
      <c r="D767" t="s">
        <v>102</v>
      </c>
      <c r="E767" t="s">
        <v>16</v>
      </c>
      <c r="F767" t="s">
        <v>17</v>
      </c>
      <c r="G767" t="s">
        <v>23</v>
      </c>
      <c r="H767" t="s">
        <v>19</v>
      </c>
      <c r="I767" t="s">
        <v>20</v>
      </c>
      <c r="J767" s="2">
        <v>120</v>
      </c>
    </row>
    <row r="768" spans="1:12" ht="19.95" customHeight="1">
      <c r="A768" t="s">
        <v>853</v>
      </c>
      <c r="B768" t="s">
        <v>804</v>
      </c>
      <c r="C768" t="s">
        <v>78</v>
      </c>
      <c r="D768" t="s">
        <v>97</v>
      </c>
      <c r="E768" t="s">
        <v>16</v>
      </c>
      <c r="F768" t="s">
        <v>17</v>
      </c>
      <c r="G768" t="s">
        <v>18</v>
      </c>
      <c r="H768" t="s">
        <v>19</v>
      </c>
      <c r="I768" t="s">
        <v>20</v>
      </c>
      <c r="J768" s="2">
        <v>200</v>
      </c>
    </row>
    <row r="769" spans="1:12" ht="19.95" customHeight="1">
      <c r="A769" t="s">
        <v>854</v>
      </c>
      <c r="B769" t="s">
        <v>804</v>
      </c>
      <c r="C769" t="s">
        <v>78</v>
      </c>
      <c r="D769" t="s">
        <v>242</v>
      </c>
      <c r="E769" t="s">
        <v>16</v>
      </c>
      <c r="F769" t="s">
        <v>17</v>
      </c>
      <c r="G769" t="s">
        <v>18</v>
      </c>
      <c r="H769" t="s">
        <v>19</v>
      </c>
      <c r="I769" t="s">
        <v>20</v>
      </c>
      <c r="J769" s="2">
        <v>200</v>
      </c>
    </row>
    <row r="770" spans="1:12" ht="19.95" customHeight="1">
      <c r="A770" t="s">
        <v>855</v>
      </c>
      <c r="B770" t="s">
        <v>804</v>
      </c>
      <c r="C770" t="s">
        <v>78</v>
      </c>
      <c r="D770" t="s">
        <v>97</v>
      </c>
      <c r="E770" t="s">
        <v>16</v>
      </c>
      <c r="F770" t="s">
        <v>17</v>
      </c>
      <c r="G770" t="s">
        <v>18</v>
      </c>
      <c r="H770" t="s">
        <v>19</v>
      </c>
      <c r="I770" t="s">
        <v>20</v>
      </c>
      <c r="J770" s="2">
        <v>200</v>
      </c>
    </row>
    <row r="771" spans="1:12" ht="19.95" customHeight="1">
      <c r="A771" t="s">
        <v>856</v>
      </c>
      <c r="B771" t="s">
        <v>804</v>
      </c>
      <c r="C771" t="s">
        <v>78</v>
      </c>
      <c r="D771" t="s">
        <v>79</v>
      </c>
      <c r="E771" t="s">
        <v>16</v>
      </c>
      <c r="F771" t="s">
        <v>35</v>
      </c>
      <c r="G771" t="s">
        <v>18</v>
      </c>
      <c r="H771" t="s">
        <v>19</v>
      </c>
      <c r="I771" t="s">
        <v>20</v>
      </c>
      <c r="J771" s="2">
        <v>200</v>
      </c>
    </row>
    <row r="772" spans="1:12" ht="19.95" customHeight="1">
      <c r="A772" t="s">
        <v>857</v>
      </c>
      <c r="B772" t="s">
        <v>804</v>
      </c>
      <c r="C772" t="s">
        <v>78</v>
      </c>
      <c r="D772" t="s">
        <v>93</v>
      </c>
      <c r="E772" t="s">
        <v>16</v>
      </c>
      <c r="F772" t="s">
        <v>17</v>
      </c>
      <c r="G772" t="s">
        <v>32</v>
      </c>
      <c r="H772" t="s">
        <v>19</v>
      </c>
      <c r="I772" t="s">
        <v>20</v>
      </c>
      <c r="J772" s="2">
        <v>255</v>
      </c>
      <c r="L772" t="s">
        <v>29</v>
      </c>
    </row>
    <row r="773" spans="1:12" ht="19.95" customHeight="1">
      <c r="A773" t="s">
        <v>858</v>
      </c>
      <c r="B773" t="s">
        <v>804</v>
      </c>
      <c r="C773" t="s">
        <v>78</v>
      </c>
      <c r="D773" t="s">
        <v>242</v>
      </c>
      <c r="E773" t="s">
        <v>16</v>
      </c>
      <c r="F773" t="s">
        <v>17</v>
      </c>
      <c r="G773" t="s">
        <v>23</v>
      </c>
      <c r="H773" t="s">
        <v>19</v>
      </c>
      <c r="I773" t="s">
        <v>20</v>
      </c>
      <c r="J773" s="2">
        <v>120</v>
      </c>
    </row>
    <row r="774" spans="1:12" ht="19.95" customHeight="1">
      <c r="A774" t="s">
        <v>859</v>
      </c>
      <c r="B774" t="s">
        <v>804</v>
      </c>
      <c r="C774" t="s">
        <v>105</v>
      </c>
      <c r="D774" t="s">
        <v>187</v>
      </c>
      <c r="E774" t="s">
        <v>16</v>
      </c>
      <c r="F774" t="s">
        <v>17</v>
      </c>
      <c r="G774" t="s">
        <v>32</v>
      </c>
      <c r="H774" t="s">
        <v>24</v>
      </c>
      <c r="I774" t="s">
        <v>20</v>
      </c>
      <c r="J774" s="2">
        <v>300</v>
      </c>
    </row>
    <row r="775" spans="1:12" ht="19.95" customHeight="1">
      <c r="A775" t="s">
        <v>860</v>
      </c>
      <c r="B775" t="s">
        <v>804</v>
      </c>
      <c r="C775" t="s">
        <v>105</v>
      </c>
      <c r="D775" t="s">
        <v>118</v>
      </c>
      <c r="E775" t="s">
        <v>16</v>
      </c>
      <c r="F775" t="s">
        <v>35</v>
      </c>
      <c r="G775" t="s">
        <v>18</v>
      </c>
      <c r="H775" t="s">
        <v>19</v>
      </c>
      <c r="I775" t="s">
        <v>20</v>
      </c>
      <c r="J775" s="2">
        <v>200</v>
      </c>
    </row>
    <row r="776" spans="1:12" ht="19.95" customHeight="1">
      <c r="A776" t="s">
        <v>861</v>
      </c>
      <c r="B776" t="s">
        <v>804</v>
      </c>
      <c r="C776" t="s">
        <v>105</v>
      </c>
      <c r="D776" t="s">
        <v>265</v>
      </c>
      <c r="E776" t="s">
        <v>16</v>
      </c>
      <c r="F776" t="s">
        <v>17</v>
      </c>
      <c r="G776" t="s">
        <v>32</v>
      </c>
      <c r="H776" t="s">
        <v>19</v>
      </c>
      <c r="I776" t="s">
        <v>20</v>
      </c>
      <c r="J776" s="2">
        <v>300</v>
      </c>
    </row>
    <row r="777" spans="1:12" ht="19.95" customHeight="1">
      <c r="A777" t="s">
        <v>862</v>
      </c>
      <c r="B777" t="s">
        <v>804</v>
      </c>
      <c r="C777" t="s">
        <v>105</v>
      </c>
      <c r="D777" t="s">
        <v>116</v>
      </c>
      <c r="E777" t="s">
        <v>16</v>
      </c>
      <c r="F777" t="s">
        <v>17</v>
      </c>
      <c r="G777" t="s">
        <v>32</v>
      </c>
      <c r="H777" t="s">
        <v>24</v>
      </c>
      <c r="I777" t="s">
        <v>53</v>
      </c>
      <c r="J777" s="2">
        <v>300</v>
      </c>
    </row>
    <row r="778" spans="1:12" ht="19.95" customHeight="1">
      <c r="A778" t="s">
        <v>863</v>
      </c>
      <c r="B778" t="s">
        <v>804</v>
      </c>
      <c r="C778" t="s">
        <v>105</v>
      </c>
      <c r="D778" t="s">
        <v>116</v>
      </c>
      <c r="E778" t="s">
        <v>16</v>
      </c>
      <c r="F778" t="s">
        <v>17</v>
      </c>
      <c r="G778" t="s">
        <v>32</v>
      </c>
      <c r="H778" t="s">
        <v>19</v>
      </c>
      <c r="I778" t="s">
        <v>20</v>
      </c>
      <c r="J778" s="2">
        <v>300</v>
      </c>
    </row>
    <row r="779" spans="1:12" ht="19.95" customHeight="1">
      <c r="A779" t="s">
        <v>864</v>
      </c>
      <c r="B779" t="s">
        <v>804</v>
      </c>
      <c r="C779" t="s">
        <v>105</v>
      </c>
      <c r="D779" t="s">
        <v>112</v>
      </c>
      <c r="E779" t="s">
        <v>16</v>
      </c>
      <c r="F779" t="s">
        <v>17</v>
      </c>
      <c r="G779" t="s">
        <v>18</v>
      </c>
      <c r="H779" t="s">
        <v>24</v>
      </c>
      <c r="I779" t="s">
        <v>20</v>
      </c>
      <c r="J779" s="2">
        <v>150</v>
      </c>
      <c r="L779" t="s">
        <v>29</v>
      </c>
    </row>
    <row r="780" spans="1:12" ht="19.95" customHeight="1">
      <c r="A780" t="s">
        <v>865</v>
      </c>
      <c r="B780" t="s">
        <v>804</v>
      </c>
      <c r="C780" t="s">
        <v>105</v>
      </c>
      <c r="D780" t="s">
        <v>265</v>
      </c>
      <c r="E780" t="s">
        <v>16</v>
      </c>
      <c r="F780" t="s">
        <v>17</v>
      </c>
      <c r="G780" t="s">
        <v>32</v>
      </c>
      <c r="H780" t="s">
        <v>24</v>
      </c>
      <c r="I780" t="s">
        <v>20</v>
      </c>
      <c r="J780" s="2">
        <v>255</v>
      </c>
      <c r="L780" t="s">
        <v>29</v>
      </c>
    </row>
    <row r="781" spans="1:12" ht="19.95" customHeight="1">
      <c r="A781" t="s">
        <v>866</v>
      </c>
      <c r="B781" t="s">
        <v>804</v>
      </c>
      <c r="C781" t="s">
        <v>105</v>
      </c>
      <c r="D781" t="s">
        <v>120</v>
      </c>
      <c r="E781" t="s">
        <v>16</v>
      </c>
      <c r="F781" t="s">
        <v>17</v>
      </c>
      <c r="G781" t="s">
        <v>18</v>
      </c>
      <c r="H781" t="s">
        <v>19</v>
      </c>
      <c r="I781" t="s">
        <v>20</v>
      </c>
      <c r="J781" s="2">
        <v>200</v>
      </c>
    </row>
    <row r="782" spans="1:12" ht="19.95" customHeight="1">
      <c r="A782" t="s">
        <v>867</v>
      </c>
      <c r="B782" t="s">
        <v>804</v>
      </c>
      <c r="C782" t="s">
        <v>105</v>
      </c>
      <c r="D782" t="s">
        <v>120</v>
      </c>
      <c r="E782" t="s">
        <v>16</v>
      </c>
      <c r="F782" t="s">
        <v>17</v>
      </c>
      <c r="G782" t="s">
        <v>23</v>
      </c>
      <c r="H782" t="s">
        <v>19</v>
      </c>
      <c r="I782" t="s">
        <v>20</v>
      </c>
      <c r="J782" s="2">
        <v>120</v>
      </c>
    </row>
    <row r="783" spans="1:12" ht="19.95" customHeight="1">
      <c r="A783" t="s">
        <v>868</v>
      </c>
      <c r="B783" t="s">
        <v>804</v>
      </c>
      <c r="C783" t="s">
        <v>105</v>
      </c>
      <c r="D783" t="s">
        <v>187</v>
      </c>
      <c r="E783" t="s">
        <v>16</v>
      </c>
      <c r="F783" t="s">
        <v>17</v>
      </c>
      <c r="G783" t="s">
        <v>32</v>
      </c>
      <c r="H783" t="s">
        <v>19</v>
      </c>
      <c r="I783" t="s">
        <v>20</v>
      </c>
      <c r="J783" s="2">
        <v>300</v>
      </c>
    </row>
    <row r="784" spans="1:12" ht="19.95" customHeight="1">
      <c r="A784" t="s">
        <v>869</v>
      </c>
      <c r="B784" t="s">
        <v>804</v>
      </c>
      <c r="C784" t="s">
        <v>105</v>
      </c>
      <c r="D784" t="s">
        <v>110</v>
      </c>
      <c r="E784" t="s">
        <v>16</v>
      </c>
      <c r="F784" t="s">
        <v>17</v>
      </c>
      <c r="G784" t="s">
        <v>23</v>
      </c>
      <c r="H784" t="s">
        <v>19</v>
      </c>
      <c r="I784" t="s">
        <v>20</v>
      </c>
      <c r="J784" s="2">
        <v>120</v>
      </c>
    </row>
    <row r="785" spans="1:12" ht="19.95" customHeight="1">
      <c r="A785" t="s">
        <v>870</v>
      </c>
      <c r="B785" t="s">
        <v>804</v>
      </c>
      <c r="C785" t="s">
        <v>105</v>
      </c>
      <c r="D785" t="s">
        <v>187</v>
      </c>
      <c r="E785" t="s">
        <v>16</v>
      </c>
      <c r="F785" t="s">
        <v>17</v>
      </c>
      <c r="G785" t="s">
        <v>32</v>
      </c>
      <c r="H785" t="s">
        <v>19</v>
      </c>
      <c r="I785" t="s">
        <v>20</v>
      </c>
      <c r="J785" s="2">
        <v>300</v>
      </c>
    </row>
    <row r="786" spans="1:12" ht="19.95" customHeight="1">
      <c r="A786" t="s">
        <v>871</v>
      </c>
      <c r="B786" t="s">
        <v>804</v>
      </c>
      <c r="C786" t="s">
        <v>105</v>
      </c>
      <c r="D786" t="s">
        <v>265</v>
      </c>
      <c r="E786" t="s">
        <v>16</v>
      </c>
      <c r="F786" t="s">
        <v>17</v>
      </c>
      <c r="G786" t="s">
        <v>23</v>
      </c>
      <c r="H786" t="s">
        <v>19</v>
      </c>
      <c r="I786" t="s">
        <v>20</v>
      </c>
      <c r="J786" s="2">
        <v>120</v>
      </c>
    </row>
    <row r="787" spans="1:12" ht="19.95" customHeight="1">
      <c r="A787" t="s">
        <v>872</v>
      </c>
      <c r="B787" t="s">
        <v>804</v>
      </c>
      <c r="C787" t="s">
        <v>105</v>
      </c>
      <c r="D787" t="s">
        <v>191</v>
      </c>
      <c r="E787" t="s">
        <v>16</v>
      </c>
      <c r="F787" t="s">
        <v>17</v>
      </c>
      <c r="G787" t="s">
        <v>18</v>
      </c>
      <c r="H787" t="s">
        <v>19</v>
      </c>
      <c r="I787" t="s">
        <v>20</v>
      </c>
      <c r="J787" s="2">
        <v>200</v>
      </c>
    </row>
    <row r="788" spans="1:12" ht="19.95" customHeight="1">
      <c r="A788" t="s">
        <v>873</v>
      </c>
      <c r="B788" t="s">
        <v>804</v>
      </c>
      <c r="C788" t="s">
        <v>105</v>
      </c>
      <c r="D788" t="s">
        <v>106</v>
      </c>
      <c r="E788" t="s">
        <v>402</v>
      </c>
      <c r="F788" t="s">
        <v>17</v>
      </c>
      <c r="G788" t="s">
        <v>18</v>
      </c>
      <c r="H788" t="s">
        <v>19</v>
      </c>
      <c r="I788" t="s">
        <v>20</v>
      </c>
      <c r="J788" s="2">
        <v>200</v>
      </c>
      <c r="K788" t="s">
        <v>459</v>
      </c>
    </row>
    <row r="789" spans="1:12" ht="19.95" customHeight="1">
      <c r="A789" t="s">
        <v>874</v>
      </c>
      <c r="B789" t="s">
        <v>804</v>
      </c>
      <c r="C789" t="s">
        <v>105</v>
      </c>
      <c r="D789" t="s">
        <v>116</v>
      </c>
      <c r="E789" t="s">
        <v>402</v>
      </c>
      <c r="F789" t="s">
        <v>17</v>
      </c>
      <c r="G789" t="s">
        <v>32</v>
      </c>
      <c r="H789" t="s">
        <v>24</v>
      </c>
      <c r="I789" t="s">
        <v>20</v>
      </c>
      <c r="J789" s="2">
        <v>300</v>
      </c>
      <c r="K789" t="s">
        <v>661</v>
      </c>
    </row>
    <row r="790" spans="1:12" ht="19.95" customHeight="1">
      <c r="A790" t="s">
        <v>875</v>
      </c>
      <c r="B790" t="s">
        <v>804</v>
      </c>
      <c r="C790" t="s">
        <v>78</v>
      </c>
      <c r="D790" t="s">
        <v>83</v>
      </c>
      <c r="E790" t="s">
        <v>402</v>
      </c>
      <c r="F790" t="s">
        <v>17</v>
      </c>
      <c r="G790" t="s">
        <v>18</v>
      </c>
      <c r="H790" t="s">
        <v>19</v>
      </c>
      <c r="I790" t="s">
        <v>20</v>
      </c>
      <c r="J790" s="2">
        <v>200</v>
      </c>
      <c r="K790" t="s">
        <v>512</v>
      </c>
    </row>
    <row r="791" spans="1:12" ht="19.95" customHeight="1">
      <c r="A791" t="s">
        <v>876</v>
      </c>
      <c r="B791" t="s">
        <v>877</v>
      </c>
      <c r="C791" t="s">
        <v>14</v>
      </c>
      <c r="D791" t="s">
        <v>26</v>
      </c>
      <c r="E791" t="s">
        <v>16</v>
      </c>
      <c r="F791" t="s">
        <v>17</v>
      </c>
      <c r="G791" t="s">
        <v>18</v>
      </c>
      <c r="H791" t="s">
        <v>19</v>
      </c>
      <c r="I791" t="s">
        <v>20</v>
      </c>
      <c r="J791" s="2">
        <v>200</v>
      </c>
    </row>
    <row r="792" spans="1:12" ht="19.95" customHeight="1">
      <c r="A792" t="s">
        <v>878</v>
      </c>
      <c r="B792" t="s">
        <v>877</v>
      </c>
      <c r="C792" t="s">
        <v>14</v>
      </c>
      <c r="D792" t="s">
        <v>26</v>
      </c>
      <c r="E792" t="s">
        <v>16</v>
      </c>
      <c r="F792" t="s">
        <v>17</v>
      </c>
      <c r="G792" t="s">
        <v>23</v>
      </c>
      <c r="H792" t="s">
        <v>19</v>
      </c>
      <c r="I792" t="s">
        <v>20</v>
      </c>
      <c r="J792" s="2">
        <v>120</v>
      </c>
    </row>
    <row r="793" spans="1:12" ht="19.95" customHeight="1">
      <c r="A793" t="s">
        <v>879</v>
      </c>
      <c r="B793" t="s">
        <v>877</v>
      </c>
      <c r="C793" t="s">
        <v>14</v>
      </c>
      <c r="D793" t="s">
        <v>15</v>
      </c>
      <c r="E793" t="s">
        <v>16</v>
      </c>
      <c r="F793" t="s">
        <v>17</v>
      </c>
      <c r="G793" t="s">
        <v>23</v>
      </c>
      <c r="H793" t="s">
        <v>19</v>
      </c>
      <c r="I793" t="s">
        <v>20</v>
      </c>
      <c r="J793" s="2">
        <v>120</v>
      </c>
    </row>
    <row r="794" spans="1:12" ht="19.95" customHeight="1">
      <c r="A794" t="s">
        <v>880</v>
      </c>
      <c r="B794" t="s">
        <v>877</v>
      </c>
      <c r="C794" t="s">
        <v>14</v>
      </c>
      <c r="D794" t="s">
        <v>40</v>
      </c>
      <c r="E794" t="s">
        <v>16</v>
      </c>
      <c r="F794" t="s">
        <v>17</v>
      </c>
      <c r="G794" t="s">
        <v>18</v>
      </c>
      <c r="H794" t="s">
        <v>24</v>
      </c>
      <c r="I794" t="s">
        <v>20</v>
      </c>
      <c r="J794" s="2">
        <v>200</v>
      </c>
    </row>
    <row r="795" spans="1:12" ht="19.95" customHeight="1">
      <c r="A795" t="s">
        <v>881</v>
      </c>
      <c r="B795" t="s">
        <v>877</v>
      </c>
      <c r="C795" t="s">
        <v>14</v>
      </c>
      <c r="D795" t="s">
        <v>210</v>
      </c>
      <c r="E795" t="s">
        <v>16</v>
      </c>
      <c r="F795" t="s">
        <v>35</v>
      </c>
      <c r="G795" t="s">
        <v>23</v>
      </c>
      <c r="H795" t="s">
        <v>19</v>
      </c>
      <c r="I795" t="s">
        <v>20</v>
      </c>
      <c r="J795" s="2">
        <v>120</v>
      </c>
    </row>
    <row r="796" spans="1:12" ht="19.95" customHeight="1">
      <c r="A796" t="s">
        <v>882</v>
      </c>
      <c r="B796" t="s">
        <v>877</v>
      </c>
      <c r="C796" t="s">
        <v>14</v>
      </c>
      <c r="D796" t="s">
        <v>40</v>
      </c>
      <c r="E796" t="s">
        <v>16</v>
      </c>
      <c r="F796" t="s">
        <v>17</v>
      </c>
      <c r="G796" t="s">
        <v>23</v>
      </c>
      <c r="H796" t="s">
        <v>19</v>
      </c>
      <c r="I796" t="s">
        <v>53</v>
      </c>
      <c r="J796" s="2">
        <v>90</v>
      </c>
      <c r="L796" t="s">
        <v>29</v>
      </c>
    </row>
    <row r="797" spans="1:12" ht="19.95" customHeight="1">
      <c r="A797" t="s">
        <v>883</v>
      </c>
      <c r="B797" t="s">
        <v>877</v>
      </c>
      <c r="C797" t="s">
        <v>14</v>
      </c>
      <c r="D797" t="s">
        <v>28</v>
      </c>
      <c r="E797" t="s">
        <v>16</v>
      </c>
      <c r="F797" t="s">
        <v>35</v>
      </c>
      <c r="G797" t="s">
        <v>18</v>
      </c>
      <c r="H797" t="s">
        <v>19</v>
      </c>
      <c r="I797" t="s">
        <v>20</v>
      </c>
      <c r="J797" s="2">
        <v>200</v>
      </c>
    </row>
    <row r="798" spans="1:12" ht="19.95" customHeight="1">
      <c r="A798" t="s">
        <v>884</v>
      </c>
      <c r="B798" t="s">
        <v>877</v>
      </c>
      <c r="C798" t="s">
        <v>14</v>
      </c>
      <c r="D798" t="s">
        <v>210</v>
      </c>
      <c r="E798" t="s">
        <v>16</v>
      </c>
      <c r="F798" t="s">
        <v>17</v>
      </c>
      <c r="G798" t="s">
        <v>32</v>
      </c>
      <c r="H798" t="s">
        <v>24</v>
      </c>
      <c r="I798" t="s">
        <v>20</v>
      </c>
      <c r="J798" s="2">
        <v>300</v>
      </c>
    </row>
    <row r="799" spans="1:12" ht="19.95" customHeight="1">
      <c r="A799" t="s">
        <v>885</v>
      </c>
      <c r="B799" t="s">
        <v>877</v>
      </c>
      <c r="C799" t="s">
        <v>14</v>
      </c>
      <c r="D799" t="s">
        <v>31</v>
      </c>
      <c r="E799" t="s">
        <v>16</v>
      </c>
      <c r="F799" t="s">
        <v>17</v>
      </c>
      <c r="G799" t="s">
        <v>23</v>
      </c>
      <c r="H799" t="s">
        <v>19</v>
      </c>
      <c r="I799" t="s">
        <v>20</v>
      </c>
      <c r="J799" s="2">
        <v>120</v>
      </c>
    </row>
    <row r="800" spans="1:12" ht="19.95" customHeight="1">
      <c r="A800" t="s">
        <v>886</v>
      </c>
      <c r="B800" t="s">
        <v>877</v>
      </c>
      <c r="C800" t="s">
        <v>14</v>
      </c>
      <c r="D800" t="s">
        <v>137</v>
      </c>
      <c r="E800" t="s">
        <v>16</v>
      </c>
      <c r="F800" t="s">
        <v>17</v>
      </c>
      <c r="G800" t="s">
        <v>18</v>
      </c>
      <c r="H800" t="s">
        <v>19</v>
      </c>
      <c r="I800" t="s">
        <v>20</v>
      </c>
      <c r="J800" s="2">
        <v>200</v>
      </c>
    </row>
    <row r="801" spans="1:12" ht="19.95" customHeight="1">
      <c r="A801" t="s">
        <v>887</v>
      </c>
      <c r="B801" t="s">
        <v>877</v>
      </c>
      <c r="C801" t="s">
        <v>14</v>
      </c>
      <c r="D801" t="s">
        <v>37</v>
      </c>
      <c r="E801" t="s">
        <v>16</v>
      </c>
      <c r="F801" t="s">
        <v>17</v>
      </c>
      <c r="G801" t="s">
        <v>32</v>
      </c>
      <c r="H801" t="s">
        <v>19</v>
      </c>
      <c r="I801" t="s">
        <v>20</v>
      </c>
      <c r="J801" s="2">
        <v>300</v>
      </c>
    </row>
    <row r="802" spans="1:12" ht="19.95" customHeight="1">
      <c r="A802" t="s">
        <v>888</v>
      </c>
      <c r="B802" t="s">
        <v>877</v>
      </c>
      <c r="C802" t="s">
        <v>14</v>
      </c>
      <c r="D802" t="s">
        <v>26</v>
      </c>
      <c r="E802" t="s">
        <v>16</v>
      </c>
      <c r="F802" t="s">
        <v>17</v>
      </c>
      <c r="G802" t="s">
        <v>32</v>
      </c>
      <c r="H802" t="s">
        <v>19</v>
      </c>
      <c r="I802" t="s">
        <v>20</v>
      </c>
      <c r="J802" s="2">
        <v>300</v>
      </c>
    </row>
    <row r="803" spans="1:12" ht="19.95" customHeight="1">
      <c r="A803" t="s">
        <v>889</v>
      </c>
      <c r="B803" t="s">
        <v>877</v>
      </c>
      <c r="C803" t="s">
        <v>14</v>
      </c>
      <c r="D803" t="s">
        <v>40</v>
      </c>
      <c r="E803" t="s">
        <v>16</v>
      </c>
      <c r="F803" t="s">
        <v>35</v>
      </c>
      <c r="G803" t="s">
        <v>18</v>
      </c>
      <c r="H803" t="s">
        <v>19</v>
      </c>
      <c r="I803" t="s">
        <v>20</v>
      </c>
      <c r="J803" s="2">
        <v>200</v>
      </c>
    </row>
    <row r="804" spans="1:12" ht="19.95" customHeight="1">
      <c r="A804" t="s">
        <v>890</v>
      </c>
      <c r="B804" t="s">
        <v>877</v>
      </c>
      <c r="C804" t="s">
        <v>14</v>
      </c>
      <c r="D804" t="s">
        <v>131</v>
      </c>
      <c r="E804" t="s">
        <v>16</v>
      </c>
      <c r="F804" t="s">
        <v>17</v>
      </c>
      <c r="G804" t="s">
        <v>32</v>
      </c>
      <c r="H804" t="s">
        <v>24</v>
      </c>
      <c r="I804" t="s">
        <v>20</v>
      </c>
      <c r="J804" s="2">
        <v>300</v>
      </c>
    </row>
    <row r="805" spans="1:12" ht="19.95" customHeight="1">
      <c r="A805" t="s">
        <v>891</v>
      </c>
      <c r="B805" t="s">
        <v>877</v>
      </c>
      <c r="C805" t="s">
        <v>14</v>
      </c>
      <c r="D805" t="s">
        <v>31</v>
      </c>
      <c r="E805" t="s">
        <v>16</v>
      </c>
      <c r="F805" t="s">
        <v>17</v>
      </c>
      <c r="G805" t="s">
        <v>32</v>
      </c>
      <c r="H805" t="s">
        <v>19</v>
      </c>
      <c r="I805" t="s">
        <v>20</v>
      </c>
      <c r="J805" s="2">
        <v>255</v>
      </c>
      <c r="L805" t="s">
        <v>29</v>
      </c>
    </row>
    <row r="806" spans="1:12" ht="19.95" customHeight="1">
      <c r="A806" t="s">
        <v>892</v>
      </c>
      <c r="B806" t="s">
        <v>877</v>
      </c>
      <c r="C806" t="s">
        <v>14</v>
      </c>
      <c r="D806" t="s">
        <v>26</v>
      </c>
      <c r="E806" t="s">
        <v>16</v>
      </c>
      <c r="F806" t="s">
        <v>17</v>
      </c>
      <c r="G806" t="s">
        <v>18</v>
      </c>
      <c r="H806" t="s">
        <v>19</v>
      </c>
      <c r="I806" t="s">
        <v>20</v>
      </c>
      <c r="J806" s="2">
        <v>200</v>
      </c>
    </row>
    <row r="807" spans="1:12" ht="19.95" customHeight="1">
      <c r="A807" t="s">
        <v>893</v>
      </c>
      <c r="B807" t="s">
        <v>877</v>
      </c>
      <c r="C807" t="s">
        <v>14</v>
      </c>
      <c r="D807" t="s">
        <v>31</v>
      </c>
      <c r="E807" t="s">
        <v>16</v>
      </c>
      <c r="F807" t="s">
        <v>17</v>
      </c>
      <c r="G807" t="s">
        <v>23</v>
      </c>
      <c r="H807" t="s">
        <v>19</v>
      </c>
      <c r="I807" t="s">
        <v>20</v>
      </c>
      <c r="J807" s="2">
        <v>120</v>
      </c>
    </row>
    <row r="808" spans="1:12" ht="19.95" customHeight="1">
      <c r="A808" t="s">
        <v>894</v>
      </c>
      <c r="B808" t="s">
        <v>877</v>
      </c>
      <c r="C808" t="s">
        <v>14</v>
      </c>
      <c r="D808" t="s">
        <v>28</v>
      </c>
      <c r="E808" t="s">
        <v>16</v>
      </c>
      <c r="F808" t="s">
        <v>17</v>
      </c>
      <c r="G808" t="s">
        <v>23</v>
      </c>
      <c r="H808" t="s">
        <v>19</v>
      </c>
      <c r="I808" t="s">
        <v>20</v>
      </c>
      <c r="J808" s="2">
        <v>120</v>
      </c>
    </row>
    <row r="809" spans="1:12" ht="19.95" customHeight="1">
      <c r="A809" t="s">
        <v>895</v>
      </c>
      <c r="B809" t="s">
        <v>877</v>
      </c>
      <c r="C809" t="s">
        <v>14</v>
      </c>
      <c r="D809" t="s">
        <v>28</v>
      </c>
      <c r="E809" t="s">
        <v>16</v>
      </c>
      <c r="F809" t="s">
        <v>17</v>
      </c>
      <c r="G809" t="s">
        <v>32</v>
      </c>
      <c r="H809" t="s">
        <v>19</v>
      </c>
      <c r="I809" t="s">
        <v>20</v>
      </c>
      <c r="J809" s="2">
        <v>300</v>
      </c>
    </row>
    <row r="810" spans="1:12" ht="19.95" customHeight="1">
      <c r="A810" t="s">
        <v>896</v>
      </c>
      <c r="B810" t="s">
        <v>877</v>
      </c>
      <c r="C810" t="s">
        <v>47</v>
      </c>
      <c r="D810" t="s">
        <v>55</v>
      </c>
      <c r="E810" t="s">
        <v>16</v>
      </c>
      <c r="F810" t="s">
        <v>17</v>
      </c>
      <c r="G810" t="s">
        <v>23</v>
      </c>
      <c r="H810" t="s">
        <v>19</v>
      </c>
      <c r="I810" t="s">
        <v>20</v>
      </c>
      <c r="J810" s="2">
        <v>120</v>
      </c>
    </row>
    <row r="811" spans="1:12" ht="19.95" customHeight="1">
      <c r="A811" t="s">
        <v>897</v>
      </c>
      <c r="B811" t="s">
        <v>877</v>
      </c>
      <c r="C811" t="s">
        <v>47</v>
      </c>
      <c r="D811" t="s">
        <v>64</v>
      </c>
      <c r="E811" t="s">
        <v>16</v>
      </c>
      <c r="F811" t="s">
        <v>17</v>
      </c>
      <c r="G811" t="s">
        <v>18</v>
      </c>
      <c r="H811" t="s">
        <v>19</v>
      </c>
      <c r="I811" t="s">
        <v>20</v>
      </c>
      <c r="J811" s="2">
        <v>200</v>
      </c>
    </row>
    <row r="812" spans="1:12" ht="19.95" customHeight="1">
      <c r="A812" t="s">
        <v>898</v>
      </c>
      <c r="B812" t="s">
        <v>877</v>
      </c>
      <c r="C812" t="s">
        <v>47</v>
      </c>
      <c r="D812" t="s">
        <v>48</v>
      </c>
      <c r="E812" t="s">
        <v>16</v>
      </c>
      <c r="F812" t="s">
        <v>17</v>
      </c>
      <c r="G812" t="s">
        <v>18</v>
      </c>
      <c r="H812" t="s">
        <v>19</v>
      </c>
      <c r="I812" t="s">
        <v>20</v>
      </c>
      <c r="J812" s="2">
        <v>200</v>
      </c>
    </row>
    <row r="813" spans="1:12" ht="19.95" customHeight="1">
      <c r="A813" t="s">
        <v>899</v>
      </c>
      <c r="B813" t="s">
        <v>877</v>
      </c>
      <c r="C813" t="s">
        <v>47</v>
      </c>
      <c r="D813" t="s">
        <v>73</v>
      </c>
      <c r="E813" t="s">
        <v>16</v>
      </c>
      <c r="F813" t="s">
        <v>17</v>
      </c>
      <c r="G813" t="s">
        <v>23</v>
      </c>
      <c r="H813" t="s">
        <v>24</v>
      </c>
      <c r="I813" t="s">
        <v>20</v>
      </c>
      <c r="J813" s="2">
        <v>90</v>
      </c>
      <c r="L813" t="s">
        <v>29</v>
      </c>
    </row>
    <row r="814" spans="1:12" ht="19.95" customHeight="1">
      <c r="A814" t="s">
        <v>900</v>
      </c>
      <c r="B814" t="s">
        <v>877</v>
      </c>
      <c r="C814" t="s">
        <v>47</v>
      </c>
      <c r="D814" t="s">
        <v>73</v>
      </c>
      <c r="E814" t="s">
        <v>16</v>
      </c>
      <c r="F814" t="s">
        <v>17</v>
      </c>
      <c r="G814" t="s">
        <v>32</v>
      </c>
      <c r="H814" t="s">
        <v>19</v>
      </c>
      <c r="I814" t="s">
        <v>20</v>
      </c>
      <c r="J814" s="2">
        <v>225</v>
      </c>
      <c r="L814" t="s">
        <v>29</v>
      </c>
    </row>
    <row r="815" spans="1:12" ht="19.95" customHeight="1">
      <c r="A815" t="s">
        <v>901</v>
      </c>
      <c r="B815" t="s">
        <v>877</v>
      </c>
      <c r="C815" t="s">
        <v>47</v>
      </c>
      <c r="D815" t="s">
        <v>59</v>
      </c>
      <c r="E815" t="s">
        <v>16</v>
      </c>
      <c r="F815" t="s">
        <v>35</v>
      </c>
      <c r="G815" t="s">
        <v>23</v>
      </c>
      <c r="H815" t="s">
        <v>19</v>
      </c>
      <c r="I815" t="s">
        <v>20</v>
      </c>
      <c r="J815" s="2">
        <v>120</v>
      </c>
    </row>
    <row r="816" spans="1:12" ht="19.95" customHeight="1">
      <c r="A816" t="s">
        <v>902</v>
      </c>
      <c r="B816" t="s">
        <v>877</v>
      </c>
      <c r="C816" t="s">
        <v>47</v>
      </c>
      <c r="D816" t="s">
        <v>64</v>
      </c>
      <c r="E816" t="s">
        <v>16</v>
      </c>
      <c r="F816" t="s">
        <v>35</v>
      </c>
      <c r="G816" t="s">
        <v>23</v>
      </c>
      <c r="H816" t="s">
        <v>19</v>
      </c>
      <c r="I816" t="s">
        <v>20</v>
      </c>
      <c r="J816" s="2">
        <v>120</v>
      </c>
    </row>
    <row r="817" spans="1:12" ht="19.95" customHeight="1">
      <c r="A817" t="s">
        <v>903</v>
      </c>
      <c r="B817" t="s">
        <v>877</v>
      </c>
      <c r="C817" t="s">
        <v>47</v>
      </c>
      <c r="D817" t="s">
        <v>148</v>
      </c>
      <c r="E817" t="s">
        <v>16</v>
      </c>
      <c r="F817" t="s">
        <v>17</v>
      </c>
      <c r="G817" t="s">
        <v>18</v>
      </c>
      <c r="H817" t="s">
        <v>19</v>
      </c>
      <c r="I817" t="s">
        <v>20</v>
      </c>
      <c r="J817" s="2">
        <v>170</v>
      </c>
      <c r="L817" t="s">
        <v>29</v>
      </c>
    </row>
    <row r="818" spans="1:12" ht="19.95" customHeight="1">
      <c r="A818" t="s">
        <v>904</v>
      </c>
      <c r="B818" t="s">
        <v>877</v>
      </c>
      <c r="C818" t="s">
        <v>47</v>
      </c>
      <c r="D818" t="s">
        <v>62</v>
      </c>
      <c r="E818" t="s">
        <v>16</v>
      </c>
      <c r="F818" t="s">
        <v>17</v>
      </c>
      <c r="G818" t="s">
        <v>32</v>
      </c>
      <c r="H818" t="s">
        <v>19</v>
      </c>
      <c r="I818" t="s">
        <v>20</v>
      </c>
      <c r="J818" s="2">
        <v>300</v>
      </c>
    </row>
    <row r="819" spans="1:12" ht="19.95" customHeight="1">
      <c r="A819" t="s">
        <v>905</v>
      </c>
      <c r="B819" t="s">
        <v>877</v>
      </c>
      <c r="C819" t="s">
        <v>47</v>
      </c>
      <c r="D819" t="s">
        <v>73</v>
      </c>
      <c r="E819" t="s">
        <v>16</v>
      </c>
      <c r="F819" t="s">
        <v>17</v>
      </c>
      <c r="G819" t="s">
        <v>32</v>
      </c>
      <c r="H819" t="s">
        <v>19</v>
      </c>
      <c r="I819" t="s">
        <v>20</v>
      </c>
      <c r="J819" s="2">
        <v>255</v>
      </c>
      <c r="L819" t="s">
        <v>29</v>
      </c>
    </row>
    <row r="820" spans="1:12" ht="19.95" customHeight="1">
      <c r="A820" t="s">
        <v>906</v>
      </c>
      <c r="B820" t="s">
        <v>877</v>
      </c>
      <c r="C820" t="s">
        <v>47</v>
      </c>
      <c r="D820" t="s">
        <v>48</v>
      </c>
      <c r="E820" t="s">
        <v>16</v>
      </c>
      <c r="F820" t="s">
        <v>17</v>
      </c>
      <c r="G820" t="s">
        <v>23</v>
      </c>
      <c r="H820" t="s">
        <v>19</v>
      </c>
      <c r="I820" t="s">
        <v>20</v>
      </c>
      <c r="J820" s="2">
        <v>102</v>
      </c>
      <c r="L820" t="s">
        <v>29</v>
      </c>
    </row>
    <row r="821" spans="1:12" ht="19.95" customHeight="1">
      <c r="A821" t="s">
        <v>907</v>
      </c>
      <c r="B821" t="s">
        <v>877</v>
      </c>
      <c r="C821" t="s">
        <v>47</v>
      </c>
      <c r="D821" t="s">
        <v>71</v>
      </c>
      <c r="E821" t="s">
        <v>16</v>
      </c>
      <c r="F821" t="s">
        <v>17</v>
      </c>
      <c r="G821" t="s">
        <v>23</v>
      </c>
      <c r="H821" t="s">
        <v>19</v>
      </c>
      <c r="I821" t="s">
        <v>53</v>
      </c>
      <c r="J821" s="2">
        <v>90</v>
      </c>
      <c r="L821" t="s">
        <v>29</v>
      </c>
    </row>
    <row r="822" spans="1:12" ht="19.95" customHeight="1">
      <c r="A822" t="s">
        <v>908</v>
      </c>
      <c r="B822" t="s">
        <v>877</v>
      </c>
      <c r="C822" t="s">
        <v>47</v>
      </c>
      <c r="D822" t="s">
        <v>62</v>
      </c>
      <c r="E822" t="s">
        <v>16</v>
      </c>
      <c r="F822" t="s">
        <v>17</v>
      </c>
      <c r="G822" t="s">
        <v>18</v>
      </c>
      <c r="H822" t="s">
        <v>19</v>
      </c>
      <c r="I822" t="s">
        <v>20</v>
      </c>
      <c r="J822" s="2">
        <v>200</v>
      </c>
    </row>
    <row r="823" spans="1:12" ht="19.95" customHeight="1">
      <c r="A823" t="s">
        <v>909</v>
      </c>
      <c r="B823" t="s">
        <v>877</v>
      </c>
      <c r="C823" t="s">
        <v>47</v>
      </c>
      <c r="D823" t="s">
        <v>50</v>
      </c>
      <c r="E823" t="s">
        <v>16</v>
      </c>
      <c r="F823" t="s">
        <v>17</v>
      </c>
      <c r="G823" t="s">
        <v>23</v>
      </c>
      <c r="H823" t="s">
        <v>19</v>
      </c>
      <c r="I823" t="s">
        <v>20</v>
      </c>
      <c r="J823" s="2">
        <v>90</v>
      </c>
      <c r="L823" t="s">
        <v>29</v>
      </c>
    </row>
    <row r="824" spans="1:12" ht="19.95" customHeight="1">
      <c r="A824" t="s">
        <v>910</v>
      </c>
      <c r="B824" t="s">
        <v>877</v>
      </c>
      <c r="C824" t="s">
        <v>47</v>
      </c>
      <c r="D824" t="s">
        <v>148</v>
      </c>
      <c r="E824" t="s">
        <v>16</v>
      </c>
      <c r="F824" t="s">
        <v>17</v>
      </c>
      <c r="G824" t="s">
        <v>32</v>
      </c>
      <c r="H824" t="s">
        <v>19</v>
      </c>
      <c r="I824" t="s">
        <v>20</v>
      </c>
      <c r="J824" s="2">
        <v>300</v>
      </c>
    </row>
    <row r="825" spans="1:12" ht="19.95" customHeight="1">
      <c r="A825" t="s">
        <v>911</v>
      </c>
      <c r="B825" t="s">
        <v>877</v>
      </c>
      <c r="C825" t="s">
        <v>47</v>
      </c>
      <c r="D825" t="s">
        <v>148</v>
      </c>
      <c r="E825" t="s">
        <v>16</v>
      </c>
      <c r="F825" t="s">
        <v>17</v>
      </c>
      <c r="G825" t="s">
        <v>32</v>
      </c>
      <c r="H825" t="s">
        <v>19</v>
      </c>
      <c r="I825" t="s">
        <v>20</v>
      </c>
      <c r="J825" s="2">
        <v>300</v>
      </c>
    </row>
    <row r="826" spans="1:12" ht="19.95" customHeight="1">
      <c r="A826" t="s">
        <v>912</v>
      </c>
      <c r="B826" t="s">
        <v>877</v>
      </c>
      <c r="C826" t="s">
        <v>78</v>
      </c>
      <c r="D826" t="s">
        <v>163</v>
      </c>
      <c r="E826" t="s">
        <v>16</v>
      </c>
      <c r="F826" t="s">
        <v>35</v>
      </c>
      <c r="G826" t="s">
        <v>23</v>
      </c>
      <c r="H826" t="s">
        <v>19</v>
      </c>
      <c r="I826" t="s">
        <v>20</v>
      </c>
      <c r="J826" s="2">
        <v>120</v>
      </c>
    </row>
    <row r="827" spans="1:12" ht="19.95" customHeight="1">
      <c r="A827" t="s">
        <v>913</v>
      </c>
      <c r="B827" t="s">
        <v>877</v>
      </c>
      <c r="C827" t="s">
        <v>78</v>
      </c>
      <c r="D827" t="s">
        <v>163</v>
      </c>
      <c r="E827" t="s">
        <v>16</v>
      </c>
      <c r="F827" t="s">
        <v>17</v>
      </c>
      <c r="G827" t="s">
        <v>23</v>
      </c>
      <c r="H827" t="s">
        <v>19</v>
      </c>
      <c r="I827" t="s">
        <v>20</v>
      </c>
      <c r="J827" s="2">
        <v>120</v>
      </c>
    </row>
    <row r="828" spans="1:12" ht="19.95" customHeight="1">
      <c r="A828" t="s">
        <v>914</v>
      </c>
      <c r="B828" t="s">
        <v>877</v>
      </c>
      <c r="C828" t="s">
        <v>78</v>
      </c>
      <c r="D828" t="s">
        <v>87</v>
      </c>
      <c r="E828" t="s">
        <v>16</v>
      </c>
      <c r="F828" t="s">
        <v>17</v>
      </c>
      <c r="G828" t="s">
        <v>18</v>
      </c>
      <c r="H828" t="s">
        <v>19</v>
      </c>
      <c r="I828" t="s">
        <v>20</v>
      </c>
      <c r="J828" s="2">
        <v>200</v>
      </c>
    </row>
    <row r="829" spans="1:12" ht="19.95" customHeight="1">
      <c r="A829" t="s">
        <v>915</v>
      </c>
      <c r="B829" t="s">
        <v>877</v>
      </c>
      <c r="C829" t="s">
        <v>78</v>
      </c>
      <c r="D829" t="s">
        <v>163</v>
      </c>
      <c r="E829" t="s">
        <v>16</v>
      </c>
      <c r="F829" t="s">
        <v>17</v>
      </c>
      <c r="G829" t="s">
        <v>18</v>
      </c>
      <c r="H829" t="s">
        <v>19</v>
      </c>
      <c r="I829" t="s">
        <v>20</v>
      </c>
      <c r="J829" s="2">
        <v>200</v>
      </c>
    </row>
    <row r="830" spans="1:12" ht="19.95" customHeight="1">
      <c r="A830" t="s">
        <v>916</v>
      </c>
      <c r="B830" t="s">
        <v>877</v>
      </c>
      <c r="C830" t="s">
        <v>78</v>
      </c>
      <c r="D830" t="s">
        <v>163</v>
      </c>
      <c r="E830" t="s">
        <v>16</v>
      </c>
      <c r="F830" t="s">
        <v>17</v>
      </c>
      <c r="G830" t="s">
        <v>32</v>
      </c>
      <c r="H830" t="s">
        <v>19</v>
      </c>
      <c r="I830" t="s">
        <v>20</v>
      </c>
      <c r="J830" s="2">
        <v>225</v>
      </c>
      <c r="L830" t="s">
        <v>29</v>
      </c>
    </row>
    <row r="831" spans="1:12" ht="19.95" customHeight="1">
      <c r="A831" t="s">
        <v>917</v>
      </c>
      <c r="B831" t="s">
        <v>877</v>
      </c>
      <c r="C831" t="s">
        <v>78</v>
      </c>
      <c r="D831" t="s">
        <v>87</v>
      </c>
      <c r="E831" t="s">
        <v>16</v>
      </c>
      <c r="F831" t="s">
        <v>35</v>
      </c>
      <c r="G831" t="s">
        <v>23</v>
      </c>
      <c r="H831" t="s">
        <v>19</v>
      </c>
      <c r="I831" t="s">
        <v>20</v>
      </c>
      <c r="J831" s="2">
        <v>120</v>
      </c>
    </row>
    <row r="832" spans="1:12" ht="19.95" customHeight="1">
      <c r="A832" t="s">
        <v>918</v>
      </c>
      <c r="B832" t="s">
        <v>877</v>
      </c>
      <c r="C832" t="s">
        <v>78</v>
      </c>
      <c r="D832" t="s">
        <v>102</v>
      </c>
      <c r="E832" t="s">
        <v>16</v>
      </c>
      <c r="F832" t="s">
        <v>35</v>
      </c>
      <c r="G832" t="s">
        <v>32</v>
      </c>
      <c r="H832" t="s">
        <v>19</v>
      </c>
      <c r="I832" t="s">
        <v>20</v>
      </c>
      <c r="J832" s="2">
        <v>255</v>
      </c>
      <c r="L832" t="s">
        <v>29</v>
      </c>
    </row>
    <row r="833" spans="1:12" ht="19.95" customHeight="1">
      <c r="A833" t="s">
        <v>919</v>
      </c>
      <c r="B833" t="s">
        <v>877</v>
      </c>
      <c r="C833" t="s">
        <v>78</v>
      </c>
      <c r="D833" t="s">
        <v>87</v>
      </c>
      <c r="E833" t="s">
        <v>16</v>
      </c>
      <c r="F833" t="s">
        <v>17</v>
      </c>
      <c r="G833" t="s">
        <v>18</v>
      </c>
      <c r="H833" t="s">
        <v>24</v>
      </c>
      <c r="I833" t="s">
        <v>20</v>
      </c>
      <c r="J833" s="2">
        <v>200</v>
      </c>
    </row>
    <row r="834" spans="1:12" ht="19.95" customHeight="1">
      <c r="A834" t="s">
        <v>920</v>
      </c>
      <c r="B834" t="s">
        <v>877</v>
      </c>
      <c r="C834" t="s">
        <v>78</v>
      </c>
      <c r="D834" t="s">
        <v>85</v>
      </c>
      <c r="E834" t="s">
        <v>16</v>
      </c>
      <c r="F834" t="s">
        <v>17</v>
      </c>
      <c r="G834" t="s">
        <v>23</v>
      </c>
      <c r="H834" t="s">
        <v>24</v>
      </c>
      <c r="I834" t="s">
        <v>20</v>
      </c>
      <c r="J834" s="2">
        <v>120</v>
      </c>
    </row>
    <row r="835" spans="1:12" ht="19.95" customHeight="1">
      <c r="A835" t="s">
        <v>921</v>
      </c>
      <c r="B835" t="s">
        <v>877</v>
      </c>
      <c r="C835" t="s">
        <v>78</v>
      </c>
      <c r="D835" t="s">
        <v>97</v>
      </c>
      <c r="E835" t="s">
        <v>16</v>
      </c>
      <c r="F835" t="s">
        <v>35</v>
      </c>
      <c r="G835" t="s">
        <v>18</v>
      </c>
      <c r="H835" t="s">
        <v>19</v>
      </c>
      <c r="I835" t="s">
        <v>20</v>
      </c>
      <c r="J835" s="2">
        <v>170</v>
      </c>
      <c r="L835" t="s">
        <v>29</v>
      </c>
    </row>
    <row r="836" spans="1:12" ht="19.95" customHeight="1">
      <c r="A836" t="s">
        <v>922</v>
      </c>
      <c r="B836" t="s">
        <v>877</v>
      </c>
      <c r="C836" t="s">
        <v>78</v>
      </c>
      <c r="D836" t="s">
        <v>161</v>
      </c>
      <c r="E836" t="s">
        <v>16</v>
      </c>
      <c r="F836" t="s">
        <v>17</v>
      </c>
      <c r="G836" t="s">
        <v>18</v>
      </c>
      <c r="H836" t="s">
        <v>19</v>
      </c>
      <c r="I836" t="s">
        <v>20</v>
      </c>
      <c r="J836" s="2">
        <v>200</v>
      </c>
    </row>
    <row r="837" spans="1:12" ht="19.95" customHeight="1">
      <c r="A837" t="s">
        <v>923</v>
      </c>
      <c r="B837" t="s">
        <v>877</v>
      </c>
      <c r="C837" t="s">
        <v>78</v>
      </c>
      <c r="D837" t="s">
        <v>97</v>
      </c>
      <c r="E837" t="s">
        <v>16</v>
      </c>
      <c r="F837" t="s">
        <v>17</v>
      </c>
      <c r="G837" t="s">
        <v>18</v>
      </c>
      <c r="H837" t="s">
        <v>24</v>
      </c>
      <c r="I837" t="s">
        <v>20</v>
      </c>
      <c r="J837" s="2">
        <v>200</v>
      </c>
    </row>
    <row r="838" spans="1:12" ht="19.95" customHeight="1">
      <c r="A838" t="s">
        <v>924</v>
      </c>
      <c r="B838" t="s">
        <v>877</v>
      </c>
      <c r="C838" t="s">
        <v>78</v>
      </c>
      <c r="D838" t="s">
        <v>83</v>
      </c>
      <c r="E838" t="s">
        <v>16</v>
      </c>
      <c r="F838" t="s">
        <v>17</v>
      </c>
      <c r="G838" t="s">
        <v>23</v>
      </c>
      <c r="H838" t="s">
        <v>19</v>
      </c>
      <c r="I838" t="s">
        <v>20</v>
      </c>
      <c r="J838" s="2">
        <v>120</v>
      </c>
    </row>
    <row r="839" spans="1:12" ht="19.95" customHeight="1">
      <c r="A839" t="s">
        <v>925</v>
      </c>
      <c r="B839" t="s">
        <v>877</v>
      </c>
      <c r="C839" t="s">
        <v>105</v>
      </c>
      <c r="D839" t="s">
        <v>120</v>
      </c>
      <c r="E839" t="s">
        <v>16</v>
      </c>
      <c r="F839" t="s">
        <v>17</v>
      </c>
      <c r="G839" t="s">
        <v>23</v>
      </c>
      <c r="H839" t="s">
        <v>19</v>
      </c>
      <c r="I839" t="s">
        <v>20</v>
      </c>
      <c r="J839" s="2">
        <v>120</v>
      </c>
    </row>
    <row r="840" spans="1:12" ht="19.95" customHeight="1">
      <c r="A840" t="s">
        <v>926</v>
      </c>
      <c r="B840" t="s">
        <v>877</v>
      </c>
      <c r="C840" t="s">
        <v>105</v>
      </c>
      <c r="D840" t="s">
        <v>191</v>
      </c>
      <c r="E840" t="s">
        <v>16</v>
      </c>
      <c r="F840" t="s">
        <v>17</v>
      </c>
      <c r="G840" t="s">
        <v>18</v>
      </c>
      <c r="H840" t="s">
        <v>19</v>
      </c>
      <c r="I840" t="s">
        <v>20</v>
      </c>
      <c r="J840" s="2">
        <v>170</v>
      </c>
      <c r="L840" t="s">
        <v>29</v>
      </c>
    </row>
    <row r="841" spans="1:12" ht="19.95" customHeight="1">
      <c r="A841" t="s">
        <v>927</v>
      </c>
      <c r="B841" t="s">
        <v>877</v>
      </c>
      <c r="C841" t="s">
        <v>105</v>
      </c>
      <c r="D841" t="s">
        <v>110</v>
      </c>
      <c r="E841" t="s">
        <v>16</v>
      </c>
      <c r="F841" t="s">
        <v>17</v>
      </c>
      <c r="G841" t="s">
        <v>23</v>
      </c>
      <c r="H841" t="s">
        <v>24</v>
      </c>
      <c r="I841" t="s">
        <v>20</v>
      </c>
      <c r="J841" s="2">
        <v>120</v>
      </c>
    </row>
    <row r="842" spans="1:12" ht="19.95" customHeight="1">
      <c r="A842" t="s">
        <v>928</v>
      </c>
      <c r="B842" t="s">
        <v>877</v>
      </c>
      <c r="C842" t="s">
        <v>105</v>
      </c>
      <c r="D842" t="s">
        <v>116</v>
      </c>
      <c r="E842" t="s">
        <v>16</v>
      </c>
      <c r="F842" t="s">
        <v>17</v>
      </c>
      <c r="G842" t="s">
        <v>18</v>
      </c>
      <c r="H842" t="s">
        <v>19</v>
      </c>
      <c r="I842" t="s">
        <v>20</v>
      </c>
      <c r="J842" s="2">
        <v>200</v>
      </c>
    </row>
    <row r="843" spans="1:12" ht="19.95" customHeight="1">
      <c r="A843" t="s">
        <v>929</v>
      </c>
      <c r="B843" t="s">
        <v>877</v>
      </c>
      <c r="C843" t="s">
        <v>105</v>
      </c>
      <c r="D843" t="s">
        <v>116</v>
      </c>
      <c r="E843" t="s">
        <v>16</v>
      </c>
      <c r="F843" t="s">
        <v>17</v>
      </c>
      <c r="G843" t="s">
        <v>18</v>
      </c>
      <c r="H843" t="s">
        <v>19</v>
      </c>
      <c r="I843" t="s">
        <v>20</v>
      </c>
      <c r="J843" s="2">
        <v>200</v>
      </c>
    </row>
    <row r="844" spans="1:12" ht="19.95" customHeight="1">
      <c r="A844" t="s">
        <v>930</v>
      </c>
      <c r="B844" t="s">
        <v>877</v>
      </c>
      <c r="C844" t="s">
        <v>105</v>
      </c>
      <c r="D844" t="s">
        <v>187</v>
      </c>
      <c r="E844" t="s">
        <v>16</v>
      </c>
      <c r="F844" t="s">
        <v>17</v>
      </c>
      <c r="G844" t="s">
        <v>18</v>
      </c>
      <c r="H844" t="s">
        <v>19</v>
      </c>
      <c r="I844" t="s">
        <v>20</v>
      </c>
      <c r="J844" s="2">
        <v>200</v>
      </c>
    </row>
    <row r="845" spans="1:12" ht="19.95" customHeight="1">
      <c r="A845" t="s">
        <v>931</v>
      </c>
      <c r="B845" t="s">
        <v>877</v>
      </c>
      <c r="C845" t="s">
        <v>105</v>
      </c>
      <c r="D845" t="s">
        <v>182</v>
      </c>
      <c r="E845" t="s">
        <v>16</v>
      </c>
      <c r="F845" t="s">
        <v>17</v>
      </c>
      <c r="G845" t="s">
        <v>32</v>
      </c>
      <c r="H845" t="s">
        <v>19</v>
      </c>
      <c r="I845" t="s">
        <v>20</v>
      </c>
      <c r="J845" s="2">
        <v>255</v>
      </c>
      <c r="L845" t="s">
        <v>29</v>
      </c>
    </row>
    <row r="846" spans="1:12" ht="19.95" customHeight="1">
      <c r="A846" t="s">
        <v>932</v>
      </c>
      <c r="B846" t="s">
        <v>877</v>
      </c>
      <c r="C846" t="s">
        <v>105</v>
      </c>
      <c r="D846" t="s">
        <v>108</v>
      </c>
      <c r="E846" t="s">
        <v>16</v>
      </c>
      <c r="F846" t="s">
        <v>17</v>
      </c>
      <c r="G846" t="s">
        <v>32</v>
      </c>
      <c r="H846" t="s">
        <v>19</v>
      </c>
      <c r="I846" t="s">
        <v>20</v>
      </c>
      <c r="J846" s="2">
        <v>300</v>
      </c>
    </row>
    <row r="847" spans="1:12" ht="19.95" customHeight="1">
      <c r="A847" t="s">
        <v>933</v>
      </c>
      <c r="B847" t="s">
        <v>877</v>
      </c>
      <c r="C847" t="s">
        <v>105</v>
      </c>
      <c r="D847" t="s">
        <v>112</v>
      </c>
      <c r="E847" t="s">
        <v>16</v>
      </c>
      <c r="F847" t="s">
        <v>17</v>
      </c>
      <c r="G847" t="s">
        <v>23</v>
      </c>
      <c r="H847" t="s">
        <v>19</v>
      </c>
      <c r="I847" t="s">
        <v>20</v>
      </c>
      <c r="J847" s="2">
        <v>120</v>
      </c>
    </row>
    <row r="848" spans="1:12" ht="19.95" customHeight="1">
      <c r="A848" t="s">
        <v>934</v>
      </c>
      <c r="B848" t="s">
        <v>877</v>
      </c>
      <c r="C848" t="s">
        <v>105</v>
      </c>
      <c r="D848" t="s">
        <v>108</v>
      </c>
      <c r="E848" t="s">
        <v>16</v>
      </c>
      <c r="F848" t="s">
        <v>35</v>
      </c>
      <c r="G848" t="s">
        <v>23</v>
      </c>
      <c r="H848" t="s">
        <v>19</v>
      </c>
      <c r="I848" t="s">
        <v>20</v>
      </c>
      <c r="J848" s="2">
        <v>120</v>
      </c>
    </row>
    <row r="849" spans="1:12" ht="19.95" customHeight="1">
      <c r="A849" t="s">
        <v>935</v>
      </c>
      <c r="B849" t="s">
        <v>877</v>
      </c>
      <c r="C849" t="s">
        <v>105</v>
      </c>
      <c r="D849" t="s">
        <v>108</v>
      </c>
      <c r="E849" t="s">
        <v>16</v>
      </c>
      <c r="F849" t="s">
        <v>17</v>
      </c>
      <c r="G849" t="s">
        <v>32</v>
      </c>
      <c r="H849" t="s">
        <v>19</v>
      </c>
      <c r="I849" t="s">
        <v>20</v>
      </c>
      <c r="J849" s="2">
        <v>225</v>
      </c>
      <c r="L849" t="s">
        <v>29</v>
      </c>
    </row>
    <row r="850" spans="1:12" ht="19.95" customHeight="1">
      <c r="A850" t="s">
        <v>936</v>
      </c>
      <c r="B850" t="s">
        <v>877</v>
      </c>
      <c r="C850" t="s">
        <v>105</v>
      </c>
      <c r="D850" t="s">
        <v>182</v>
      </c>
      <c r="E850" t="s">
        <v>16</v>
      </c>
      <c r="F850" t="s">
        <v>35</v>
      </c>
      <c r="G850" t="s">
        <v>18</v>
      </c>
      <c r="H850" t="s">
        <v>19</v>
      </c>
      <c r="I850" t="s">
        <v>20</v>
      </c>
      <c r="J850" s="2">
        <v>200</v>
      </c>
    </row>
    <row r="851" spans="1:12" ht="19.95" customHeight="1">
      <c r="A851" t="s">
        <v>937</v>
      </c>
      <c r="B851" t="s">
        <v>877</v>
      </c>
      <c r="C851" t="s">
        <v>105</v>
      </c>
      <c r="D851" t="s">
        <v>265</v>
      </c>
      <c r="E851" t="s">
        <v>16</v>
      </c>
      <c r="F851" t="s">
        <v>17</v>
      </c>
      <c r="G851" t="s">
        <v>23</v>
      </c>
      <c r="H851" t="s">
        <v>19</v>
      </c>
      <c r="I851" t="s">
        <v>20</v>
      </c>
      <c r="J851" s="2">
        <v>120</v>
      </c>
    </row>
    <row r="852" spans="1:12" ht="19.95" customHeight="1">
      <c r="A852" t="s">
        <v>938</v>
      </c>
      <c r="B852" t="s">
        <v>877</v>
      </c>
      <c r="C852" t="s">
        <v>105</v>
      </c>
      <c r="D852" t="s">
        <v>112</v>
      </c>
      <c r="E852" t="s">
        <v>16</v>
      </c>
      <c r="F852" t="s">
        <v>17</v>
      </c>
      <c r="G852" t="s">
        <v>23</v>
      </c>
      <c r="H852" t="s">
        <v>24</v>
      </c>
      <c r="I852" t="s">
        <v>20</v>
      </c>
      <c r="J852" s="2">
        <v>120</v>
      </c>
    </row>
    <row r="853" spans="1:12" ht="19.95" customHeight="1">
      <c r="A853" t="s">
        <v>939</v>
      </c>
      <c r="B853" t="s">
        <v>877</v>
      </c>
      <c r="C853" t="s">
        <v>105</v>
      </c>
      <c r="D853" t="s">
        <v>112</v>
      </c>
      <c r="E853" t="s">
        <v>16</v>
      </c>
      <c r="F853" t="s">
        <v>17</v>
      </c>
      <c r="G853" t="s">
        <v>18</v>
      </c>
      <c r="H853" t="s">
        <v>19</v>
      </c>
      <c r="I853" t="s">
        <v>20</v>
      </c>
      <c r="J853" s="2">
        <v>200</v>
      </c>
    </row>
    <row r="854" spans="1:12" ht="19.95" customHeight="1">
      <c r="A854" t="s">
        <v>940</v>
      </c>
      <c r="B854" t="s">
        <v>877</v>
      </c>
      <c r="C854" t="s">
        <v>105</v>
      </c>
      <c r="D854" t="s">
        <v>112</v>
      </c>
      <c r="E854" t="s">
        <v>16</v>
      </c>
      <c r="F854" t="s">
        <v>35</v>
      </c>
      <c r="G854" t="s">
        <v>23</v>
      </c>
      <c r="H854" t="s">
        <v>19</v>
      </c>
      <c r="I854" t="s">
        <v>20</v>
      </c>
      <c r="J854" s="2">
        <v>120</v>
      </c>
    </row>
    <row r="855" spans="1:12" ht="19.95" customHeight="1">
      <c r="A855" t="s">
        <v>941</v>
      </c>
      <c r="B855" t="s">
        <v>877</v>
      </c>
      <c r="C855" t="s">
        <v>105</v>
      </c>
      <c r="D855" t="s">
        <v>265</v>
      </c>
      <c r="E855" t="s">
        <v>402</v>
      </c>
      <c r="F855" t="s">
        <v>35</v>
      </c>
      <c r="G855" t="s">
        <v>23</v>
      </c>
      <c r="H855" t="s">
        <v>19</v>
      </c>
      <c r="I855" t="s">
        <v>20</v>
      </c>
      <c r="J855" s="2">
        <v>102</v>
      </c>
      <c r="K855" t="s">
        <v>527</v>
      </c>
      <c r="L855" t="s">
        <v>29</v>
      </c>
    </row>
    <row r="856" spans="1:12" ht="19.95" customHeight="1">
      <c r="A856" t="s">
        <v>942</v>
      </c>
      <c r="B856" t="s">
        <v>877</v>
      </c>
      <c r="C856" t="s">
        <v>47</v>
      </c>
      <c r="D856" t="s">
        <v>50</v>
      </c>
      <c r="E856" t="s">
        <v>402</v>
      </c>
      <c r="F856" t="s">
        <v>17</v>
      </c>
      <c r="G856" t="s">
        <v>32</v>
      </c>
      <c r="H856" t="s">
        <v>19</v>
      </c>
      <c r="I856" t="s">
        <v>20</v>
      </c>
      <c r="J856" s="2">
        <v>300</v>
      </c>
      <c r="K856" t="s">
        <v>702</v>
      </c>
    </row>
    <row r="857" spans="1:12" ht="19.95" customHeight="1">
      <c r="A857" t="s">
        <v>943</v>
      </c>
      <c r="B857" t="s">
        <v>877</v>
      </c>
      <c r="C857" t="s">
        <v>47</v>
      </c>
      <c r="D857" t="s">
        <v>66</v>
      </c>
      <c r="E857" t="s">
        <v>402</v>
      </c>
      <c r="F857" t="s">
        <v>17</v>
      </c>
      <c r="G857" t="s">
        <v>32</v>
      </c>
      <c r="H857" t="s">
        <v>19</v>
      </c>
      <c r="I857" t="s">
        <v>20</v>
      </c>
      <c r="J857" s="2">
        <v>300</v>
      </c>
      <c r="K857" t="s">
        <v>755</v>
      </c>
    </row>
    <row r="858" spans="1:12" ht="19.95" customHeight="1">
      <c r="A858" t="s">
        <v>944</v>
      </c>
      <c r="B858" t="s">
        <v>877</v>
      </c>
      <c r="C858" t="s">
        <v>78</v>
      </c>
      <c r="D858" t="s">
        <v>93</v>
      </c>
      <c r="E858" t="s">
        <v>402</v>
      </c>
      <c r="F858" t="s">
        <v>17</v>
      </c>
      <c r="G858" t="s">
        <v>23</v>
      </c>
      <c r="H858" t="s">
        <v>19</v>
      </c>
      <c r="I858" t="s">
        <v>20</v>
      </c>
      <c r="J858" s="2">
        <v>120</v>
      </c>
      <c r="K858" t="s">
        <v>433</v>
      </c>
    </row>
    <row r="859" spans="1:12" ht="19.95" customHeight="1">
      <c r="A859" t="s">
        <v>945</v>
      </c>
      <c r="B859" t="s">
        <v>946</v>
      </c>
      <c r="C859" t="s">
        <v>14</v>
      </c>
      <c r="D859" t="s">
        <v>40</v>
      </c>
      <c r="E859" t="s">
        <v>16</v>
      </c>
      <c r="F859" t="s">
        <v>17</v>
      </c>
      <c r="G859" t="s">
        <v>18</v>
      </c>
      <c r="H859" t="s">
        <v>19</v>
      </c>
      <c r="I859" t="s">
        <v>20</v>
      </c>
      <c r="J859" s="2">
        <v>200</v>
      </c>
    </row>
    <row r="860" spans="1:12" ht="19.95" customHeight="1">
      <c r="A860" t="s">
        <v>947</v>
      </c>
      <c r="B860" t="s">
        <v>946</v>
      </c>
      <c r="C860" t="s">
        <v>14</v>
      </c>
      <c r="D860" t="s">
        <v>31</v>
      </c>
      <c r="E860" t="s">
        <v>16</v>
      </c>
      <c r="F860" t="s">
        <v>35</v>
      </c>
      <c r="G860" t="s">
        <v>18</v>
      </c>
      <c r="H860" t="s">
        <v>19</v>
      </c>
      <c r="I860" t="s">
        <v>20</v>
      </c>
      <c r="J860" s="2">
        <v>170</v>
      </c>
      <c r="L860" t="s">
        <v>29</v>
      </c>
    </row>
    <row r="861" spans="1:12" ht="19.95" customHeight="1">
      <c r="A861" t="s">
        <v>948</v>
      </c>
      <c r="B861" t="s">
        <v>946</v>
      </c>
      <c r="C861" t="s">
        <v>14</v>
      </c>
      <c r="D861" t="s">
        <v>34</v>
      </c>
      <c r="E861" t="s">
        <v>16</v>
      </c>
      <c r="F861" t="s">
        <v>17</v>
      </c>
      <c r="G861" t="s">
        <v>23</v>
      </c>
      <c r="H861" t="s">
        <v>19</v>
      </c>
      <c r="I861" t="s">
        <v>20</v>
      </c>
      <c r="J861" s="2">
        <v>120</v>
      </c>
    </row>
    <row r="862" spans="1:12" ht="19.95" customHeight="1">
      <c r="A862" t="s">
        <v>949</v>
      </c>
      <c r="B862" t="s">
        <v>946</v>
      </c>
      <c r="C862" t="s">
        <v>14</v>
      </c>
      <c r="D862" t="s">
        <v>137</v>
      </c>
      <c r="E862" t="s">
        <v>16</v>
      </c>
      <c r="F862" t="s">
        <v>17</v>
      </c>
      <c r="G862" t="s">
        <v>18</v>
      </c>
      <c r="H862" t="s">
        <v>19</v>
      </c>
      <c r="I862" t="s">
        <v>20</v>
      </c>
      <c r="J862" s="2">
        <v>200</v>
      </c>
    </row>
    <row r="863" spans="1:12" ht="19.95" customHeight="1">
      <c r="A863" t="s">
        <v>950</v>
      </c>
      <c r="B863" t="s">
        <v>946</v>
      </c>
      <c r="C863" t="s">
        <v>14</v>
      </c>
      <c r="D863" t="s">
        <v>28</v>
      </c>
      <c r="E863" t="s">
        <v>16</v>
      </c>
      <c r="F863" t="s">
        <v>17</v>
      </c>
      <c r="G863" t="s">
        <v>32</v>
      </c>
      <c r="H863" t="s">
        <v>19</v>
      </c>
      <c r="I863" t="s">
        <v>20</v>
      </c>
      <c r="J863" s="2">
        <v>300</v>
      </c>
    </row>
    <row r="864" spans="1:12" ht="19.95" customHeight="1">
      <c r="A864" t="s">
        <v>951</v>
      </c>
      <c r="B864" t="s">
        <v>946</v>
      </c>
      <c r="C864" t="s">
        <v>14</v>
      </c>
      <c r="D864" t="s">
        <v>37</v>
      </c>
      <c r="E864" t="s">
        <v>16</v>
      </c>
      <c r="F864" t="s">
        <v>17</v>
      </c>
      <c r="G864" t="s">
        <v>18</v>
      </c>
      <c r="H864" t="s">
        <v>19</v>
      </c>
      <c r="I864" t="s">
        <v>20</v>
      </c>
      <c r="J864" s="2">
        <v>200</v>
      </c>
    </row>
    <row r="865" spans="1:12" ht="19.95" customHeight="1">
      <c r="A865" t="s">
        <v>952</v>
      </c>
      <c r="B865" t="s">
        <v>946</v>
      </c>
      <c r="C865" t="s">
        <v>14</v>
      </c>
      <c r="D865" t="s">
        <v>137</v>
      </c>
      <c r="E865" t="s">
        <v>16</v>
      </c>
      <c r="F865" t="s">
        <v>17</v>
      </c>
      <c r="G865" t="s">
        <v>32</v>
      </c>
      <c r="H865" t="s">
        <v>19</v>
      </c>
      <c r="I865" t="s">
        <v>20</v>
      </c>
      <c r="J865" s="2">
        <v>300</v>
      </c>
    </row>
    <row r="866" spans="1:12" ht="19.95" customHeight="1">
      <c r="A866" t="s">
        <v>953</v>
      </c>
      <c r="B866" t="s">
        <v>946</v>
      </c>
      <c r="C866" t="s">
        <v>14</v>
      </c>
      <c r="D866" t="s">
        <v>42</v>
      </c>
      <c r="E866" t="s">
        <v>16</v>
      </c>
      <c r="F866" t="s">
        <v>17</v>
      </c>
      <c r="G866" t="s">
        <v>32</v>
      </c>
      <c r="H866" t="s">
        <v>24</v>
      </c>
      <c r="I866" t="s">
        <v>20</v>
      </c>
      <c r="J866" s="2">
        <v>300</v>
      </c>
    </row>
    <row r="867" spans="1:12" ht="19.95" customHeight="1">
      <c r="A867" t="s">
        <v>954</v>
      </c>
      <c r="B867" t="s">
        <v>946</v>
      </c>
      <c r="C867" t="s">
        <v>14</v>
      </c>
      <c r="D867" t="s">
        <v>37</v>
      </c>
      <c r="E867" t="s">
        <v>16</v>
      </c>
      <c r="F867" t="s">
        <v>17</v>
      </c>
      <c r="G867" t="s">
        <v>23</v>
      </c>
      <c r="H867" t="s">
        <v>24</v>
      </c>
      <c r="I867" t="s">
        <v>20</v>
      </c>
      <c r="J867" s="2">
        <v>120</v>
      </c>
    </row>
    <row r="868" spans="1:12" ht="19.95" customHeight="1">
      <c r="A868" t="s">
        <v>955</v>
      </c>
      <c r="B868" t="s">
        <v>946</v>
      </c>
      <c r="C868" t="s">
        <v>14</v>
      </c>
      <c r="D868" t="s">
        <v>26</v>
      </c>
      <c r="E868" t="s">
        <v>16</v>
      </c>
      <c r="F868" t="s">
        <v>17</v>
      </c>
      <c r="G868" t="s">
        <v>32</v>
      </c>
      <c r="H868" t="s">
        <v>19</v>
      </c>
      <c r="I868" t="s">
        <v>20</v>
      </c>
      <c r="J868" s="2">
        <v>300</v>
      </c>
    </row>
    <row r="869" spans="1:12" ht="19.95" customHeight="1">
      <c r="A869" t="s">
        <v>956</v>
      </c>
      <c r="B869" t="s">
        <v>946</v>
      </c>
      <c r="C869" t="s">
        <v>14</v>
      </c>
      <c r="D869" t="s">
        <v>40</v>
      </c>
      <c r="E869" t="s">
        <v>16</v>
      </c>
      <c r="F869" t="s">
        <v>35</v>
      </c>
      <c r="G869" t="s">
        <v>32</v>
      </c>
      <c r="H869" t="s">
        <v>19</v>
      </c>
      <c r="I869" t="s">
        <v>20</v>
      </c>
      <c r="J869" s="2">
        <v>300</v>
      </c>
    </row>
    <row r="870" spans="1:12" ht="19.95" customHeight="1">
      <c r="A870" t="s">
        <v>957</v>
      </c>
      <c r="B870" t="s">
        <v>946</v>
      </c>
      <c r="C870" t="s">
        <v>14</v>
      </c>
      <c r="D870" t="s">
        <v>22</v>
      </c>
      <c r="E870" t="s">
        <v>16</v>
      </c>
      <c r="F870" t="s">
        <v>17</v>
      </c>
      <c r="G870" t="s">
        <v>23</v>
      </c>
      <c r="H870" t="s">
        <v>19</v>
      </c>
      <c r="I870" t="s">
        <v>53</v>
      </c>
      <c r="J870" s="2">
        <v>120</v>
      </c>
    </row>
    <row r="871" spans="1:12" ht="19.95" customHeight="1">
      <c r="A871" t="s">
        <v>958</v>
      </c>
      <c r="B871" t="s">
        <v>946</v>
      </c>
      <c r="C871" t="s">
        <v>14</v>
      </c>
      <c r="D871" t="s">
        <v>31</v>
      </c>
      <c r="E871" t="s">
        <v>16</v>
      </c>
      <c r="F871" t="s">
        <v>17</v>
      </c>
      <c r="G871" t="s">
        <v>32</v>
      </c>
      <c r="H871" t="s">
        <v>19</v>
      </c>
      <c r="I871" t="s">
        <v>20</v>
      </c>
      <c r="J871" s="2">
        <v>300</v>
      </c>
    </row>
    <row r="872" spans="1:12" ht="19.95" customHeight="1">
      <c r="A872" t="s">
        <v>959</v>
      </c>
      <c r="B872" t="s">
        <v>946</v>
      </c>
      <c r="C872" t="s">
        <v>47</v>
      </c>
      <c r="D872" t="s">
        <v>66</v>
      </c>
      <c r="E872" t="s">
        <v>16</v>
      </c>
      <c r="F872" t="s">
        <v>17</v>
      </c>
      <c r="G872" t="s">
        <v>23</v>
      </c>
      <c r="H872" t="s">
        <v>19</v>
      </c>
      <c r="I872" t="s">
        <v>20</v>
      </c>
      <c r="J872" s="2">
        <v>120</v>
      </c>
    </row>
    <row r="873" spans="1:12" ht="19.95" customHeight="1">
      <c r="A873" t="s">
        <v>960</v>
      </c>
      <c r="B873" t="s">
        <v>946</v>
      </c>
      <c r="C873" t="s">
        <v>47</v>
      </c>
      <c r="D873" t="s">
        <v>148</v>
      </c>
      <c r="E873" t="s">
        <v>16</v>
      </c>
      <c r="F873" t="s">
        <v>35</v>
      </c>
      <c r="G873" t="s">
        <v>23</v>
      </c>
      <c r="H873" t="s">
        <v>19</v>
      </c>
      <c r="I873" t="s">
        <v>20</v>
      </c>
      <c r="J873" s="2">
        <v>102</v>
      </c>
      <c r="L873" t="s">
        <v>29</v>
      </c>
    </row>
    <row r="874" spans="1:12" ht="19.95" customHeight="1">
      <c r="A874" t="s">
        <v>961</v>
      </c>
      <c r="B874" t="s">
        <v>946</v>
      </c>
      <c r="C874" t="s">
        <v>47</v>
      </c>
      <c r="D874" t="s">
        <v>62</v>
      </c>
      <c r="E874" t="s">
        <v>16</v>
      </c>
      <c r="F874" t="s">
        <v>35</v>
      </c>
      <c r="G874" t="s">
        <v>32</v>
      </c>
      <c r="H874" t="s">
        <v>19</v>
      </c>
      <c r="I874" t="s">
        <v>53</v>
      </c>
      <c r="J874" s="2">
        <v>300</v>
      </c>
    </row>
    <row r="875" spans="1:12" ht="19.95" customHeight="1">
      <c r="A875" t="s">
        <v>962</v>
      </c>
      <c r="B875" t="s">
        <v>946</v>
      </c>
      <c r="C875" t="s">
        <v>47</v>
      </c>
      <c r="D875" t="s">
        <v>64</v>
      </c>
      <c r="E875" t="s">
        <v>16</v>
      </c>
      <c r="F875" t="s">
        <v>17</v>
      </c>
      <c r="G875" t="s">
        <v>32</v>
      </c>
      <c r="H875" t="s">
        <v>19</v>
      </c>
      <c r="I875" t="s">
        <v>53</v>
      </c>
      <c r="J875" s="2">
        <v>300</v>
      </c>
    </row>
    <row r="876" spans="1:12" ht="19.95" customHeight="1">
      <c r="A876" t="s">
        <v>963</v>
      </c>
      <c r="B876" t="s">
        <v>946</v>
      </c>
      <c r="C876" t="s">
        <v>47</v>
      </c>
      <c r="D876" t="s">
        <v>55</v>
      </c>
      <c r="E876" t="s">
        <v>16</v>
      </c>
      <c r="F876" t="s">
        <v>17</v>
      </c>
      <c r="G876" t="s">
        <v>18</v>
      </c>
      <c r="H876" t="s">
        <v>24</v>
      </c>
      <c r="I876" t="s">
        <v>20</v>
      </c>
      <c r="J876" s="2">
        <v>200</v>
      </c>
    </row>
    <row r="877" spans="1:12" ht="19.95" customHeight="1">
      <c r="A877" t="s">
        <v>964</v>
      </c>
      <c r="B877" t="s">
        <v>946</v>
      </c>
      <c r="C877" t="s">
        <v>47</v>
      </c>
      <c r="D877" t="s">
        <v>64</v>
      </c>
      <c r="E877" t="s">
        <v>16</v>
      </c>
      <c r="F877" t="s">
        <v>35</v>
      </c>
      <c r="G877" t="s">
        <v>18</v>
      </c>
      <c r="H877" t="s">
        <v>19</v>
      </c>
      <c r="I877" t="s">
        <v>20</v>
      </c>
      <c r="J877" s="2">
        <v>200</v>
      </c>
    </row>
    <row r="878" spans="1:12" ht="19.95" customHeight="1">
      <c r="A878" t="s">
        <v>965</v>
      </c>
      <c r="B878" t="s">
        <v>946</v>
      </c>
      <c r="C878" t="s">
        <v>47</v>
      </c>
      <c r="D878" t="s">
        <v>55</v>
      </c>
      <c r="E878" t="s">
        <v>16</v>
      </c>
      <c r="F878" t="s">
        <v>17</v>
      </c>
      <c r="G878" t="s">
        <v>23</v>
      </c>
      <c r="H878" t="s">
        <v>19</v>
      </c>
      <c r="I878" t="s">
        <v>20</v>
      </c>
      <c r="J878" s="2">
        <v>120</v>
      </c>
    </row>
    <row r="879" spans="1:12" ht="19.95" customHeight="1">
      <c r="A879" t="s">
        <v>966</v>
      </c>
      <c r="B879" t="s">
        <v>946</v>
      </c>
      <c r="C879" t="s">
        <v>47</v>
      </c>
      <c r="D879" t="s">
        <v>152</v>
      </c>
      <c r="E879" t="s">
        <v>16</v>
      </c>
      <c r="F879" t="s">
        <v>17</v>
      </c>
      <c r="G879" t="s">
        <v>32</v>
      </c>
      <c r="H879" t="s">
        <v>19</v>
      </c>
      <c r="I879" t="s">
        <v>20</v>
      </c>
      <c r="J879" s="2">
        <v>300</v>
      </c>
    </row>
    <row r="880" spans="1:12" ht="19.95" customHeight="1">
      <c r="A880" t="s">
        <v>967</v>
      </c>
      <c r="B880" t="s">
        <v>946</v>
      </c>
      <c r="C880" t="s">
        <v>47</v>
      </c>
      <c r="D880" t="s">
        <v>73</v>
      </c>
      <c r="E880" t="s">
        <v>16</v>
      </c>
      <c r="F880" t="s">
        <v>17</v>
      </c>
      <c r="G880" t="s">
        <v>23</v>
      </c>
      <c r="H880" t="s">
        <v>19</v>
      </c>
      <c r="I880" t="s">
        <v>20</v>
      </c>
      <c r="J880" s="2">
        <v>120</v>
      </c>
    </row>
    <row r="881" spans="1:12" ht="19.95" customHeight="1">
      <c r="A881" t="s">
        <v>968</v>
      </c>
      <c r="B881" t="s">
        <v>946</v>
      </c>
      <c r="C881" t="s">
        <v>47</v>
      </c>
      <c r="D881" t="s">
        <v>62</v>
      </c>
      <c r="E881" t="s">
        <v>16</v>
      </c>
      <c r="F881" t="s">
        <v>17</v>
      </c>
      <c r="G881" t="s">
        <v>32</v>
      </c>
      <c r="H881" t="s">
        <v>19</v>
      </c>
      <c r="I881" t="s">
        <v>20</v>
      </c>
      <c r="J881" s="2">
        <v>300</v>
      </c>
    </row>
    <row r="882" spans="1:12" ht="19.95" customHeight="1">
      <c r="A882" t="s">
        <v>969</v>
      </c>
      <c r="B882" t="s">
        <v>946</v>
      </c>
      <c r="C882" t="s">
        <v>47</v>
      </c>
      <c r="D882" t="s">
        <v>64</v>
      </c>
      <c r="E882" t="s">
        <v>16</v>
      </c>
      <c r="F882" t="s">
        <v>17</v>
      </c>
      <c r="G882" t="s">
        <v>18</v>
      </c>
      <c r="H882" t="s">
        <v>19</v>
      </c>
      <c r="I882" t="s">
        <v>20</v>
      </c>
      <c r="J882" s="2">
        <v>200</v>
      </c>
    </row>
    <row r="883" spans="1:12" ht="19.95" customHeight="1">
      <c r="A883" t="s">
        <v>970</v>
      </c>
      <c r="B883" t="s">
        <v>946</v>
      </c>
      <c r="C883" t="s">
        <v>47</v>
      </c>
      <c r="D883" t="s">
        <v>55</v>
      </c>
      <c r="E883" t="s">
        <v>16</v>
      </c>
      <c r="F883" t="s">
        <v>17</v>
      </c>
      <c r="G883" t="s">
        <v>18</v>
      </c>
      <c r="H883" t="s">
        <v>19</v>
      </c>
      <c r="I883" t="s">
        <v>20</v>
      </c>
      <c r="J883" s="2">
        <v>200</v>
      </c>
    </row>
    <row r="884" spans="1:12" ht="19.95" customHeight="1">
      <c r="A884" t="s">
        <v>971</v>
      </c>
      <c r="B884" t="s">
        <v>946</v>
      </c>
      <c r="C884" t="s">
        <v>47</v>
      </c>
      <c r="D884" t="s">
        <v>59</v>
      </c>
      <c r="E884" t="s">
        <v>16</v>
      </c>
      <c r="F884" t="s">
        <v>17</v>
      </c>
      <c r="G884" t="s">
        <v>23</v>
      </c>
      <c r="H884" t="s">
        <v>19</v>
      </c>
      <c r="I884" t="s">
        <v>20</v>
      </c>
      <c r="J884" s="2">
        <v>120</v>
      </c>
    </row>
    <row r="885" spans="1:12" ht="19.95" customHeight="1">
      <c r="A885" t="s">
        <v>972</v>
      </c>
      <c r="B885" t="s">
        <v>946</v>
      </c>
      <c r="C885" t="s">
        <v>47</v>
      </c>
      <c r="D885" t="s">
        <v>52</v>
      </c>
      <c r="E885" t="s">
        <v>16</v>
      </c>
      <c r="F885" t="s">
        <v>17</v>
      </c>
      <c r="G885" t="s">
        <v>32</v>
      </c>
      <c r="H885" t="s">
        <v>24</v>
      </c>
      <c r="I885" t="s">
        <v>20</v>
      </c>
      <c r="J885" s="2">
        <v>300</v>
      </c>
    </row>
    <row r="886" spans="1:12" ht="19.95" customHeight="1">
      <c r="A886" t="s">
        <v>973</v>
      </c>
      <c r="B886" t="s">
        <v>946</v>
      </c>
      <c r="C886" t="s">
        <v>47</v>
      </c>
      <c r="D886" t="s">
        <v>148</v>
      </c>
      <c r="E886" t="s">
        <v>16</v>
      </c>
      <c r="F886" t="s">
        <v>17</v>
      </c>
      <c r="G886" t="s">
        <v>32</v>
      </c>
      <c r="H886" t="s">
        <v>19</v>
      </c>
      <c r="I886" t="s">
        <v>20</v>
      </c>
      <c r="J886" s="2">
        <v>300</v>
      </c>
    </row>
    <row r="887" spans="1:12" ht="19.95" customHeight="1">
      <c r="A887" t="s">
        <v>974</v>
      </c>
      <c r="B887" t="s">
        <v>946</v>
      </c>
      <c r="C887" t="s">
        <v>47</v>
      </c>
      <c r="D887" t="s">
        <v>152</v>
      </c>
      <c r="E887" t="s">
        <v>16</v>
      </c>
      <c r="F887" t="s">
        <v>35</v>
      </c>
      <c r="G887" t="s">
        <v>18</v>
      </c>
      <c r="H887" t="s">
        <v>19</v>
      </c>
      <c r="I887" t="s">
        <v>20</v>
      </c>
      <c r="J887" s="2">
        <v>170</v>
      </c>
      <c r="L887" t="s">
        <v>29</v>
      </c>
    </row>
    <row r="888" spans="1:12" ht="19.95" customHeight="1">
      <c r="A888" t="s">
        <v>975</v>
      </c>
      <c r="B888" t="s">
        <v>946</v>
      </c>
      <c r="C888" t="s">
        <v>78</v>
      </c>
      <c r="D888" t="s">
        <v>93</v>
      </c>
      <c r="E888" t="s">
        <v>16</v>
      </c>
      <c r="F888" t="s">
        <v>17</v>
      </c>
      <c r="G888" t="s">
        <v>32</v>
      </c>
      <c r="H888" t="s">
        <v>19</v>
      </c>
      <c r="I888" t="s">
        <v>20</v>
      </c>
      <c r="J888" s="2">
        <v>300</v>
      </c>
    </row>
    <row r="889" spans="1:12" ht="19.95" customHeight="1">
      <c r="A889" t="s">
        <v>976</v>
      </c>
      <c r="B889" t="s">
        <v>946</v>
      </c>
      <c r="C889" t="s">
        <v>78</v>
      </c>
      <c r="D889" t="s">
        <v>89</v>
      </c>
      <c r="E889" t="s">
        <v>16</v>
      </c>
      <c r="F889" t="s">
        <v>17</v>
      </c>
      <c r="G889" t="s">
        <v>32</v>
      </c>
      <c r="H889" t="s">
        <v>19</v>
      </c>
      <c r="I889" t="s">
        <v>20</v>
      </c>
      <c r="J889" s="2">
        <v>255</v>
      </c>
      <c r="L889" t="s">
        <v>29</v>
      </c>
    </row>
    <row r="890" spans="1:12" ht="19.95" customHeight="1">
      <c r="A890" t="s">
        <v>977</v>
      </c>
      <c r="B890" t="s">
        <v>946</v>
      </c>
      <c r="C890" t="s">
        <v>78</v>
      </c>
      <c r="D890" t="s">
        <v>161</v>
      </c>
      <c r="E890" t="s">
        <v>16</v>
      </c>
      <c r="F890" t="s">
        <v>17</v>
      </c>
      <c r="G890" t="s">
        <v>18</v>
      </c>
      <c r="H890" t="s">
        <v>19</v>
      </c>
      <c r="I890" t="s">
        <v>20</v>
      </c>
      <c r="J890" s="2">
        <v>200</v>
      </c>
    </row>
    <row r="891" spans="1:12" ht="19.95" customHeight="1">
      <c r="A891" t="s">
        <v>978</v>
      </c>
      <c r="B891" t="s">
        <v>946</v>
      </c>
      <c r="C891" t="s">
        <v>78</v>
      </c>
      <c r="D891" t="s">
        <v>89</v>
      </c>
      <c r="E891" t="s">
        <v>16</v>
      </c>
      <c r="F891" t="s">
        <v>17</v>
      </c>
      <c r="G891" t="s">
        <v>18</v>
      </c>
      <c r="H891" t="s">
        <v>19</v>
      </c>
      <c r="I891" t="s">
        <v>20</v>
      </c>
      <c r="J891" s="2">
        <v>200</v>
      </c>
    </row>
    <row r="892" spans="1:12" ht="19.95" customHeight="1">
      <c r="A892" t="s">
        <v>979</v>
      </c>
      <c r="B892" t="s">
        <v>946</v>
      </c>
      <c r="C892" t="s">
        <v>78</v>
      </c>
      <c r="D892" t="s">
        <v>87</v>
      </c>
      <c r="E892" t="s">
        <v>16</v>
      </c>
      <c r="F892" t="s">
        <v>17</v>
      </c>
      <c r="G892" t="s">
        <v>18</v>
      </c>
      <c r="H892" t="s">
        <v>19</v>
      </c>
      <c r="I892" t="s">
        <v>20</v>
      </c>
      <c r="J892" s="2">
        <v>200</v>
      </c>
    </row>
    <row r="893" spans="1:12" ht="19.95" customHeight="1">
      <c r="A893" t="s">
        <v>980</v>
      </c>
      <c r="B893" t="s">
        <v>946</v>
      </c>
      <c r="C893" t="s">
        <v>78</v>
      </c>
      <c r="D893" t="s">
        <v>161</v>
      </c>
      <c r="E893" t="s">
        <v>16</v>
      </c>
      <c r="F893" t="s">
        <v>17</v>
      </c>
      <c r="G893" t="s">
        <v>32</v>
      </c>
      <c r="H893" t="s">
        <v>19</v>
      </c>
      <c r="I893" t="s">
        <v>20</v>
      </c>
      <c r="J893" s="2">
        <v>300</v>
      </c>
    </row>
    <row r="894" spans="1:12" ht="19.95" customHeight="1">
      <c r="A894" t="s">
        <v>981</v>
      </c>
      <c r="B894" t="s">
        <v>946</v>
      </c>
      <c r="C894" t="s">
        <v>78</v>
      </c>
      <c r="D894" t="s">
        <v>161</v>
      </c>
      <c r="E894" t="s">
        <v>16</v>
      </c>
      <c r="F894" t="s">
        <v>17</v>
      </c>
      <c r="G894" t="s">
        <v>23</v>
      </c>
      <c r="H894" t="s">
        <v>19</v>
      </c>
      <c r="I894" t="s">
        <v>20</v>
      </c>
      <c r="J894" s="2">
        <v>120</v>
      </c>
    </row>
    <row r="895" spans="1:12" ht="19.95" customHeight="1">
      <c r="A895" t="s">
        <v>982</v>
      </c>
      <c r="B895" t="s">
        <v>946</v>
      </c>
      <c r="C895" t="s">
        <v>78</v>
      </c>
      <c r="D895" t="s">
        <v>163</v>
      </c>
      <c r="E895" t="s">
        <v>16</v>
      </c>
      <c r="F895" t="s">
        <v>17</v>
      </c>
      <c r="G895" t="s">
        <v>32</v>
      </c>
      <c r="H895" t="s">
        <v>19</v>
      </c>
      <c r="I895" t="s">
        <v>20</v>
      </c>
      <c r="J895" s="2">
        <v>225</v>
      </c>
      <c r="L895" t="s">
        <v>29</v>
      </c>
    </row>
    <row r="896" spans="1:12" ht="19.95" customHeight="1">
      <c r="A896" t="s">
        <v>983</v>
      </c>
      <c r="B896" t="s">
        <v>946</v>
      </c>
      <c r="C896" t="s">
        <v>78</v>
      </c>
      <c r="D896" t="s">
        <v>79</v>
      </c>
      <c r="E896" t="s">
        <v>16</v>
      </c>
      <c r="F896" t="s">
        <v>17</v>
      </c>
      <c r="G896" t="s">
        <v>23</v>
      </c>
      <c r="H896" t="s">
        <v>19</v>
      </c>
      <c r="I896" t="s">
        <v>20</v>
      </c>
      <c r="J896" s="2">
        <v>102</v>
      </c>
      <c r="L896" t="s">
        <v>29</v>
      </c>
    </row>
    <row r="897" spans="1:12" ht="19.95" customHeight="1">
      <c r="A897" t="s">
        <v>984</v>
      </c>
      <c r="B897" t="s">
        <v>946</v>
      </c>
      <c r="C897" t="s">
        <v>78</v>
      </c>
      <c r="D897" t="s">
        <v>93</v>
      </c>
      <c r="E897" t="s">
        <v>16</v>
      </c>
      <c r="F897" t="s">
        <v>17</v>
      </c>
      <c r="G897" t="s">
        <v>23</v>
      </c>
      <c r="H897" t="s">
        <v>19</v>
      </c>
      <c r="I897" t="s">
        <v>20</v>
      </c>
      <c r="J897" s="2">
        <v>120</v>
      </c>
    </row>
    <row r="898" spans="1:12" ht="19.95" customHeight="1">
      <c r="A898" t="s">
        <v>985</v>
      </c>
      <c r="B898" t="s">
        <v>946</v>
      </c>
      <c r="C898" t="s">
        <v>78</v>
      </c>
      <c r="D898" t="s">
        <v>93</v>
      </c>
      <c r="E898" t="s">
        <v>16</v>
      </c>
      <c r="F898" t="s">
        <v>35</v>
      </c>
      <c r="G898" t="s">
        <v>23</v>
      </c>
      <c r="H898" t="s">
        <v>19</v>
      </c>
      <c r="I898" t="s">
        <v>53</v>
      </c>
      <c r="J898" s="2">
        <v>120</v>
      </c>
    </row>
    <row r="899" spans="1:12" ht="19.95" customHeight="1">
      <c r="A899" t="s">
        <v>986</v>
      </c>
      <c r="B899" t="s">
        <v>946</v>
      </c>
      <c r="C899" t="s">
        <v>78</v>
      </c>
      <c r="D899" t="s">
        <v>83</v>
      </c>
      <c r="E899" t="s">
        <v>16</v>
      </c>
      <c r="F899" t="s">
        <v>35</v>
      </c>
      <c r="G899" t="s">
        <v>32</v>
      </c>
      <c r="H899" t="s">
        <v>19</v>
      </c>
      <c r="I899" t="s">
        <v>20</v>
      </c>
      <c r="J899" s="2">
        <v>255</v>
      </c>
      <c r="L899" t="s">
        <v>29</v>
      </c>
    </row>
    <row r="900" spans="1:12" ht="19.95" customHeight="1">
      <c r="A900" t="s">
        <v>987</v>
      </c>
      <c r="B900" t="s">
        <v>946</v>
      </c>
      <c r="C900" t="s">
        <v>78</v>
      </c>
      <c r="D900" t="s">
        <v>242</v>
      </c>
      <c r="E900" t="s">
        <v>16</v>
      </c>
      <c r="F900" t="s">
        <v>17</v>
      </c>
      <c r="G900" t="s">
        <v>32</v>
      </c>
      <c r="H900" t="s">
        <v>19</v>
      </c>
      <c r="I900" t="s">
        <v>20</v>
      </c>
      <c r="J900" s="2">
        <v>300</v>
      </c>
    </row>
    <row r="901" spans="1:12" ht="19.95" customHeight="1">
      <c r="A901" t="s">
        <v>988</v>
      </c>
      <c r="B901" t="s">
        <v>946</v>
      </c>
      <c r="C901" t="s">
        <v>78</v>
      </c>
      <c r="D901" t="s">
        <v>161</v>
      </c>
      <c r="E901" t="s">
        <v>16</v>
      </c>
      <c r="F901" t="s">
        <v>35</v>
      </c>
      <c r="G901" t="s">
        <v>18</v>
      </c>
      <c r="H901" t="s">
        <v>19</v>
      </c>
      <c r="I901" t="s">
        <v>20</v>
      </c>
      <c r="J901" s="2">
        <v>200</v>
      </c>
    </row>
    <row r="902" spans="1:12" ht="19.95" customHeight="1">
      <c r="A902" t="s">
        <v>989</v>
      </c>
      <c r="B902" t="s">
        <v>946</v>
      </c>
      <c r="C902" t="s">
        <v>78</v>
      </c>
      <c r="D902" t="s">
        <v>242</v>
      </c>
      <c r="E902" t="s">
        <v>16</v>
      </c>
      <c r="F902" t="s">
        <v>17</v>
      </c>
      <c r="G902" t="s">
        <v>32</v>
      </c>
      <c r="H902" t="s">
        <v>19</v>
      </c>
      <c r="I902" t="s">
        <v>20</v>
      </c>
      <c r="J902" s="2">
        <v>300</v>
      </c>
    </row>
    <row r="903" spans="1:12" ht="19.95" customHeight="1">
      <c r="A903" t="s">
        <v>990</v>
      </c>
      <c r="B903" t="s">
        <v>946</v>
      </c>
      <c r="C903" t="s">
        <v>78</v>
      </c>
      <c r="D903" t="s">
        <v>242</v>
      </c>
      <c r="E903" t="s">
        <v>16</v>
      </c>
      <c r="F903" t="s">
        <v>17</v>
      </c>
      <c r="G903" t="s">
        <v>23</v>
      </c>
      <c r="H903" t="s">
        <v>19</v>
      </c>
      <c r="I903" t="s">
        <v>20</v>
      </c>
      <c r="J903" s="2">
        <v>120</v>
      </c>
    </row>
    <row r="904" spans="1:12" ht="19.95" customHeight="1">
      <c r="A904" t="s">
        <v>991</v>
      </c>
      <c r="B904" t="s">
        <v>946</v>
      </c>
      <c r="C904" t="s">
        <v>78</v>
      </c>
      <c r="D904" t="s">
        <v>161</v>
      </c>
      <c r="E904" t="s">
        <v>16</v>
      </c>
      <c r="F904" t="s">
        <v>17</v>
      </c>
      <c r="G904" t="s">
        <v>32</v>
      </c>
      <c r="H904" t="s">
        <v>19</v>
      </c>
      <c r="I904" t="s">
        <v>20</v>
      </c>
      <c r="J904" s="2">
        <v>225</v>
      </c>
      <c r="L904" t="s">
        <v>29</v>
      </c>
    </row>
    <row r="905" spans="1:12" ht="19.95" customHeight="1">
      <c r="A905" t="s">
        <v>992</v>
      </c>
      <c r="B905" t="s">
        <v>946</v>
      </c>
      <c r="C905" t="s">
        <v>78</v>
      </c>
      <c r="D905" t="s">
        <v>97</v>
      </c>
      <c r="E905" t="s">
        <v>16</v>
      </c>
      <c r="F905" t="s">
        <v>17</v>
      </c>
      <c r="G905" t="s">
        <v>23</v>
      </c>
      <c r="H905" t="s">
        <v>19</v>
      </c>
      <c r="I905" t="s">
        <v>20</v>
      </c>
      <c r="J905" s="2">
        <v>120</v>
      </c>
    </row>
    <row r="906" spans="1:12" ht="19.95" customHeight="1">
      <c r="A906" t="s">
        <v>993</v>
      </c>
      <c r="B906" t="s">
        <v>946</v>
      </c>
      <c r="C906" t="s">
        <v>105</v>
      </c>
      <c r="D906" t="s">
        <v>265</v>
      </c>
      <c r="E906" t="s">
        <v>16</v>
      </c>
      <c r="F906" t="s">
        <v>17</v>
      </c>
      <c r="G906" t="s">
        <v>32</v>
      </c>
      <c r="H906" t="s">
        <v>19</v>
      </c>
      <c r="I906" t="s">
        <v>20</v>
      </c>
      <c r="J906" s="2">
        <v>300</v>
      </c>
    </row>
    <row r="907" spans="1:12" ht="19.95" customHeight="1">
      <c r="A907" t="s">
        <v>994</v>
      </c>
      <c r="B907" t="s">
        <v>946</v>
      </c>
      <c r="C907" t="s">
        <v>105</v>
      </c>
      <c r="D907" t="s">
        <v>110</v>
      </c>
      <c r="E907" t="s">
        <v>16</v>
      </c>
      <c r="F907" t="s">
        <v>17</v>
      </c>
      <c r="G907" t="s">
        <v>23</v>
      </c>
      <c r="H907" t="s">
        <v>19</v>
      </c>
      <c r="I907" t="s">
        <v>20</v>
      </c>
      <c r="J907" s="2">
        <v>120</v>
      </c>
    </row>
    <row r="908" spans="1:12" ht="19.95" customHeight="1">
      <c r="A908" t="s">
        <v>995</v>
      </c>
      <c r="B908" t="s">
        <v>946</v>
      </c>
      <c r="C908" t="s">
        <v>105</v>
      </c>
      <c r="D908" t="s">
        <v>120</v>
      </c>
      <c r="E908" t="s">
        <v>16</v>
      </c>
      <c r="F908" t="s">
        <v>17</v>
      </c>
      <c r="G908" t="s">
        <v>18</v>
      </c>
      <c r="H908" t="s">
        <v>19</v>
      </c>
      <c r="I908" t="s">
        <v>20</v>
      </c>
      <c r="J908" s="2">
        <v>200</v>
      </c>
    </row>
    <row r="909" spans="1:12" ht="19.95" customHeight="1">
      <c r="A909" t="s">
        <v>996</v>
      </c>
      <c r="B909" t="s">
        <v>946</v>
      </c>
      <c r="C909" t="s">
        <v>105</v>
      </c>
      <c r="D909" t="s">
        <v>194</v>
      </c>
      <c r="E909" t="s">
        <v>16</v>
      </c>
      <c r="F909" t="s">
        <v>17</v>
      </c>
      <c r="G909" t="s">
        <v>23</v>
      </c>
      <c r="H909" t="s">
        <v>19</v>
      </c>
      <c r="I909" t="s">
        <v>20</v>
      </c>
      <c r="J909" s="2">
        <v>120</v>
      </c>
    </row>
    <row r="910" spans="1:12" ht="19.95" customHeight="1">
      <c r="A910" t="s">
        <v>997</v>
      </c>
      <c r="B910" t="s">
        <v>946</v>
      </c>
      <c r="C910" t="s">
        <v>105</v>
      </c>
      <c r="D910" t="s">
        <v>116</v>
      </c>
      <c r="E910" t="s">
        <v>16</v>
      </c>
      <c r="F910" t="s">
        <v>17</v>
      </c>
      <c r="G910" t="s">
        <v>23</v>
      </c>
      <c r="H910" t="s">
        <v>19</v>
      </c>
      <c r="I910" t="s">
        <v>20</v>
      </c>
      <c r="J910" s="2">
        <v>120</v>
      </c>
    </row>
    <row r="911" spans="1:12" ht="19.95" customHeight="1">
      <c r="A911" t="s">
        <v>998</v>
      </c>
      <c r="B911" t="s">
        <v>946</v>
      </c>
      <c r="C911" t="s">
        <v>105</v>
      </c>
      <c r="D911" t="s">
        <v>182</v>
      </c>
      <c r="E911" t="s">
        <v>16</v>
      </c>
      <c r="F911" t="s">
        <v>35</v>
      </c>
      <c r="G911" t="s">
        <v>23</v>
      </c>
      <c r="H911" t="s">
        <v>19</v>
      </c>
      <c r="I911" t="s">
        <v>20</v>
      </c>
      <c r="J911" s="2">
        <v>120</v>
      </c>
    </row>
    <row r="912" spans="1:12" ht="19.95" customHeight="1">
      <c r="A912" t="s">
        <v>999</v>
      </c>
      <c r="B912" t="s">
        <v>946</v>
      </c>
      <c r="C912" t="s">
        <v>105</v>
      </c>
      <c r="D912" t="s">
        <v>182</v>
      </c>
      <c r="E912" t="s">
        <v>16</v>
      </c>
      <c r="F912" t="s">
        <v>17</v>
      </c>
      <c r="G912" t="s">
        <v>32</v>
      </c>
      <c r="H912" t="s">
        <v>19</v>
      </c>
      <c r="I912" t="s">
        <v>20</v>
      </c>
      <c r="J912" s="2">
        <v>300</v>
      </c>
    </row>
    <row r="913" spans="1:12" ht="19.95" customHeight="1">
      <c r="A913" t="s">
        <v>1000</v>
      </c>
      <c r="B913" t="s">
        <v>946</v>
      </c>
      <c r="C913" t="s">
        <v>105</v>
      </c>
      <c r="D913" t="s">
        <v>116</v>
      </c>
      <c r="E913" t="s">
        <v>16</v>
      </c>
      <c r="F913" t="s">
        <v>35</v>
      </c>
      <c r="G913" t="s">
        <v>32</v>
      </c>
      <c r="H913" t="s">
        <v>19</v>
      </c>
      <c r="I913" t="s">
        <v>20</v>
      </c>
      <c r="J913" s="2">
        <v>300</v>
      </c>
    </row>
    <row r="914" spans="1:12" ht="19.95" customHeight="1">
      <c r="A914" t="s">
        <v>1001</v>
      </c>
      <c r="B914" t="s">
        <v>946</v>
      </c>
      <c r="C914" t="s">
        <v>105</v>
      </c>
      <c r="D914" t="s">
        <v>108</v>
      </c>
      <c r="E914" t="s">
        <v>16</v>
      </c>
      <c r="F914" t="s">
        <v>17</v>
      </c>
      <c r="G914" t="s">
        <v>32</v>
      </c>
      <c r="H914" t="s">
        <v>19</v>
      </c>
      <c r="I914" t="s">
        <v>20</v>
      </c>
      <c r="J914" s="2">
        <v>300</v>
      </c>
    </row>
    <row r="915" spans="1:12" ht="19.95" customHeight="1">
      <c r="A915" t="s">
        <v>1002</v>
      </c>
      <c r="B915" t="s">
        <v>946</v>
      </c>
      <c r="C915" t="s">
        <v>105</v>
      </c>
      <c r="D915" t="s">
        <v>194</v>
      </c>
      <c r="E915" t="s">
        <v>16</v>
      </c>
      <c r="F915" t="s">
        <v>17</v>
      </c>
      <c r="G915" t="s">
        <v>23</v>
      </c>
      <c r="H915" t="s">
        <v>19</v>
      </c>
      <c r="I915" t="s">
        <v>20</v>
      </c>
      <c r="J915" s="2">
        <v>120</v>
      </c>
    </row>
    <row r="916" spans="1:12" ht="19.95" customHeight="1">
      <c r="A916" t="s">
        <v>1003</v>
      </c>
      <c r="B916" t="s">
        <v>946</v>
      </c>
      <c r="C916" t="s">
        <v>105</v>
      </c>
      <c r="D916" t="s">
        <v>116</v>
      </c>
      <c r="E916" t="s">
        <v>16</v>
      </c>
      <c r="F916" t="s">
        <v>17</v>
      </c>
      <c r="G916" t="s">
        <v>18</v>
      </c>
      <c r="H916" t="s">
        <v>19</v>
      </c>
      <c r="I916" t="s">
        <v>20</v>
      </c>
      <c r="J916" s="2">
        <v>200</v>
      </c>
    </row>
    <row r="917" spans="1:12" ht="19.95" customHeight="1">
      <c r="A917" t="s">
        <v>1004</v>
      </c>
      <c r="B917" t="s">
        <v>946</v>
      </c>
      <c r="C917" t="s">
        <v>105</v>
      </c>
      <c r="D917" t="s">
        <v>106</v>
      </c>
      <c r="E917" t="s">
        <v>16</v>
      </c>
      <c r="F917" t="s">
        <v>17</v>
      </c>
      <c r="G917" t="s">
        <v>23</v>
      </c>
      <c r="H917" t="s">
        <v>19</v>
      </c>
      <c r="I917" t="s">
        <v>20</v>
      </c>
      <c r="J917" s="2">
        <v>90</v>
      </c>
      <c r="L917" t="s">
        <v>29</v>
      </c>
    </row>
    <row r="918" spans="1:12" ht="19.95" customHeight="1">
      <c r="A918" t="s">
        <v>1005</v>
      </c>
      <c r="B918" t="s">
        <v>946</v>
      </c>
      <c r="C918" t="s">
        <v>105</v>
      </c>
      <c r="D918" t="s">
        <v>194</v>
      </c>
      <c r="E918" t="s">
        <v>16</v>
      </c>
      <c r="F918" t="s">
        <v>17</v>
      </c>
      <c r="G918" t="s">
        <v>18</v>
      </c>
      <c r="H918" t="s">
        <v>19</v>
      </c>
      <c r="I918" t="s">
        <v>20</v>
      </c>
      <c r="J918" s="2">
        <v>200</v>
      </c>
    </row>
    <row r="919" spans="1:12" ht="19.95" customHeight="1">
      <c r="A919" t="s">
        <v>1006</v>
      </c>
      <c r="B919" t="s">
        <v>946</v>
      </c>
      <c r="C919" t="s">
        <v>105</v>
      </c>
      <c r="D919" t="s">
        <v>116</v>
      </c>
      <c r="E919" t="s">
        <v>16</v>
      </c>
      <c r="F919" t="s">
        <v>17</v>
      </c>
      <c r="G919" t="s">
        <v>18</v>
      </c>
      <c r="H919" t="s">
        <v>19</v>
      </c>
      <c r="I919" t="s">
        <v>20</v>
      </c>
      <c r="J919" s="2">
        <v>200</v>
      </c>
    </row>
    <row r="920" spans="1:12" ht="19.95" customHeight="1">
      <c r="A920" t="s">
        <v>1007</v>
      </c>
      <c r="B920" t="s">
        <v>946</v>
      </c>
      <c r="C920" t="s">
        <v>105</v>
      </c>
      <c r="D920" t="s">
        <v>108</v>
      </c>
      <c r="E920" t="s">
        <v>16</v>
      </c>
      <c r="F920" t="s">
        <v>17</v>
      </c>
      <c r="G920" t="s">
        <v>23</v>
      </c>
      <c r="H920" t="s">
        <v>19</v>
      </c>
      <c r="I920" t="s">
        <v>20</v>
      </c>
      <c r="J920" s="2">
        <v>120</v>
      </c>
    </row>
    <row r="921" spans="1:12" ht="19.95" customHeight="1">
      <c r="A921" t="s">
        <v>1008</v>
      </c>
      <c r="B921" t="s">
        <v>946</v>
      </c>
      <c r="C921" t="s">
        <v>105</v>
      </c>
      <c r="D921" t="s">
        <v>118</v>
      </c>
      <c r="E921" t="s">
        <v>16</v>
      </c>
      <c r="F921" t="s">
        <v>35</v>
      </c>
      <c r="G921" t="s">
        <v>23</v>
      </c>
      <c r="H921" t="s">
        <v>19</v>
      </c>
      <c r="I921" t="s">
        <v>20</v>
      </c>
      <c r="J921" s="2">
        <v>120</v>
      </c>
    </row>
    <row r="922" spans="1:12" ht="19.95" customHeight="1">
      <c r="A922" t="s">
        <v>1009</v>
      </c>
      <c r="B922" t="s">
        <v>946</v>
      </c>
      <c r="C922" t="s">
        <v>105</v>
      </c>
      <c r="D922" t="s">
        <v>120</v>
      </c>
      <c r="E922" t="s">
        <v>16</v>
      </c>
      <c r="F922" t="s">
        <v>17</v>
      </c>
      <c r="G922" t="s">
        <v>18</v>
      </c>
      <c r="H922" t="s">
        <v>19</v>
      </c>
      <c r="I922" t="s">
        <v>20</v>
      </c>
      <c r="J922" s="2">
        <v>200</v>
      </c>
    </row>
    <row r="923" spans="1:12" ht="19.95" customHeight="1">
      <c r="A923" t="s">
        <v>1010</v>
      </c>
      <c r="B923" t="s">
        <v>946</v>
      </c>
      <c r="C923" t="s">
        <v>105</v>
      </c>
      <c r="D923" t="s">
        <v>265</v>
      </c>
      <c r="E923" t="s">
        <v>16</v>
      </c>
      <c r="F923" t="s">
        <v>17</v>
      </c>
      <c r="G923" t="s">
        <v>32</v>
      </c>
      <c r="H923" t="s">
        <v>19</v>
      </c>
      <c r="I923" t="s">
        <v>20</v>
      </c>
      <c r="J923" s="2">
        <v>300</v>
      </c>
    </row>
    <row r="924" spans="1:12" ht="19.95" customHeight="1">
      <c r="A924" t="s">
        <v>1011</v>
      </c>
      <c r="B924" t="s">
        <v>946</v>
      </c>
      <c r="C924" t="s">
        <v>105</v>
      </c>
      <c r="D924" t="s">
        <v>106</v>
      </c>
      <c r="E924" t="s">
        <v>16</v>
      </c>
      <c r="F924" t="s">
        <v>17</v>
      </c>
      <c r="G924" t="s">
        <v>18</v>
      </c>
      <c r="H924" t="s">
        <v>19</v>
      </c>
      <c r="I924" t="s">
        <v>20</v>
      </c>
      <c r="J924" s="2">
        <v>200</v>
      </c>
    </row>
    <row r="925" spans="1:12" ht="19.95" customHeight="1">
      <c r="A925" t="s">
        <v>1012</v>
      </c>
      <c r="B925" t="s">
        <v>1013</v>
      </c>
      <c r="C925" t="s">
        <v>14</v>
      </c>
      <c r="D925" t="s">
        <v>34</v>
      </c>
      <c r="E925" t="s">
        <v>16</v>
      </c>
      <c r="F925" t="s">
        <v>17</v>
      </c>
      <c r="G925" t="s">
        <v>32</v>
      </c>
      <c r="H925" t="s">
        <v>19</v>
      </c>
      <c r="I925" t="s">
        <v>20</v>
      </c>
      <c r="J925" s="2">
        <v>300</v>
      </c>
    </row>
    <row r="926" spans="1:12" ht="19.95" customHeight="1">
      <c r="A926" t="s">
        <v>1014</v>
      </c>
      <c r="B926" t="s">
        <v>1013</v>
      </c>
      <c r="C926" t="s">
        <v>14</v>
      </c>
      <c r="D926" t="s">
        <v>42</v>
      </c>
      <c r="E926" t="s">
        <v>16</v>
      </c>
      <c r="F926" t="s">
        <v>17</v>
      </c>
      <c r="G926" t="s">
        <v>32</v>
      </c>
      <c r="H926" t="s">
        <v>19</v>
      </c>
      <c r="I926" t="s">
        <v>20</v>
      </c>
      <c r="J926" s="2">
        <v>300</v>
      </c>
    </row>
    <row r="927" spans="1:12" ht="19.95" customHeight="1">
      <c r="A927" t="s">
        <v>1015</v>
      </c>
      <c r="B927" t="s">
        <v>1013</v>
      </c>
      <c r="C927" t="s">
        <v>14</v>
      </c>
      <c r="D927" t="s">
        <v>131</v>
      </c>
      <c r="E927" t="s">
        <v>16</v>
      </c>
      <c r="F927" t="s">
        <v>17</v>
      </c>
      <c r="G927" t="s">
        <v>32</v>
      </c>
      <c r="H927" t="s">
        <v>19</v>
      </c>
      <c r="I927" t="s">
        <v>20</v>
      </c>
      <c r="J927" s="2">
        <v>300</v>
      </c>
    </row>
    <row r="928" spans="1:12" ht="19.95" customHeight="1">
      <c r="A928" t="s">
        <v>1016</v>
      </c>
      <c r="B928" t="s">
        <v>1013</v>
      </c>
      <c r="C928" t="s">
        <v>14</v>
      </c>
      <c r="D928" t="s">
        <v>31</v>
      </c>
      <c r="E928" t="s">
        <v>16</v>
      </c>
      <c r="F928" t="s">
        <v>17</v>
      </c>
      <c r="G928" t="s">
        <v>23</v>
      </c>
      <c r="H928" t="s">
        <v>19</v>
      </c>
      <c r="I928" t="s">
        <v>20</v>
      </c>
      <c r="J928" s="2">
        <v>120</v>
      </c>
    </row>
    <row r="929" spans="1:12" ht="19.95" customHeight="1">
      <c r="A929" t="s">
        <v>1017</v>
      </c>
      <c r="B929" t="s">
        <v>1013</v>
      </c>
      <c r="C929" t="s">
        <v>14</v>
      </c>
      <c r="D929" t="s">
        <v>131</v>
      </c>
      <c r="E929" t="s">
        <v>16</v>
      </c>
      <c r="F929" t="s">
        <v>17</v>
      </c>
      <c r="G929" t="s">
        <v>23</v>
      </c>
      <c r="H929" t="s">
        <v>19</v>
      </c>
      <c r="I929" t="s">
        <v>53</v>
      </c>
      <c r="J929" s="2">
        <v>120</v>
      </c>
    </row>
    <row r="930" spans="1:12" ht="19.95" customHeight="1">
      <c r="A930" t="s">
        <v>1018</v>
      </c>
      <c r="B930" t="s">
        <v>1013</v>
      </c>
      <c r="C930" t="s">
        <v>14</v>
      </c>
      <c r="D930" t="s">
        <v>34</v>
      </c>
      <c r="E930" t="s">
        <v>16</v>
      </c>
      <c r="F930" t="s">
        <v>17</v>
      </c>
      <c r="G930" t="s">
        <v>23</v>
      </c>
      <c r="H930" t="s">
        <v>19</v>
      </c>
      <c r="I930" t="s">
        <v>20</v>
      </c>
      <c r="J930" s="2">
        <v>120</v>
      </c>
    </row>
    <row r="931" spans="1:12" ht="19.95" customHeight="1">
      <c r="A931" t="s">
        <v>1019</v>
      </c>
      <c r="B931" t="s">
        <v>1013</v>
      </c>
      <c r="C931" t="s">
        <v>14</v>
      </c>
      <c r="D931" t="s">
        <v>37</v>
      </c>
      <c r="E931" t="s">
        <v>16</v>
      </c>
      <c r="F931" t="s">
        <v>17</v>
      </c>
      <c r="G931" t="s">
        <v>18</v>
      </c>
      <c r="H931" t="s">
        <v>19</v>
      </c>
      <c r="I931" t="s">
        <v>20</v>
      </c>
      <c r="J931" s="2">
        <v>200</v>
      </c>
    </row>
    <row r="932" spans="1:12" ht="19.95" customHeight="1">
      <c r="A932" t="s">
        <v>1020</v>
      </c>
      <c r="B932" t="s">
        <v>1013</v>
      </c>
      <c r="C932" t="s">
        <v>14</v>
      </c>
      <c r="D932" t="s">
        <v>131</v>
      </c>
      <c r="E932" t="s">
        <v>16</v>
      </c>
      <c r="F932" t="s">
        <v>17</v>
      </c>
      <c r="G932" t="s">
        <v>32</v>
      </c>
      <c r="H932" t="s">
        <v>19</v>
      </c>
      <c r="I932" t="s">
        <v>20</v>
      </c>
      <c r="J932" s="2">
        <v>300</v>
      </c>
    </row>
    <row r="933" spans="1:12" ht="19.95" customHeight="1">
      <c r="A933" t="s">
        <v>1021</v>
      </c>
      <c r="B933" t="s">
        <v>1013</v>
      </c>
      <c r="C933" t="s">
        <v>14</v>
      </c>
      <c r="D933" t="s">
        <v>210</v>
      </c>
      <c r="E933" t="s">
        <v>16</v>
      </c>
      <c r="F933" t="s">
        <v>17</v>
      </c>
      <c r="G933" t="s">
        <v>18</v>
      </c>
      <c r="H933" t="s">
        <v>24</v>
      </c>
      <c r="I933" t="s">
        <v>20</v>
      </c>
      <c r="J933" s="2">
        <v>170</v>
      </c>
      <c r="L933" t="s">
        <v>29</v>
      </c>
    </row>
    <row r="934" spans="1:12" ht="19.95" customHeight="1">
      <c r="A934" t="s">
        <v>1022</v>
      </c>
      <c r="B934" t="s">
        <v>1013</v>
      </c>
      <c r="C934" t="s">
        <v>14</v>
      </c>
      <c r="D934" t="s">
        <v>26</v>
      </c>
      <c r="E934" t="s">
        <v>16</v>
      </c>
      <c r="F934" t="s">
        <v>17</v>
      </c>
      <c r="G934" t="s">
        <v>32</v>
      </c>
      <c r="H934" t="s">
        <v>19</v>
      </c>
      <c r="I934" t="s">
        <v>20</v>
      </c>
      <c r="J934" s="2">
        <v>300</v>
      </c>
    </row>
    <row r="935" spans="1:12" ht="19.95" customHeight="1">
      <c r="A935" t="s">
        <v>1023</v>
      </c>
      <c r="B935" t="s">
        <v>1013</v>
      </c>
      <c r="C935" t="s">
        <v>14</v>
      </c>
      <c r="D935" t="s">
        <v>37</v>
      </c>
      <c r="E935" t="s">
        <v>16</v>
      </c>
      <c r="F935" t="s">
        <v>35</v>
      </c>
      <c r="G935" t="s">
        <v>23</v>
      </c>
      <c r="H935" t="s">
        <v>19</v>
      </c>
      <c r="I935" t="s">
        <v>20</v>
      </c>
      <c r="J935" s="2">
        <v>90</v>
      </c>
      <c r="L935" t="s">
        <v>29</v>
      </c>
    </row>
    <row r="936" spans="1:12" ht="19.95" customHeight="1">
      <c r="A936" t="s">
        <v>1024</v>
      </c>
      <c r="B936" t="s">
        <v>1013</v>
      </c>
      <c r="C936" t="s">
        <v>14</v>
      </c>
      <c r="D936" t="s">
        <v>26</v>
      </c>
      <c r="E936" t="s">
        <v>16</v>
      </c>
      <c r="F936" t="s">
        <v>17</v>
      </c>
      <c r="G936" t="s">
        <v>23</v>
      </c>
      <c r="H936" t="s">
        <v>19</v>
      </c>
      <c r="I936" t="s">
        <v>20</v>
      </c>
      <c r="J936" s="2">
        <v>120</v>
      </c>
    </row>
    <row r="937" spans="1:12" ht="19.95" customHeight="1">
      <c r="A937" t="s">
        <v>1025</v>
      </c>
      <c r="B937" t="s">
        <v>1013</v>
      </c>
      <c r="C937" t="s">
        <v>14</v>
      </c>
      <c r="D937" t="s">
        <v>42</v>
      </c>
      <c r="E937" t="s">
        <v>16</v>
      </c>
      <c r="F937" t="s">
        <v>17</v>
      </c>
      <c r="G937" t="s">
        <v>32</v>
      </c>
      <c r="H937" t="s">
        <v>19</v>
      </c>
      <c r="I937" t="s">
        <v>20</v>
      </c>
      <c r="J937" s="2">
        <v>300</v>
      </c>
    </row>
    <row r="938" spans="1:12" ht="19.95" customHeight="1">
      <c r="A938" t="s">
        <v>1026</v>
      </c>
      <c r="B938" t="s">
        <v>1013</v>
      </c>
      <c r="C938" t="s">
        <v>14</v>
      </c>
      <c r="D938" t="s">
        <v>137</v>
      </c>
      <c r="E938" t="s">
        <v>16</v>
      </c>
      <c r="F938" t="s">
        <v>17</v>
      </c>
      <c r="G938" t="s">
        <v>18</v>
      </c>
      <c r="H938" t="s">
        <v>19</v>
      </c>
      <c r="I938" t="s">
        <v>20</v>
      </c>
      <c r="J938" s="2">
        <v>200</v>
      </c>
    </row>
    <row r="939" spans="1:12" ht="19.95" customHeight="1">
      <c r="A939" t="s">
        <v>1027</v>
      </c>
      <c r="B939" t="s">
        <v>1013</v>
      </c>
      <c r="C939" t="s">
        <v>14</v>
      </c>
      <c r="D939" t="s">
        <v>22</v>
      </c>
      <c r="E939" t="s">
        <v>16</v>
      </c>
      <c r="F939" t="s">
        <v>17</v>
      </c>
      <c r="G939" t="s">
        <v>23</v>
      </c>
      <c r="H939" t="s">
        <v>19</v>
      </c>
      <c r="I939" t="s">
        <v>20</v>
      </c>
      <c r="J939" s="2">
        <v>120</v>
      </c>
    </row>
    <row r="940" spans="1:12" ht="19.95" customHeight="1">
      <c r="A940" t="s">
        <v>1028</v>
      </c>
      <c r="B940" t="s">
        <v>1013</v>
      </c>
      <c r="C940" t="s">
        <v>14</v>
      </c>
      <c r="D940" t="s">
        <v>131</v>
      </c>
      <c r="E940" t="s">
        <v>16</v>
      </c>
      <c r="F940" t="s">
        <v>17</v>
      </c>
      <c r="G940" t="s">
        <v>23</v>
      </c>
      <c r="H940" t="s">
        <v>19</v>
      </c>
      <c r="I940" t="s">
        <v>20</v>
      </c>
      <c r="J940" s="2">
        <v>102</v>
      </c>
      <c r="L940" t="s">
        <v>29</v>
      </c>
    </row>
    <row r="941" spans="1:12" ht="19.95" customHeight="1">
      <c r="A941" t="s">
        <v>1029</v>
      </c>
      <c r="B941" t="s">
        <v>1013</v>
      </c>
      <c r="C941" t="s">
        <v>47</v>
      </c>
      <c r="D941" t="s">
        <v>71</v>
      </c>
      <c r="E941" t="s">
        <v>16</v>
      </c>
      <c r="F941" t="s">
        <v>17</v>
      </c>
      <c r="G941" t="s">
        <v>18</v>
      </c>
      <c r="H941" t="s">
        <v>19</v>
      </c>
      <c r="I941" t="s">
        <v>20</v>
      </c>
      <c r="J941" s="2">
        <v>170</v>
      </c>
      <c r="L941" t="s">
        <v>29</v>
      </c>
    </row>
    <row r="942" spans="1:12" ht="19.95" customHeight="1">
      <c r="A942" t="s">
        <v>1030</v>
      </c>
      <c r="B942" t="s">
        <v>1013</v>
      </c>
      <c r="C942" t="s">
        <v>47</v>
      </c>
      <c r="D942" t="s">
        <v>152</v>
      </c>
      <c r="E942" t="s">
        <v>16</v>
      </c>
      <c r="F942" t="s">
        <v>17</v>
      </c>
      <c r="G942" t="s">
        <v>23</v>
      </c>
      <c r="H942" t="s">
        <v>19</v>
      </c>
      <c r="I942" t="s">
        <v>20</v>
      </c>
      <c r="J942" s="2">
        <v>120</v>
      </c>
    </row>
    <row r="943" spans="1:12" ht="19.95" customHeight="1">
      <c r="A943" t="s">
        <v>1031</v>
      </c>
      <c r="B943" t="s">
        <v>1013</v>
      </c>
      <c r="C943" t="s">
        <v>47</v>
      </c>
      <c r="D943" t="s">
        <v>55</v>
      </c>
      <c r="E943" t="s">
        <v>16</v>
      </c>
      <c r="F943" t="s">
        <v>17</v>
      </c>
      <c r="G943" t="s">
        <v>32</v>
      </c>
      <c r="H943" t="s">
        <v>19</v>
      </c>
      <c r="I943" t="s">
        <v>53</v>
      </c>
      <c r="J943" s="2">
        <v>300</v>
      </c>
    </row>
    <row r="944" spans="1:12" ht="19.95" customHeight="1">
      <c r="A944" t="s">
        <v>1032</v>
      </c>
      <c r="B944" t="s">
        <v>1013</v>
      </c>
      <c r="C944" t="s">
        <v>47</v>
      </c>
      <c r="D944" t="s">
        <v>64</v>
      </c>
      <c r="E944" t="s">
        <v>16</v>
      </c>
      <c r="F944" t="s">
        <v>35</v>
      </c>
      <c r="G944" t="s">
        <v>23</v>
      </c>
      <c r="H944" t="s">
        <v>19</v>
      </c>
      <c r="I944" t="s">
        <v>20</v>
      </c>
      <c r="J944" s="2">
        <v>120</v>
      </c>
    </row>
    <row r="945" spans="1:12" ht="19.95" customHeight="1">
      <c r="A945" t="s">
        <v>1033</v>
      </c>
      <c r="B945" t="s">
        <v>1013</v>
      </c>
      <c r="C945" t="s">
        <v>47</v>
      </c>
      <c r="D945" t="s">
        <v>55</v>
      </c>
      <c r="E945" t="s">
        <v>16</v>
      </c>
      <c r="F945" t="s">
        <v>17</v>
      </c>
      <c r="G945" t="s">
        <v>23</v>
      </c>
      <c r="H945" t="s">
        <v>19</v>
      </c>
      <c r="I945" t="s">
        <v>20</v>
      </c>
      <c r="J945" s="2">
        <v>120</v>
      </c>
    </row>
    <row r="946" spans="1:12" ht="19.95" customHeight="1">
      <c r="A946" t="s">
        <v>1034</v>
      </c>
      <c r="B946" t="s">
        <v>1013</v>
      </c>
      <c r="C946" t="s">
        <v>47</v>
      </c>
      <c r="D946" t="s">
        <v>62</v>
      </c>
      <c r="E946" t="s">
        <v>16</v>
      </c>
      <c r="F946" t="s">
        <v>17</v>
      </c>
      <c r="G946" t="s">
        <v>32</v>
      </c>
      <c r="H946" t="s">
        <v>19</v>
      </c>
      <c r="I946" t="s">
        <v>20</v>
      </c>
      <c r="J946" s="2">
        <v>300</v>
      </c>
    </row>
    <row r="947" spans="1:12" ht="19.95" customHeight="1">
      <c r="A947" t="s">
        <v>1035</v>
      </c>
      <c r="B947" t="s">
        <v>1013</v>
      </c>
      <c r="C947" t="s">
        <v>47</v>
      </c>
      <c r="D947" t="s">
        <v>73</v>
      </c>
      <c r="E947" t="s">
        <v>16</v>
      </c>
      <c r="F947" t="s">
        <v>17</v>
      </c>
      <c r="G947" t="s">
        <v>18</v>
      </c>
      <c r="H947" t="s">
        <v>19</v>
      </c>
      <c r="I947" t="s">
        <v>20</v>
      </c>
      <c r="J947" s="2">
        <v>170</v>
      </c>
      <c r="L947" t="s">
        <v>29</v>
      </c>
    </row>
    <row r="948" spans="1:12" ht="19.95" customHeight="1">
      <c r="A948" t="s">
        <v>1036</v>
      </c>
      <c r="B948" t="s">
        <v>1013</v>
      </c>
      <c r="C948" t="s">
        <v>47</v>
      </c>
      <c r="D948" t="s">
        <v>50</v>
      </c>
      <c r="E948" t="s">
        <v>16</v>
      </c>
      <c r="F948" t="s">
        <v>17</v>
      </c>
      <c r="G948" t="s">
        <v>18</v>
      </c>
      <c r="H948" t="s">
        <v>19</v>
      </c>
      <c r="I948" t="s">
        <v>74</v>
      </c>
      <c r="J948" s="2">
        <v>150</v>
      </c>
      <c r="L948" t="s">
        <v>29</v>
      </c>
    </row>
    <row r="949" spans="1:12" ht="19.95" customHeight="1">
      <c r="A949" t="s">
        <v>1037</v>
      </c>
      <c r="B949" t="s">
        <v>1013</v>
      </c>
      <c r="C949" t="s">
        <v>47</v>
      </c>
      <c r="D949" t="s">
        <v>50</v>
      </c>
      <c r="E949" t="s">
        <v>16</v>
      </c>
      <c r="F949" t="s">
        <v>17</v>
      </c>
      <c r="G949" t="s">
        <v>32</v>
      </c>
      <c r="H949" t="s">
        <v>19</v>
      </c>
      <c r="I949" t="s">
        <v>74</v>
      </c>
      <c r="J949" s="2">
        <v>300</v>
      </c>
    </row>
    <row r="950" spans="1:12" ht="19.95" customHeight="1">
      <c r="A950" t="s">
        <v>1038</v>
      </c>
      <c r="B950" t="s">
        <v>1013</v>
      </c>
      <c r="C950" t="s">
        <v>47</v>
      </c>
      <c r="D950" t="s">
        <v>59</v>
      </c>
      <c r="E950" t="s">
        <v>16</v>
      </c>
      <c r="F950" t="s">
        <v>17</v>
      </c>
      <c r="G950" t="s">
        <v>18</v>
      </c>
      <c r="H950" t="s">
        <v>19</v>
      </c>
      <c r="I950" t="s">
        <v>20</v>
      </c>
      <c r="J950" s="2">
        <v>200</v>
      </c>
    </row>
    <row r="951" spans="1:12" ht="19.95" customHeight="1">
      <c r="A951" t="s">
        <v>1039</v>
      </c>
      <c r="B951" t="s">
        <v>1013</v>
      </c>
      <c r="C951" t="s">
        <v>47</v>
      </c>
      <c r="D951" t="s">
        <v>48</v>
      </c>
      <c r="E951" t="s">
        <v>16</v>
      </c>
      <c r="F951" t="s">
        <v>17</v>
      </c>
      <c r="G951" t="s">
        <v>32</v>
      </c>
      <c r="H951" t="s">
        <v>19</v>
      </c>
      <c r="I951" t="s">
        <v>20</v>
      </c>
      <c r="J951" s="2">
        <v>300</v>
      </c>
    </row>
    <row r="952" spans="1:12" ht="19.95" customHeight="1">
      <c r="A952" t="s">
        <v>1040</v>
      </c>
      <c r="B952" t="s">
        <v>1013</v>
      </c>
      <c r="C952" t="s">
        <v>47</v>
      </c>
      <c r="D952" t="s">
        <v>71</v>
      </c>
      <c r="E952" t="s">
        <v>16</v>
      </c>
      <c r="F952" t="s">
        <v>17</v>
      </c>
      <c r="G952" t="s">
        <v>32</v>
      </c>
      <c r="H952" t="s">
        <v>19</v>
      </c>
      <c r="I952" t="s">
        <v>20</v>
      </c>
      <c r="J952" s="2">
        <v>300</v>
      </c>
    </row>
    <row r="953" spans="1:12" ht="19.95" customHeight="1">
      <c r="A953" t="s">
        <v>1041</v>
      </c>
      <c r="B953" t="s">
        <v>1013</v>
      </c>
      <c r="C953" t="s">
        <v>47</v>
      </c>
      <c r="D953" t="s">
        <v>59</v>
      </c>
      <c r="E953" t="s">
        <v>16</v>
      </c>
      <c r="F953" t="s">
        <v>17</v>
      </c>
      <c r="G953" t="s">
        <v>18</v>
      </c>
      <c r="H953" t="s">
        <v>19</v>
      </c>
      <c r="I953" t="s">
        <v>20</v>
      </c>
      <c r="J953" s="2">
        <v>200</v>
      </c>
    </row>
    <row r="954" spans="1:12" ht="19.95" customHeight="1">
      <c r="A954" t="s">
        <v>1042</v>
      </c>
      <c r="B954" t="s">
        <v>1013</v>
      </c>
      <c r="C954" t="s">
        <v>47</v>
      </c>
      <c r="D954" t="s">
        <v>48</v>
      </c>
      <c r="E954" t="s">
        <v>16</v>
      </c>
      <c r="F954" t="s">
        <v>17</v>
      </c>
      <c r="G954" t="s">
        <v>32</v>
      </c>
      <c r="H954" t="s">
        <v>24</v>
      </c>
      <c r="I954" t="s">
        <v>20</v>
      </c>
      <c r="J954" s="2">
        <v>225</v>
      </c>
      <c r="L954" t="s">
        <v>29</v>
      </c>
    </row>
    <row r="955" spans="1:12" ht="19.95" customHeight="1">
      <c r="A955" t="s">
        <v>1043</v>
      </c>
      <c r="B955" t="s">
        <v>1013</v>
      </c>
      <c r="C955" t="s">
        <v>47</v>
      </c>
      <c r="D955" t="s">
        <v>66</v>
      </c>
      <c r="E955" t="s">
        <v>16</v>
      </c>
      <c r="F955" t="s">
        <v>35</v>
      </c>
      <c r="G955" t="s">
        <v>18</v>
      </c>
      <c r="H955" t="s">
        <v>19</v>
      </c>
      <c r="I955" t="s">
        <v>20</v>
      </c>
      <c r="J955" s="2">
        <v>200</v>
      </c>
    </row>
    <row r="956" spans="1:12" ht="19.95" customHeight="1">
      <c r="A956" t="s">
        <v>1044</v>
      </c>
      <c r="B956" t="s">
        <v>1013</v>
      </c>
      <c r="C956" t="s">
        <v>47</v>
      </c>
      <c r="D956" t="s">
        <v>66</v>
      </c>
      <c r="E956" t="s">
        <v>16</v>
      </c>
      <c r="F956" t="s">
        <v>17</v>
      </c>
      <c r="G956" t="s">
        <v>18</v>
      </c>
      <c r="H956" t="s">
        <v>19</v>
      </c>
      <c r="I956" t="s">
        <v>20</v>
      </c>
      <c r="J956" s="2">
        <v>170</v>
      </c>
      <c r="L956" t="s">
        <v>29</v>
      </c>
    </row>
    <row r="957" spans="1:12" ht="19.95" customHeight="1">
      <c r="A957" t="s">
        <v>1045</v>
      </c>
      <c r="B957" t="s">
        <v>1013</v>
      </c>
      <c r="C957" t="s">
        <v>78</v>
      </c>
      <c r="D957" t="s">
        <v>87</v>
      </c>
      <c r="E957" t="s">
        <v>16</v>
      </c>
      <c r="F957" t="s">
        <v>17</v>
      </c>
      <c r="G957" t="s">
        <v>32</v>
      </c>
      <c r="H957" t="s">
        <v>24</v>
      </c>
      <c r="I957" t="s">
        <v>20</v>
      </c>
      <c r="J957" s="2">
        <v>300</v>
      </c>
    </row>
    <row r="958" spans="1:12" ht="19.95" customHeight="1">
      <c r="A958" t="s">
        <v>1046</v>
      </c>
      <c r="B958" t="s">
        <v>1013</v>
      </c>
      <c r="C958" t="s">
        <v>78</v>
      </c>
      <c r="D958" t="s">
        <v>81</v>
      </c>
      <c r="E958" t="s">
        <v>16</v>
      </c>
      <c r="F958" t="s">
        <v>17</v>
      </c>
      <c r="G958" t="s">
        <v>32</v>
      </c>
      <c r="H958" t="s">
        <v>19</v>
      </c>
      <c r="I958" t="s">
        <v>20</v>
      </c>
      <c r="J958" s="2">
        <v>300</v>
      </c>
    </row>
    <row r="959" spans="1:12" ht="19.95" customHeight="1">
      <c r="A959" t="s">
        <v>1047</v>
      </c>
      <c r="B959" t="s">
        <v>1013</v>
      </c>
      <c r="C959" t="s">
        <v>78</v>
      </c>
      <c r="D959" t="s">
        <v>83</v>
      </c>
      <c r="E959" t="s">
        <v>16</v>
      </c>
      <c r="F959" t="s">
        <v>17</v>
      </c>
      <c r="G959" t="s">
        <v>23</v>
      </c>
      <c r="H959" t="s">
        <v>24</v>
      </c>
      <c r="I959" t="s">
        <v>20</v>
      </c>
      <c r="J959" s="2">
        <v>120</v>
      </c>
    </row>
    <row r="960" spans="1:12" ht="19.95" customHeight="1">
      <c r="A960" t="s">
        <v>1048</v>
      </c>
      <c r="B960" t="s">
        <v>1013</v>
      </c>
      <c r="C960" t="s">
        <v>78</v>
      </c>
      <c r="D960" t="s">
        <v>161</v>
      </c>
      <c r="E960" t="s">
        <v>16</v>
      </c>
      <c r="F960" t="s">
        <v>17</v>
      </c>
      <c r="G960" t="s">
        <v>23</v>
      </c>
      <c r="H960" t="s">
        <v>19</v>
      </c>
      <c r="I960" t="s">
        <v>20</v>
      </c>
      <c r="J960" s="2">
        <v>102</v>
      </c>
      <c r="L960" t="s">
        <v>29</v>
      </c>
    </row>
    <row r="961" spans="1:12" ht="19.95" customHeight="1">
      <c r="A961" t="s">
        <v>1049</v>
      </c>
      <c r="B961" t="s">
        <v>1013</v>
      </c>
      <c r="C961" t="s">
        <v>78</v>
      </c>
      <c r="D961" t="s">
        <v>89</v>
      </c>
      <c r="E961" t="s">
        <v>16</v>
      </c>
      <c r="F961" t="s">
        <v>17</v>
      </c>
      <c r="G961" t="s">
        <v>18</v>
      </c>
      <c r="H961" t="s">
        <v>19</v>
      </c>
      <c r="I961" t="s">
        <v>20</v>
      </c>
      <c r="J961" s="2">
        <v>170</v>
      </c>
      <c r="L961" t="s">
        <v>29</v>
      </c>
    </row>
    <row r="962" spans="1:12" ht="19.95" customHeight="1">
      <c r="A962" t="s">
        <v>1050</v>
      </c>
      <c r="B962" t="s">
        <v>1013</v>
      </c>
      <c r="C962" t="s">
        <v>78</v>
      </c>
      <c r="D962" t="s">
        <v>161</v>
      </c>
      <c r="E962" t="s">
        <v>16</v>
      </c>
      <c r="F962" t="s">
        <v>35</v>
      </c>
      <c r="G962" t="s">
        <v>32</v>
      </c>
      <c r="H962" t="s">
        <v>19</v>
      </c>
      <c r="I962" t="s">
        <v>20</v>
      </c>
      <c r="J962" s="2">
        <v>300</v>
      </c>
    </row>
    <row r="963" spans="1:12" ht="19.95" customHeight="1">
      <c r="A963" t="s">
        <v>1051</v>
      </c>
      <c r="B963" t="s">
        <v>1013</v>
      </c>
      <c r="C963" t="s">
        <v>78</v>
      </c>
      <c r="D963" t="s">
        <v>163</v>
      </c>
      <c r="E963" t="s">
        <v>16</v>
      </c>
      <c r="F963" t="s">
        <v>17</v>
      </c>
      <c r="G963" t="s">
        <v>18</v>
      </c>
      <c r="H963" t="s">
        <v>24</v>
      </c>
      <c r="I963" t="s">
        <v>74</v>
      </c>
      <c r="J963" s="2">
        <v>200</v>
      </c>
    </row>
    <row r="964" spans="1:12" ht="19.95" customHeight="1">
      <c r="A964" t="s">
        <v>1052</v>
      </c>
      <c r="B964" t="s">
        <v>1013</v>
      </c>
      <c r="C964" t="s">
        <v>78</v>
      </c>
      <c r="D964" t="s">
        <v>79</v>
      </c>
      <c r="E964" t="s">
        <v>16</v>
      </c>
      <c r="F964" t="s">
        <v>17</v>
      </c>
      <c r="G964" t="s">
        <v>23</v>
      </c>
      <c r="H964" t="s">
        <v>19</v>
      </c>
      <c r="I964" t="s">
        <v>20</v>
      </c>
      <c r="J964" s="2">
        <v>120</v>
      </c>
    </row>
    <row r="965" spans="1:12" ht="19.95" customHeight="1">
      <c r="A965" t="s">
        <v>1053</v>
      </c>
      <c r="B965" t="s">
        <v>1013</v>
      </c>
      <c r="C965" t="s">
        <v>78</v>
      </c>
      <c r="D965" t="s">
        <v>83</v>
      </c>
      <c r="E965" t="s">
        <v>16</v>
      </c>
      <c r="F965" t="s">
        <v>17</v>
      </c>
      <c r="G965" t="s">
        <v>23</v>
      </c>
      <c r="H965" t="s">
        <v>19</v>
      </c>
      <c r="I965" t="s">
        <v>20</v>
      </c>
      <c r="J965" s="2">
        <v>120</v>
      </c>
    </row>
    <row r="966" spans="1:12" ht="19.95" customHeight="1">
      <c r="A966" t="s">
        <v>1054</v>
      </c>
      <c r="B966" t="s">
        <v>1013</v>
      </c>
      <c r="C966" t="s">
        <v>78</v>
      </c>
      <c r="D966" t="s">
        <v>79</v>
      </c>
      <c r="E966" t="s">
        <v>16</v>
      </c>
      <c r="F966" t="s">
        <v>35</v>
      </c>
      <c r="G966" t="s">
        <v>18</v>
      </c>
      <c r="H966" t="s">
        <v>19</v>
      </c>
      <c r="I966" t="s">
        <v>20</v>
      </c>
      <c r="J966" s="2">
        <v>200</v>
      </c>
    </row>
    <row r="967" spans="1:12" ht="19.95" customHeight="1">
      <c r="A967" t="s">
        <v>1055</v>
      </c>
      <c r="B967" t="s">
        <v>1013</v>
      </c>
      <c r="C967" t="s">
        <v>78</v>
      </c>
      <c r="D967" t="s">
        <v>89</v>
      </c>
      <c r="E967" t="s">
        <v>16</v>
      </c>
      <c r="F967" t="s">
        <v>17</v>
      </c>
      <c r="G967" t="s">
        <v>32</v>
      </c>
      <c r="H967" t="s">
        <v>19</v>
      </c>
      <c r="I967" t="s">
        <v>20</v>
      </c>
      <c r="J967" s="2">
        <v>300</v>
      </c>
    </row>
    <row r="968" spans="1:12" ht="19.95" customHeight="1">
      <c r="A968" t="s">
        <v>1056</v>
      </c>
      <c r="B968" t="s">
        <v>1013</v>
      </c>
      <c r="C968" t="s">
        <v>78</v>
      </c>
      <c r="D968" t="s">
        <v>102</v>
      </c>
      <c r="E968" t="s">
        <v>16</v>
      </c>
      <c r="F968" t="s">
        <v>17</v>
      </c>
      <c r="G968" t="s">
        <v>32</v>
      </c>
      <c r="H968" t="s">
        <v>19</v>
      </c>
      <c r="I968" t="s">
        <v>20</v>
      </c>
      <c r="J968" s="2">
        <v>300</v>
      </c>
    </row>
    <row r="969" spans="1:12" ht="19.95" customHeight="1">
      <c r="A969" t="s">
        <v>1057</v>
      </c>
      <c r="B969" t="s">
        <v>1013</v>
      </c>
      <c r="C969" t="s">
        <v>78</v>
      </c>
      <c r="D969" t="s">
        <v>89</v>
      </c>
      <c r="E969" t="s">
        <v>16</v>
      </c>
      <c r="F969" t="s">
        <v>17</v>
      </c>
      <c r="G969" t="s">
        <v>32</v>
      </c>
      <c r="H969" t="s">
        <v>19</v>
      </c>
      <c r="I969" t="s">
        <v>20</v>
      </c>
      <c r="J969" s="2">
        <v>300</v>
      </c>
    </row>
    <row r="970" spans="1:12" ht="19.95" customHeight="1">
      <c r="A970" t="s">
        <v>1058</v>
      </c>
      <c r="B970" t="s">
        <v>1013</v>
      </c>
      <c r="C970" t="s">
        <v>78</v>
      </c>
      <c r="D970" t="s">
        <v>163</v>
      </c>
      <c r="E970" t="s">
        <v>16</v>
      </c>
      <c r="F970" t="s">
        <v>17</v>
      </c>
      <c r="G970" t="s">
        <v>32</v>
      </c>
      <c r="H970" t="s">
        <v>24</v>
      </c>
      <c r="I970" t="s">
        <v>20</v>
      </c>
      <c r="J970" s="2">
        <v>300</v>
      </c>
    </row>
    <row r="971" spans="1:12" ht="19.95" customHeight="1">
      <c r="A971" t="s">
        <v>1059</v>
      </c>
      <c r="B971" t="s">
        <v>1013</v>
      </c>
      <c r="C971" t="s">
        <v>78</v>
      </c>
      <c r="D971" t="s">
        <v>87</v>
      </c>
      <c r="E971" t="s">
        <v>16</v>
      </c>
      <c r="F971" t="s">
        <v>17</v>
      </c>
      <c r="G971" t="s">
        <v>23</v>
      </c>
      <c r="H971" t="s">
        <v>19</v>
      </c>
      <c r="I971" t="s">
        <v>20</v>
      </c>
      <c r="J971" s="2">
        <v>120</v>
      </c>
    </row>
    <row r="972" spans="1:12" ht="19.95" customHeight="1">
      <c r="A972" t="s">
        <v>1060</v>
      </c>
      <c r="B972" t="s">
        <v>1013</v>
      </c>
      <c r="C972" t="s">
        <v>105</v>
      </c>
      <c r="D972" t="s">
        <v>265</v>
      </c>
      <c r="E972" t="s">
        <v>16</v>
      </c>
      <c r="F972" t="s">
        <v>17</v>
      </c>
      <c r="G972" t="s">
        <v>32</v>
      </c>
      <c r="H972" t="s">
        <v>19</v>
      </c>
      <c r="I972" t="s">
        <v>20</v>
      </c>
      <c r="J972" s="2">
        <v>300</v>
      </c>
    </row>
    <row r="973" spans="1:12" ht="19.95" customHeight="1">
      <c r="A973" t="s">
        <v>1061</v>
      </c>
      <c r="B973" t="s">
        <v>1013</v>
      </c>
      <c r="C973" t="s">
        <v>105</v>
      </c>
      <c r="D973" t="s">
        <v>108</v>
      </c>
      <c r="E973" t="s">
        <v>16</v>
      </c>
      <c r="F973" t="s">
        <v>17</v>
      </c>
      <c r="G973" t="s">
        <v>23</v>
      </c>
      <c r="H973" t="s">
        <v>19</v>
      </c>
      <c r="I973" t="s">
        <v>53</v>
      </c>
      <c r="J973" s="2">
        <v>120</v>
      </c>
    </row>
    <row r="974" spans="1:12" ht="19.95" customHeight="1">
      <c r="A974" t="s">
        <v>1062</v>
      </c>
      <c r="B974" t="s">
        <v>1013</v>
      </c>
      <c r="C974" t="s">
        <v>105</v>
      </c>
      <c r="D974" t="s">
        <v>118</v>
      </c>
      <c r="E974" t="s">
        <v>16</v>
      </c>
      <c r="F974" t="s">
        <v>17</v>
      </c>
      <c r="G974" t="s">
        <v>23</v>
      </c>
      <c r="H974" t="s">
        <v>19</v>
      </c>
      <c r="I974" t="s">
        <v>20</v>
      </c>
      <c r="J974" s="2">
        <v>120</v>
      </c>
    </row>
    <row r="975" spans="1:12" ht="19.95" customHeight="1">
      <c r="A975" t="s">
        <v>1063</v>
      </c>
      <c r="B975" t="s">
        <v>1013</v>
      </c>
      <c r="C975" t="s">
        <v>105</v>
      </c>
      <c r="D975" t="s">
        <v>120</v>
      </c>
      <c r="E975" t="s">
        <v>16</v>
      </c>
      <c r="F975" t="s">
        <v>17</v>
      </c>
      <c r="G975" t="s">
        <v>23</v>
      </c>
      <c r="H975" t="s">
        <v>24</v>
      </c>
      <c r="I975" t="s">
        <v>20</v>
      </c>
      <c r="J975" s="2">
        <v>102</v>
      </c>
      <c r="L975" t="s">
        <v>29</v>
      </c>
    </row>
    <row r="976" spans="1:12" ht="19.95" customHeight="1">
      <c r="A976" t="s">
        <v>1064</v>
      </c>
      <c r="B976" t="s">
        <v>1013</v>
      </c>
      <c r="C976" t="s">
        <v>105</v>
      </c>
      <c r="D976" t="s">
        <v>112</v>
      </c>
      <c r="E976" t="s">
        <v>16</v>
      </c>
      <c r="F976" t="s">
        <v>17</v>
      </c>
      <c r="G976" t="s">
        <v>23</v>
      </c>
      <c r="H976" t="s">
        <v>19</v>
      </c>
      <c r="I976" t="s">
        <v>20</v>
      </c>
      <c r="J976" s="2">
        <v>120</v>
      </c>
    </row>
    <row r="977" spans="1:12" ht="19.95" customHeight="1">
      <c r="A977" t="s">
        <v>1065</v>
      </c>
      <c r="B977" t="s">
        <v>1013</v>
      </c>
      <c r="C977" t="s">
        <v>105</v>
      </c>
      <c r="D977" t="s">
        <v>182</v>
      </c>
      <c r="E977" t="s">
        <v>16</v>
      </c>
      <c r="F977" t="s">
        <v>35</v>
      </c>
      <c r="G977" t="s">
        <v>32</v>
      </c>
      <c r="H977" t="s">
        <v>19</v>
      </c>
      <c r="I977" t="s">
        <v>20</v>
      </c>
      <c r="J977" s="2">
        <v>300</v>
      </c>
    </row>
    <row r="978" spans="1:12" ht="19.95" customHeight="1">
      <c r="A978" t="s">
        <v>1066</v>
      </c>
      <c r="B978" t="s">
        <v>1013</v>
      </c>
      <c r="C978" t="s">
        <v>105</v>
      </c>
      <c r="D978" t="s">
        <v>194</v>
      </c>
      <c r="E978" t="s">
        <v>16</v>
      </c>
      <c r="F978" t="s">
        <v>35</v>
      </c>
      <c r="G978" t="s">
        <v>32</v>
      </c>
      <c r="H978" t="s">
        <v>19</v>
      </c>
      <c r="I978" t="s">
        <v>20</v>
      </c>
      <c r="J978" s="2">
        <v>225</v>
      </c>
      <c r="L978" t="s">
        <v>29</v>
      </c>
    </row>
    <row r="979" spans="1:12" ht="19.95" customHeight="1">
      <c r="A979" t="s">
        <v>1067</v>
      </c>
      <c r="B979" t="s">
        <v>1013</v>
      </c>
      <c r="C979" t="s">
        <v>105</v>
      </c>
      <c r="D979" t="s">
        <v>112</v>
      </c>
      <c r="E979" t="s">
        <v>16</v>
      </c>
      <c r="F979" t="s">
        <v>17</v>
      </c>
      <c r="G979" t="s">
        <v>18</v>
      </c>
      <c r="H979" t="s">
        <v>19</v>
      </c>
      <c r="I979" t="s">
        <v>20</v>
      </c>
      <c r="J979" s="2">
        <v>200</v>
      </c>
    </row>
    <row r="980" spans="1:12" ht="19.95" customHeight="1">
      <c r="A980" t="s">
        <v>1068</v>
      </c>
      <c r="B980" t="s">
        <v>1013</v>
      </c>
      <c r="C980" t="s">
        <v>105</v>
      </c>
      <c r="D980" t="s">
        <v>108</v>
      </c>
      <c r="E980" t="s">
        <v>16</v>
      </c>
      <c r="F980" t="s">
        <v>35</v>
      </c>
      <c r="G980" t="s">
        <v>23</v>
      </c>
      <c r="H980" t="s">
        <v>19</v>
      </c>
      <c r="I980" t="s">
        <v>20</v>
      </c>
      <c r="J980" s="2">
        <v>120</v>
      </c>
    </row>
    <row r="981" spans="1:12" ht="19.95" customHeight="1">
      <c r="A981" t="s">
        <v>1069</v>
      </c>
      <c r="B981" t="s">
        <v>1013</v>
      </c>
      <c r="C981" t="s">
        <v>105</v>
      </c>
      <c r="D981" t="s">
        <v>108</v>
      </c>
      <c r="E981" t="s">
        <v>16</v>
      </c>
      <c r="F981" t="s">
        <v>17</v>
      </c>
      <c r="G981" t="s">
        <v>23</v>
      </c>
      <c r="H981" t="s">
        <v>19</v>
      </c>
      <c r="I981" t="s">
        <v>20</v>
      </c>
      <c r="J981" s="2">
        <v>120</v>
      </c>
    </row>
    <row r="982" spans="1:12" ht="19.95" customHeight="1">
      <c r="A982" t="s">
        <v>1070</v>
      </c>
      <c r="B982" t="s">
        <v>1013</v>
      </c>
      <c r="C982" t="s">
        <v>105</v>
      </c>
      <c r="D982" t="s">
        <v>187</v>
      </c>
      <c r="E982" t="s">
        <v>16</v>
      </c>
      <c r="F982" t="s">
        <v>17</v>
      </c>
      <c r="G982" t="s">
        <v>18</v>
      </c>
      <c r="H982" t="s">
        <v>19</v>
      </c>
      <c r="I982" t="s">
        <v>20</v>
      </c>
      <c r="J982" s="2">
        <v>200</v>
      </c>
    </row>
    <row r="983" spans="1:12" ht="19.95" customHeight="1">
      <c r="A983" t="s">
        <v>1071</v>
      </c>
      <c r="B983" t="s">
        <v>1013</v>
      </c>
      <c r="C983" t="s">
        <v>105</v>
      </c>
      <c r="D983" t="s">
        <v>182</v>
      </c>
      <c r="E983" t="s">
        <v>16</v>
      </c>
      <c r="F983" t="s">
        <v>17</v>
      </c>
      <c r="G983" t="s">
        <v>18</v>
      </c>
      <c r="H983" t="s">
        <v>19</v>
      </c>
      <c r="I983" t="s">
        <v>20</v>
      </c>
      <c r="J983" s="2">
        <v>200</v>
      </c>
    </row>
    <row r="984" spans="1:12" ht="19.95" customHeight="1">
      <c r="A984" t="s">
        <v>1072</v>
      </c>
      <c r="B984" t="s">
        <v>1013</v>
      </c>
      <c r="C984" t="s">
        <v>105</v>
      </c>
      <c r="D984" t="s">
        <v>194</v>
      </c>
      <c r="E984" t="s">
        <v>16</v>
      </c>
      <c r="F984" t="s">
        <v>17</v>
      </c>
      <c r="G984" t="s">
        <v>18</v>
      </c>
      <c r="H984" t="s">
        <v>19</v>
      </c>
      <c r="I984" t="s">
        <v>20</v>
      </c>
      <c r="J984" s="2">
        <v>200</v>
      </c>
    </row>
    <row r="985" spans="1:12" ht="19.95" customHeight="1">
      <c r="A985" t="s">
        <v>1073</v>
      </c>
      <c r="B985" t="s">
        <v>1013</v>
      </c>
      <c r="C985" t="s">
        <v>105</v>
      </c>
      <c r="D985" t="s">
        <v>106</v>
      </c>
      <c r="E985" t="s">
        <v>16</v>
      </c>
      <c r="F985" t="s">
        <v>17</v>
      </c>
      <c r="G985" t="s">
        <v>32</v>
      </c>
      <c r="H985" t="s">
        <v>19</v>
      </c>
      <c r="I985" t="s">
        <v>20</v>
      </c>
      <c r="J985" s="2">
        <v>225</v>
      </c>
      <c r="L985" t="s">
        <v>29</v>
      </c>
    </row>
    <row r="986" spans="1:12" ht="19.95" customHeight="1">
      <c r="A986" t="s">
        <v>1074</v>
      </c>
      <c r="B986" t="s">
        <v>1013</v>
      </c>
      <c r="C986" t="s">
        <v>105</v>
      </c>
      <c r="D986" t="s">
        <v>120</v>
      </c>
      <c r="E986" t="s">
        <v>16</v>
      </c>
      <c r="F986" t="s">
        <v>17</v>
      </c>
      <c r="G986" t="s">
        <v>18</v>
      </c>
      <c r="H986" t="s">
        <v>19</v>
      </c>
      <c r="I986" t="s">
        <v>20</v>
      </c>
      <c r="J986" s="2">
        <v>200</v>
      </c>
    </row>
    <row r="987" spans="1:12" ht="19.95" customHeight="1">
      <c r="A987" t="s">
        <v>1075</v>
      </c>
      <c r="B987" t="s">
        <v>1076</v>
      </c>
      <c r="C987" t="s">
        <v>14</v>
      </c>
      <c r="D987" t="s">
        <v>131</v>
      </c>
      <c r="E987" t="s">
        <v>16</v>
      </c>
      <c r="F987" t="s">
        <v>17</v>
      </c>
      <c r="G987" t="s">
        <v>18</v>
      </c>
      <c r="H987" t="s">
        <v>19</v>
      </c>
      <c r="I987" t="s">
        <v>20</v>
      </c>
      <c r="J987" s="2">
        <v>200</v>
      </c>
    </row>
    <row r="988" spans="1:12" ht="19.95" customHeight="1">
      <c r="A988" t="s">
        <v>1077</v>
      </c>
      <c r="B988" t="s">
        <v>1076</v>
      </c>
      <c r="C988" t="s">
        <v>14</v>
      </c>
      <c r="D988" t="s">
        <v>40</v>
      </c>
      <c r="E988" t="s">
        <v>16</v>
      </c>
      <c r="F988" t="s">
        <v>17</v>
      </c>
      <c r="G988" t="s">
        <v>18</v>
      </c>
      <c r="H988" t="s">
        <v>19</v>
      </c>
      <c r="I988" t="s">
        <v>20</v>
      </c>
      <c r="J988" s="2">
        <v>200</v>
      </c>
    </row>
    <row r="989" spans="1:12" ht="19.95" customHeight="1">
      <c r="A989" t="s">
        <v>1078</v>
      </c>
      <c r="B989" t="s">
        <v>1076</v>
      </c>
      <c r="C989" t="s">
        <v>14</v>
      </c>
      <c r="D989" t="s">
        <v>42</v>
      </c>
      <c r="E989" t="s">
        <v>16</v>
      </c>
      <c r="F989" t="s">
        <v>17</v>
      </c>
      <c r="G989" t="s">
        <v>18</v>
      </c>
      <c r="H989" t="s">
        <v>19</v>
      </c>
      <c r="I989" t="s">
        <v>20</v>
      </c>
      <c r="J989" s="2">
        <v>200</v>
      </c>
    </row>
    <row r="990" spans="1:12" ht="19.95" customHeight="1">
      <c r="A990" t="s">
        <v>1079</v>
      </c>
      <c r="B990" t="s">
        <v>1076</v>
      </c>
      <c r="C990" t="s">
        <v>14</v>
      </c>
      <c r="D990" t="s">
        <v>15</v>
      </c>
      <c r="E990" t="s">
        <v>16</v>
      </c>
      <c r="F990" t="s">
        <v>17</v>
      </c>
      <c r="G990" t="s">
        <v>18</v>
      </c>
      <c r="H990" t="s">
        <v>24</v>
      </c>
      <c r="I990" t="s">
        <v>20</v>
      </c>
      <c r="J990" s="2">
        <v>200</v>
      </c>
    </row>
    <row r="991" spans="1:12" ht="19.95" customHeight="1">
      <c r="A991" t="s">
        <v>1080</v>
      </c>
      <c r="B991" t="s">
        <v>1076</v>
      </c>
      <c r="C991" t="s">
        <v>14</v>
      </c>
      <c r="D991" t="s">
        <v>15</v>
      </c>
      <c r="E991" t="s">
        <v>16</v>
      </c>
      <c r="F991" t="s">
        <v>17</v>
      </c>
      <c r="G991" t="s">
        <v>23</v>
      </c>
      <c r="H991" t="s">
        <v>19</v>
      </c>
      <c r="I991" t="s">
        <v>20</v>
      </c>
      <c r="J991" s="2">
        <v>90</v>
      </c>
      <c r="L991" t="s">
        <v>29</v>
      </c>
    </row>
    <row r="992" spans="1:12" ht="19.95" customHeight="1">
      <c r="A992" t="s">
        <v>1081</v>
      </c>
      <c r="B992" t="s">
        <v>1076</v>
      </c>
      <c r="C992" t="s">
        <v>14</v>
      </c>
      <c r="D992" t="s">
        <v>131</v>
      </c>
      <c r="E992" t="s">
        <v>16</v>
      </c>
      <c r="F992" t="s">
        <v>17</v>
      </c>
      <c r="G992" t="s">
        <v>18</v>
      </c>
      <c r="H992" t="s">
        <v>19</v>
      </c>
      <c r="I992" t="s">
        <v>20</v>
      </c>
      <c r="J992" s="2">
        <v>200</v>
      </c>
    </row>
    <row r="993" spans="1:12" ht="19.95" customHeight="1">
      <c r="A993" t="s">
        <v>1082</v>
      </c>
      <c r="B993" t="s">
        <v>1076</v>
      </c>
      <c r="C993" t="s">
        <v>14</v>
      </c>
      <c r="D993" t="s">
        <v>40</v>
      </c>
      <c r="E993" t="s">
        <v>16</v>
      </c>
      <c r="F993" t="s">
        <v>17</v>
      </c>
      <c r="G993" t="s">
        <v>23</v>
      </c>
      <c r="H993" t="s">
        <v>19</v>
      </c>
      <c r="I993" t="s">
        <v>20</v>
      </c>
      <c r="J993" s="2">
        <v>120</v>
      </c>
    </row>
    <row r="994" spans="1:12" ht="19.95" customHeight="1">
      <c r="A994" t="s">
        <v>1083</v>
      </c>
      <c r="B994" t="s">
        <v>1076</v>
      </c>
      <c r="C994" t="s">
        <v>14</v>
      </c>
      <c r="D994" t="s">
        <v>31</v>
      </c>
      <c r="E994" t="s">
        <v>16</v>
      </c>
      <c r="F994" t="s">
        <v>35</v>
      </c>
      <c r="G994" t="s">
        <v>23</v>
      </c>
      <c r="H994" t="s">
        <v>19</v>
      </c>
      <c r="I994" t="s">
        <v>20</v>
      </c>
      <c r="J994" s="2">
        <v>120</v>
      </c>
    </row>
    <row r="995" spans="1:12" ht="19.95" customHeight="1">
      <c r="A995" t="s">
        <v>1084</v>
      </c>
      <c r="B995" t="s">
        <v>1076</v>
      </c>
      <c r="C995" t="s">
        <v>14</v>
      </c>
      <c r="D995" t="s">
        <v>31</v>
      </c>
      <c r="E995" t="s">
        <v>16</v>
      </c>
      <c r="F995" t="s">
        <v>17</v>
      </c>
      <c r="G995" t="s">
        <v>23</v>
      </c>
      <c r="H995" t="s">
        <v>19</v>
      </c>
      <c r="I995" t="s">
        <v>20</v>
      </c>
      <c r="J995" s="2">
        <v>120</v>
      </c>
    </row>
    <row r="996" spans="1:12" ht="19.95" customHeight="1">
      <c r="A996" t="s">
        <v>1085</v>
      </c>
      <c r="B996" t="s">
        <v>1076</v>
      </c>
      <c r="C996" t="s">
        <v>14</v>
      </c>
      <c r="D996" t="s">
        <v>31</v>
      </c>
      <c r="E996" t="s">
        <v>16</v>
      </c>
      <c r="F996" t="s">
        <v>35</v>
      </c>
      <c r="G996" t="s">
        <v>23</v>
      </c>
      <c r="H996" t="s">
        <v>19</v>
      </c>
      <c r="I996" t="s">
        <v>20</v>
      </c>
      <c r="J996" s="2">
        <v>120</v>
      </c>
    </row>
    <row r="997" spans="1:12" ht="19.95" customHeight="1">
      <c r="A997" t="s">
        <v>1086</v>
      </c>
      <c r="B997" t="s">
        <v>1076</v>
      </c>
      <c r="C997" t="s">
        <v>14</v>
      </c>
      <c r="D997" t="s">
        <v>137</v>
      </c>
      <c r="E997" t="s">
        <v>16</v>
      </c>
      <c r="F997" t="s">
        <v>17</v>
      </c>
      <c r="G997" t="s">
        <v>23</v>
      </c>
      <c r="H997" t="s">
        <v>19</v>
      </c>
      <c r="I997" t="s">
        <v>20</v>
      </c>
      <c r="J997" s="2">
        <v>120</v>
      </c>
    </row>
    <row r="998" spans="1:12" ht="19.95" customHeight="1">
      <c r="A998" t="s">
        <v>1087</v>
      </c>
      <c r="B998" t="s">
        <v>1076</v>
      </c>
      <c r="C998" t="s">
        <v>14</v>
      </c>
      <c r="D998" t="s">
        <v>28</v>
      </c>
      <c r="E998" t="s">
        <v>16</v>
      </c>
      <c r="F998" t="s">
        <v>35</v>
      </c>
      <c r="G998" t="s">
        <v>18</v>
      </c>
      <c r="H998" t="s">
        <v>19</v>
      </c>
      <c r="I998" t="s">
        <v>20</v>
      </c>
      <c r="J998" s="2">
        <v>200</v>
      </c>
    </row>
    <row r="999" spans="1:12" ht="19.95" customHeight="1">
      <c r="A999" t="s">
        <v>1088</v>
      </c>
      <c r="B999" t="s">
        <v>1076</v>
      </c>
      <c r="C999" t="s">
        <v>14</v>
      </c>
      <c r="D999" t="s">
        <v>131</v>
      </c>
      <c r="E999" t="s">
        <v>16</v>
      </c>
      <c r="F999" t="s">
        <v>17</v>
      </c>
      <c r="G999" t="s">
        <v>18</v>
      </c>
      <c r="H999" t="s">
        <v>19</v>
      </c>
      <c r="I999" t="s">
        <v>20</v>
      </c>
      <c r="J999" s="2">
        <v>150</v>
      </c>
      <c r="L999" t="s">
        <v>29</v>
      </c>
    </row>
    <row r="1000" spans="1:12" ht="19.95" customHeight="1">
      <c r="A1000" t="s">
        <v>1089</v>
      </c>
      <c r="B1000" t="s">
        <v>1076</v>
      </c>
      <c r="C1000" t="s">
        <v>14</v>
      </c>
      <c r="D1000" t="s">
        <v>42</v>
      </c>
      <c r="E1000" t="s">
        <v>16</v>
      </c>
      <c r="F1000" t="s">
        <v>17</v>
      </c>
      <c r="G1000" t="s">
        <v>23</v>
      </c>
      <c r="H1000" t="s">
        <v>19</v>
      </c>
      <c r="I1000" t="s">
        <v>20</v>
      </c>
      <c r="J1000" s="2">
        <v>120</v>
      </c>
    </row>
    <row r="1001" spans="1:12" ht="19.95" customHeight="1">
      <c r="A1001" t="s">
        <v>1090</v>
      </c>
      <c r="B1001" t="s">
        <v>1076</v>
      </c>
      <c r="C1001" t="s">
        <v>47</v>
      </c>
      <c r="D1001" t="s">
        <v>50</v>
      </c>
      <c r="E1001" t="s">
        <v>16</v>
      </c>
      <c r="F1001" t="s">
        <v>17</v>
      </c>
      <c r="G1001" t="s">
        <v>23</v>
      </c>
      <c r="H1001" t="s">
        <v>19</v>
      </c>
      <c r="I1001" t="s">
        <v>20</v>
      </c>
      <c r="J1001" s="2">
        <v>120</v>
      </c>
    </row>
    <row r="1002" spans="1:12" ht="19.95" customHeight="1">
      <c r="A1002" t="s">
        <v>1091</v>
      </c>
      <c r="B1002" t="s">
        <v>1076</v>
      </c>
      <c r="C1002" t="s">
        <v>47</v>
      </c>
      <c r="D1002" t="s">
        <v>148</v>
      </c>
      <c r="E1002" t="s">
        <v>16</v>
      </c>
      <c r="F1002" t="s">
        <v>17</v>
      </c>
      <c r="G1002" t="s">
        <v>32</v>
      </c>
      <c r="H1002" t="s">
        <v>19</v>
      </c>
      <c r="I1002" t="s">
        <v>20</v>
      </c>
      <c r="J1002" s="2">
        <v>300</v>
      </c>
    </row>
    <row r="1003" spans="1:12" ht="19.95" customHeight="1">
      <c r="A1003" t="s">
        <v>1092</v>
      </c>
      <c r="B1003" t="s">
        <v>1076</v>
      </c>
      <c r="C1003" t="s">
        <v>47</v>
      </c>
      <c r="D1003" t="s">
        <v>55</v>
      </c>
      <c r="E1003" t="s">
        <v>16</v>
      </c>
      <c r="F1003" t="s">
        <v>35</v>
      </c>
      <c r="G1003" t="s">
        <v>32</v>
      </c>
      <c r="H1003" t="s">
        <v>19</v>
      </c>
      <c r="I1003" t="s">
        <v>20</v>
      </c>
      <c r="J1003" s="2">
        <v>300</v>
      </c>
    </row>
    <row r="1004" spans="1:12" ht="19.95" customHeight="1">
      <c r="A1004" t="s">
        <v>1093</v>
      </c>
      <c r="B1004" t="s">
        <v>1076</v>
      </c>
      <c r="C1004" t="s">
        <v>47</v>
      </c>
      <c r="D1004" t="s">
        <v>59</v>
      </c>
      <c r="E1004" t="s">
        <v>16</v>
      </c>
      <c r="F1004" t="s">
        <v>17</v>
      </c>
      <c r="G1004" t="s">
        <v>23</v>
      </c>
      <c r="H1004" t="s">
        <v>19</v>
      </c>
      <c r="I1004" t="s">
        <v>20</v>
      </c>
      <c r="J1004" s="2">
        <v>120</v>
      </c>
    </row>
    <row r="1005" spans="1:12" ht="19.95" customHeight="1">
      <c r="A1005" t="s">
        <v>1094</v>
      </c>
      <c r="B1005" t="s">
        <v>1076</v>
      </c>
      <c r="C1005" t="s">
        <v>47</v>
      </c>
      <c r="D1005" t="s">
        <v>55</v>
      </c>
      <c r="E1005" t="s">
        <v>16</v>
      </c>
      <c r="F1005" t="s">
        <v>17</v>
      </c>
      <c r="G1005" t="s">
        <v>23</v>
      </c>
      <c r="H1005" t="s">
        <v>19</v>
      </c>
      <c r="I1005" t="s">
        <v>20</v>
      </c>
      <c r="J1005" s="2">
        <v>120</v>
      </c>
    </row>
    <row r="1006" spans="1:12" ht="19.95" customHeight="1">
      <c r="A1006" t="s">
        <v>1095</v>
      </c>
      <c r="B1006" t="s">
        <v>1076</v>
      </c>
      <c r="C1006" t="s">
        <v>47</v>
      </c>
      <c r="D1006" t="s">
        <v>66</v>
      </c>
      <c r="E1006" t="s">
        <v>16</v>
      </c>
      <c r="F1006" t="s">
        <v>17</v>
      </c>
      <c r="G1006" t="s">
        <v>23</v>
      </c>
      <c r="H1006" t="s">
        <v>24</v>
      </c>
      <c r="I1006" t="s">
        <v>20</v>
      </c>
      <c r="J1006" s="2">
        <v>120</v>
      </c>
    </row>
    <row r="1007" spans="1:12" ht="19.95" customHeight="1">
      <c r="A1007" t="s">
        <v>1096</v>
      </c>
      <c r="B1007" t="s">
        <v>1076</v>
      </c>
      <c r="C1007" t="s">
        <v>47</v>
      </c>
      <c r="D1007" t="s">
        <v>152</v>
      </c>
      <c r="E1007" t="s">
        <v>16</v>
      </c>
      <c r="F1007" t="s">
        <v>17</v>
      </c>
      <c r="G1007" t="s">
        <v>18</v>
      </c>
      <c r="H1007" t="s">
        <v>19</v>
      </c>
      <c r="I1007" t="s">
        <v>20</v>
      </c>
      <c r="J1007" s="2">
        <v>200</v>
      </c>
    </row>
    <row r="1008" spans="1:12" ht="19.95" customHeight="1">
      <c r="A1008" t="s">
        <v>1097</v>
      </c>
      <c r="B1008" t="s">
        <v>1076</v>
      </c>
      <c r="C1008" t="s">
        <v>47</v>
      </c>
      <c r="D1008" t="s">
        <v>73</v>
      </c>
      <c r="E1008" t="s">
        <v>16</v>
      </c>
      <c r="F1008" t="s">
        <v>17</v>
      </c>
      <c r="G1008" t="s">
        <v>23</v>
      </c>
      <c r="H1008" t="s">
        <v>19</v>
      </c>
      <c r="I1008" t="s">
        <v>20</v>
      </c>
      <c r="J1008" s="2">
        <v>120</v>
      </c>
    </row>
    <row r="1009" spans="1:12" ht="19.95" customHeight="1">
      <c r="A1009" t="s">
        <v>1098</v>
      </c>
      <c r="B1009" t="s">
        <v>1076</v>
      </c>
      <c r="C1009" t="s">
        <v>47</v>
      </c>
      <c r="D1009" t="s">
        <v>73</v>
      </c>
      <c r="E1009" t="s">
        <v>16</v>
      </c>
      <c r="F1009" t="s">
        <v>17</v>
      </c>
      <c r="G1009" t="s">
        <v>18</v>
      </c>
      <c r="H1009" t="s">
        <v>24</v>
      </c>
      <c r="I1009" t="s">
        <v>20</v>
      </c>
      <c r="J1009" s="2">
        <v>200</v>
      </c>
    </row>
    <row r="1010" spans="1:12" ht="19.95" customHeight="1">
      <c r="A1010" t="s">
        <v>1099</v>
      </c>
      <c r="B1010" t="s">
        <v>1076</v>
      </c>
      <c r="C1010" t="s">
        <v>47</v>
      </c>
      <c r="D1010" t="s">
        <v>73</v>
      </c>
      <c r="E1010" t="s">
        <v>16</v>
      </c>
      <c r="F1010" t="s">
        <v>17</v>
      </c>
      <c r="G1010" t="s">
        <v>18</v>
      </c>
      <c r="H1010" t="s">
        <v>19</v>
      </c>
      <c r="I1010" t="s">
        <v>20</v>
      </c>
      <c r="J1010" s="2">
        <v>200</v>
      </c>
    </row>
    <row r="1011" spans="1:12" ht="19.95" customHeight="1">
      <c r="A1011" t="s">
        <v>1100</v>
      </c>
      <c r="B1011" t="s">
        <v>1076</v>
      </c>
      <c r="C1011" t="s">
        <v>47</v>
      </c>
      <c r="D1011" t="s">
        <v>59</v>
      </c>
      <c r="E1011" t="s">
        <v>16</v>
      </c>
      <c r="F1011" t="s">
        <v>35</v>
      </c>
      <c r="G1011" t="s">
        <v>32</v>
      </c>
      <c r="H1011" t="s">
        <v>19</v>
      </c>
      <c r="I1011" t="s">
        <v>20</v>
      </c>
      <c r="J1011" s="2">
        <v>300</v>
      </c>
    </row>
    <row r="1012" spans="1:12" ht="19.95" customHeight="1">
      <c r="A1012" t="s">
        <v>1101</v>
      </c>
      <c r="B1012" t="s">
        <v>1076</v>
      </c>
      <c r="C1012" t="s">
        <v>47</v>
      </c>
      <c r="D1012" t="s">
        <v>152</v>
      </c>
      <c r="E1012" t="s">
        <v>16</v>
      </c>
      <c r="F1012" t="s">
        <v>35</v>
      </c>
      <c r="G1012" t="s">
        <v>18</v>
      </c>
      <c r="H1012" t="s">
        <v>19</v>
      </c>
      <c r="I1012" t="s">
        <v>20</v>
      </c>
      <c r="J1012" s="2">
        <v>200</v>
      </c>
    </row>
    <row r="1013" spans="1:12" ht="19.95" customHeight="1">
      <c r="A1013" t="s">
        <v>1102</v>
      </c>
      <c r="B1013" t="s">
        <v>1076</v>
      </c>
      <c r="C1013" t="s">
        <v>47</v>
      </c>
      <c r="D1013" t="s">
        <v>55</v>
      </c>
      <c r="E1013" t="s">
        <v>16</v>
      </c>
      <c r="F1013" t="s">
        <v>17</v>
      </c>
      <c r="G1013" t="s">
        <v>18</v>
      </c>
      <c r="H1013" t="s">
        <v>19</v>
      </c>
      <c r="I1013" t="s">
        <v>20</v>
      </c>
      <c r="J1013" s="2">
        <v>150</v>
      </c>
      <c r="L1013" t="s">
        <v>29</v>
      </c>
    </row>
    <row r="1014" spans="1:12" ht="19.95" customHeight="1">
      <c r="A1014" t="s">
        <v>1103</v>
      </c>
      <c r="B1014" t="s">
        <v>1076</v>
      </c>
      <c r="C1014" t="s">
        <v>47</v>
      </c>
      <c r="D1014" t="s">
        <v>50</v>
      </c>
      <c r="E1014" t="s">
        <v>16</v>
      </c>
      <c r="F1014" t="s">
        <v>17</v>
      </c>
      <c r="G1014" t="s">
        <v>32</v>
      </c>
      <c r="H1014" t="s">
        <v>19</v>
      </c>
      <c r="I1014" t="s">
        <v>20</v>
      </c>
      <c r="J1014" s="2">
        <v>300</v>
      </c>
    </row>
    <row r="1015" spans="1:12" ht="19.95" customHeight="1">
      <c r="A1015" t="s">
        <v>1104</v>
      </c>
      <c r="B1015" t="s">
        <v>1076</v>
      </c>
      <c r="C1015" t="s">
        <v>47</v>
      </c>
      <c r="D1015" t="s">
        <v>59</v>
      </c>
      <c r="E1015" t="s">
        <v>16</v>
      </c>
      <c r="F1015" t="s">
        <v>17</v>
      </c>
      <c r="G1015" t="s">
        <v>32</v>
      </c>
      <c r="H1015" t="s">
        <v>19</v>
      </c>
      <c r="I1015" t="s">
        <v>20</v>
      </c>
      <c r="J1015" s="2">
        <v>300</v>
      </c>
    </row>
    <row r="1016" spans="1:12" ht="19.95" customHeight="1">
      <c r="A1016" t="s">
        <v>1105</v>
      </c>
      <c r="B1016" t="s">
        <v>1076</v>
      </c>
      <c r="C1016" t="s">
        <v>78</v>
      </c>
      <c r="D1016" t="s">
        <v>85</v>
      </c>
      <c r="E1016" t="s">
        <v>16</v>
      </c>
      <c r="F1016" t="s">
        <v>35</v>
      </c>
      <c r="G1016" t="s">
        <v>18</v>
      </c>
      <c r="H1016" t="s">
        <v>19</v>
      </c>
      <c r="I1016" t="s">
        <v>20</v>
      </c>
      <c r="J1016" s="2">
        <v>200</v>
      </c>
    </row>
    <row r="1017" spans="1:12" ht="19.95" customHeight="1">
      <c r="A1017" t="s">
        <v>1106</v>
      </c>
      <c r="B1017" t="s">
        <v>1076</v>
      </c>
      <c r="C1017" t="s">
        <v>78</v>
      </c>
      <c r="D1017" t="s">
        <v>93</v>
      </c>
      <c r="E1017" t="s">
        <v>16</v>
      </c>
      <c r="F1017" t="s">
        <v>35</v>
      </c>
      <c r="G1017" t="s">
        <v>23</v>
      </c>
      <c r="H1017" t="s">
        <v>19</v>
      </c>
      <c r="I1017" t="s">
        <v>20</v>
      </c>
      <c r="J1017" s="2">
        <v>120</v>
      </c>
    </row>
    <row r="1018" spans="1:12" ht="19.95" customHeight="1">
      <c r="A1018" t="s">
        <v>1107</v>
      </c>
      <c r="B1018" t="s">
        <v>1076</v>
      </c>
      <c r="C1018" t="s">
        <v>78</v>
      </c>
      <c r="D1018" t="s">
        <v>97</v>
      </c>
      <c r="E1018" t="s">
        <v>16</v>
      </c>
      <c r="F1018" t="s">
        <v>17</v>
      </c>
      <c r="G1018" t="s">
        <v>18</v>
      </c>
      <c r="H1018" t="s">
        <v>19</v>
      </c>
      <c r="I1018" t="s">
        <v>20</v>
      </c>
      <c r="J1018" s="2">
        <v>200</v>
      </c>
    </row>
    <row r="1019" spans="1:12" ht="19.95" customHeight="1">
      <c r="A1019" t="s">
        <v>1108</v>
      </c>
      <c r="B1019" t="s">
        <v>1076</v>
      </c>
      <c r="C1019" t="s">
        <v>78</v>
      </c>
      <c r="D1019" t="s">
        <v>79</v>
      </c>
      <c r="E1019" t="s">
        <v>16</v>
      </c>
      <c r="F1019" t="s">
        <v>17</v>
      </c>
      <c r="G1019" t="s">
        <v>18</v>
      </c>
      <c r="H1019" t="s">
        <v>19</v>
      </c>
      <c r="I1019" t="s">
        <v>20</v>
      </c>
      <c r="J1019" s="2">
        <v>200</v>
      </c>
    </row>
    <row r="1020" spans="1:12" ht="19.95" customHeight="1">
      <c r="A1020" t="s">
        <v>1109</v>
      </c>
      <c r="B1020" t="s">
        <v>1076</v>
      </c>
      <c r="C1020" t="s">
        <v>78</v>
      </c>
      <c r="D1020" t="s">
        <v>97</v>
      </c>
      <c r="E1020" t="s">
        <v>16</v>
      </c>
      <c r="F1020" t="s">
        <v>17</v>
      </c>
      <c r="G1020" t="s">
        <v>23</v>
      </c>
      <c r="H1020" t="s">
        <v>24</v>
      </c>
      <c r="I1020" t="s">
        <v>20</v>
      </c>
      <c r="J1020" s="2">
        <v>120</v>
      </c>
    </row>
    <row r="1021" spans="1:12" ht="19.95" customHeight="1">
      <c r="A1021" t="s">
        <v>1110</v>
      </c>
      <c r="B1021" t="s">
        <v>1076</v>
      </c>
      <c r="C1021" t="s">
        <v>78</v>
      </c>
      <c r="D1021" t="s">
        <v>85</v>
      </c>
      <c r="E1021" t="s">
        <v>16</v>
      </c>
      <c r="F1021" t="s">
        <v>35</v>
      </c>
      <c r="G1021" t="s">
        <v>18</v>
      </c>
      <c r="H1021" t="s">
        <v>19</v>
      </c>
      <c r="I1021" t="s">
        <v>20</v>
      </c>
      <c r="J1021" s="2">
        <v>200</v>
      </c>
    </row>
    <row r="1022" spans="1:12" ht="19.95" customHeight="1">
      <c r="A1022" t="s">
        <v>1111</v>
      </c>
      <c r="B1022" t="s">
        <v>1076</v>
      </c>
      <c r="C1022" t="s">
        <v>78</v>
      </c>
      <c r="D1022" t="s">
        <v>97</v>
      </c>
      <c r="E1022" t="s">
        <v>16</v>
      </c>
      <c r="F1022" t="s">
        <v>17</v>
      </c>
      <c r="G1022" t="s">
        <v>32</v>
      </c>
      <c r="H1022" t="s">
        <v>19</v>
      </c>
      <c r="I1022" t="s">
        <v>20</v>
      </c>
      <c r="J1022" s="2">
        <v>300</v>
      </c>
    </row>
    <row r="1023" spans="1:12" ht="19.95" customHeight="1">
      <c r="A1023" t="s">
        <v>1112</v>
      </c>
      <c r="B1023" t="s">
        <v>1076</v>
      </c>
      <c r="C1023" t="s">
        <v>78</v>
      </c>
      <c r="D1023" t="s">
        <v>81</v>
      </c>
      <c r="E1023" t="s">
        <v>16</v>
      </c>
      <c r="F1023" t="s">
        <v>35</v>
      </c>
      <c r="G1023" t="s">
        <v>32</v>
      </c>
      <c r="H1023" t="s">
        <v>19</v>
      </c>
      <c r="I1023" t="s">
        <v>20</v>
      </c>
      <c r="J1023" s="2">
        <v>300</v>
      </c>
    </row>
    <row r="1024" spans="1:12" ht="19.95" customHeight="1">
      <c r="A1024" t="s">
        <v>1113</v>
      </c>
      <c r="B1024" t="s">
        <v>1076</v>
      </c>
      <c r="C1024" t="s">
        <v>78</v>
      </c>
      <c r="D1024" t="s">
        <v>83</v>
      </c>
      <c r="E1024" t="s">
        <v>16</v>
      </c>
      <c r="F1024" t="s">
        <v>17</v>
      </c>
      <c r="G1024" t="s">
        <v>18</v>
      </c>
      <c r="H1024" t="s">
        <v>19</v>
      </c>
      <c r="I1024" t="s">
        <v>20</v>
      </c>
      <c r="J1024" s="2">
        <v>200</v>
      </c>
    </row>
    <row r="1025" spans="1:12" ht="19.95" customHeight="1">
      <c r="A1025" t="s">
        <v>1114</v>
      </c>
      <c r="B1025" t="s">
        <v>1076</v>
      </c>
      <c r="C1025" t="s">
        <v>78</v>
      </c>
      <c r="D1025" t="s">
        <v>102</v>
      </c>
      <c r="E1025" t="s">
        <v>16</v>
      </c>
      <c r="F1025" t="s">
        <v>17</v>
      </c>
      <c r="G1025" t="s">
        <v>23</v>
      </c>
      <c r="H1025" t="s">
        <v>19</v>
      </c>
      <c r="I1025" t="s">
        <v>20</v>
      </c>
      <c r="J1025" s="2">
        <v>120</v>
      </c>
    </row>
    <row r="1026" spans="1:12" ht="19.95" customHeight="1">
      <c r="A1026" t="s">
        <v>1115</v>
      </c>
      <c r="B1026" t="s">
        <v>1076</v>
      </c>
      <c r="C1026" t="s">
        <v>78</v>
      </c>
      <c r="D1026" t="s">
        <v>85</v>
      </c>
      <c r="E1026" t="s">
        <v>16</v>
      </c>
      <c r="F1026" t="s">
        <v>35</v>
      </c>
      <c r="G1026" t="s">
        <v>23</v>
      </c>
      <c r="H1026" t="s">
        <v>19</v>
      </c>
      <c r="I1026" t="s">
        <v>20</v>
      </c>
      <c r="J1026" s="2">
        <v>120</v>
      </c>
    </row>
    <row r="1027" spans="1:12" ht="19.95" customHeight="1">
      <c r="A1027" t="s">
        <v>1116</v>
      </c>
      <c r="B1027" t="s">
        <v>1076</v>
      </c>
      <c r="C1027" t="s">
        <v>78</v>
      </c>
      <c r="D1027" t="s">
        <v>89</v>
      </c>
      <c r="E1027" t="s">
        <v>16</v>
      </c>
      <c r="F1027" t="s">
        <v>17</v>
      </c>
      <c r="G1027" t="s">
        <v>18</v>
      </c>
      <c r="H1027" t="s">
        <v>19</v>
      </c>
      <c r="I1027" t="s">
        <v>20</v>
      </c>
      <c r="J1027" s="2">
        <v>200</v>
      </c>
    </row>
    <row r="1028" spans="1:12" ht="19.95" customHeight="1">
      <c r="A1028" t="s">
        <v>1117</v>
      </c>
      <c r="B1028" t="s">
        <v>1076</v>
      </c>
      <c r="C1028" t="s">
        <v>78</v>
      </c>
      <c r="D1028" t="s">
        <v>93</v>
      </c>
      <c r="E1028" t="s">
        <v>16</v>
      </c>
      <c r="F1028" t="s">
        <v>17</v>
      </c>
      <c r="G1028" t="s">
        <v>23</v>
      </c>
      <c r="H1028" t="s">
        <v>19</v>
      </c>
      <c r="I1028" t="s">
        <v>20</v>
      </c>
      <c r="J1028" s="2">
        <v>120</v>
      </c>
    </row>
    <row r="1029" spans="1:12" ht="19.95" customHeight="1">
      <c r="A1029" t="s">
        <v>1118</v>
      </c>
      <c r="B1029" t="s">
        <v>1076</v>
      </c>
      <c r="C1029" t="s">
        <v>78</v>
      </c>
      <c r="D1029" t="s">
        <v>102</v>
      </c>
      <c r="E1029" t="s">
        <v>16</v>
      </c>
      <c r="F1029" t="s">
        <v>17</v>
      </c>
      <c r="G1029" t="s">
        <v>18</v>
      </c>
      <c r="H1029" t="s">
        <v>19</v>
      </c>
      <c r="I1029" t="s">
        <v>20</v>
      </c>
      <c r="J1029" s="2">
        <v>200</v>
      </c>
    </row>
    <row r="1030" spans="1:12" ht="19.95" customHeight="1">
      <c r="A1030" t="s">
        <v>1119</v>
      </c>
      <c r="B1030" t="s">
        <v>1076</v>
      </c>
      <c r="C1030" t="s">
        <v>78</v>
      </c>
      <c r="D1030" t="s">
        <v>102</v>
      </c>
      <c r="E1030" t="s">
        <v>16</v>
      </c>
      <c r="F1030" t="s">
        <v>17</v>
      </c>
      <c r="G1030" t="s">
        <v>32</v>
      </c>
      <c r="H1030" t="s">
        <v>19</v>
      </c>
      <c r="I1030" t="s">
        <v>20</v>
      </c>
      <c r="J1030" s="2">
        <v>255</v>
      </c>
      <c r="L1030" t="s">
        <v>29</v>
      </c>
    </row>
    <row r="1031" spans="1:12" ht="19.95" customHeight="1">
      <c r="A1031" t="s">
        <v>1120</v>
      </c>
      <c r="B1031" t="s">
        <v>1076</v>
      </c>
      <c r="C1031" t="s">
        <v>78</v>
      </c>
      <c r="D1031" t="s">
        <v>93</v>
      </c>
      <c r="E1031" t="s">
        <v>16</v>
      </c>
      <c r="F1031" t="s">
        <v>17</v>
      </c>
      <c r="G1031" t="s">
        <v>23</v>
      </c>
      <c r="H1031" t="s">
        <v>19</v>
      </c>
      <c r="I1031" t="s">
        <v>53</v>
      </c>
      <c r="J1031" s="2">
        <v>120</v>
      </c>
    </row>
    <row r="1032" spans="1:12" ht="19.95" customHeight="1">
      <c r="A1032" t="s">
        <v>1121</v>
      </c>
      <c r="B1032" t="s">
        <v>1076</v>
      </c>
      <c r="C1032" t="s">
        <v>78</v>
      </c>
      <c r="D1032" t="s">
        <v>97</v>
      </c>
      <c r="E1032" t="s">
        <v>16</v>
      </c>
      <c r="F1032" t="s">
        <v>17</v>
      </c>
      <c r="G1032" t="s">
        <v>18</v>
      </c>
      <c r="H1032" t="s">
        <v>24</v>
      </c>
      <c r="I1032" t="s">
        <v>20</v>
      </c>
      <c r="J1032" s="2">
        <v>200</v>
      </c>
    </row>
    <row r="1033" spans="1:12" ht="19.95" customHeight="1">
      <c r="A1033" t="s">
        <v>1122</v>
      </c>
      <c r="B1033" t="s">
        <v>1076</v>
      </c>
      <c r="C1033" t="s">
        <v>78</v>
      </c>
      <c r="D1033" t="s">
        <v>93</v>
      </c>
      <c r="E1033" t="s">
        <v>16</v>
      </c>
      <c r="F1033" t="s">
        <v>17</v>
      </c>
      <c r="G1033" t="s">
        <v>32</v>
      </c>
      <c r="H1033" t="s">
        <v>19</v>
      </c>
      <c r="I1033" t="s">
        <v>20</v>
      </c>
      <c r="J1033" s="2">
        <v>300</v>
      </c>
    </row>
    <row r="1034" spans="1:12" ht="19.95" customHeight="1">
      <c r="A1034" t="s">
        <v>1123</v>
      </c>
      <c r="B1034" t="s">
        <v>1076</v>
      </c>
      <c r="C1034" t="s">
        <v>105</v>
      </c>
      <c r="D1034" t="s">
        <v>112</v>
      </c>
      <c r="E1034" t="s">
        <v>16</v>
      </c>
      <c r="F1034" t="s">
        <v>17</v>
      </c>
      <c r="G1034" t="s">
        <v>32</v>
      </c>
      <c r="H1034" t="s">
        <v>19</v>
      </c>
      <c r="I1034" t="s">
        <v>20</v>
      </c>
      <c r="J1034" s="2">
        <v>300</v>
      </c>
    </row>
    <row r="1035" spans="1:12" ht="19.95" customHeight="1">
      <c r="A1035" t="s">
        <v>1124</v>
      </c>
      <c r="B1035" t="s">
        <v>1076</v>
      </c>
      <c r="C1035" t="s">
        <v>105</v>
      </c>
      <c r="D1035" t="s">
        <v>182</v>
      </c>
      <c r="E1035" t="s">
        <v>16</v>
      </c>
      <c r="F1035" t="s">
        <v>17</v>
      </c>
      <c r="G1035" t="s">
        <v>23</v>
      </c>
      <c r="H1035" t="s">
        <v>24</v>
      </c>
      <c r="I1035" t="s">
        <v>20</v>
      </c>
      <c r="J1035" s="2">
        <v>90</v>
      </c>
      <c r="L1035" t="s">
        <v>29</v>
      </c>
    </row>
    <row r="1036" spans="1:12" ht="19.95" customHeight="1">
      <c r="A1036" t="s">
        <v>1125</v>
      </c>
      <c r="B1036" t="s">
        <v>1076</v>
      </c>
      <c r="C1036" t="s">
        <v>105</v>
      </c>
      <c r="D1036" t="s">
        <v>106</v>
      </c>
      <c r="E1036" t="s">
        <v>16</v>
      </c>
      <c r="F1036" t="s">
        <v>35</v>
      </c>
      <c r="G1036" t="s">
        <v>23</v>
      </c>
      <c r="H1036" t="s">
        <v>19</v>
      </c>
      <c r="I1036" t="s">
        <v>20</v>
      </c>
      <c r="J1036" s="2">
        <v>120</v>
      </c>
    </row>
    <row r="1037" spans="1:12" ht="19.95" customHeight="1">
      <c r="A1037" t="s">
        <v>1126</v>
      </c>
      <c r="B1037" t="s">
        <v>1076</v>
      </c>
      <c r="C1037" t="s">
        <v>105</v>
      </c>
      <c r="D1037" t="s">
        <v>112</v>
      </c>
      <c r="E1037" t="s">
        <v>16</v>
      </c>
      <c r="F1037" t="s">
        <v>17</v>
      </c>
      <c r="G1037" t="s">
        <v>23</v>
      </c>
      <c r="H1037" t="s">
        <v>19</v>
      </c>
      <c r="I1037" t="s">
        <v>20</v>
      </c>
      <c r="J1037" s="2">
        <v>120</v>
      </c>
    </row>
    <row r="1038" spans="1:12" ht="19.95" customHeight="1">
      <c r="A1038" t="s">
        <v>1127</v>
      </c>
      <c r="B1038" t="s">
        <v>1076</v>
      </c>
      <c r="C1038" t="s">
        <v>105</v>
      </c>
      <c r="D1038" t="s">
        <v>187</v>
      </c>
      <c r="E1038" t="s">
        <v>16</v>
      </c>
      <c r="F1038" t="s">
        <v>35</v>
      </c>
      <c r="G1038" t="s">
        <v>32</v>
      </c>
      <c r="H1038" t="s">
        <v>19</v>
      </c>
      <c r="I1038" t="s">
        <v>20</v>
      </c>
      <c r="J1038" s="2">
        <v>300</v>
      </c>
    </row>
    <row r="1039" spans="1:12" ht="19.95" customHeight="1">
      <c r="A1039" t="s">
        <v>1128</v>
      </c>
      <c r="B1039" t="s">
        <v>1076</v>
      </c>
      <c r="C1039" t="s">
        <v>105</v>
      </c>
      <c r="D1039" t="s">
        <v>182</v>
      </c>
      <c r="E1039" t="s">
        <v>16</v>
      </c>
      <c r="F1039" t="s">
        <v>17</v>
      </c>
      <c r="G1039" t="s">
        <v>23</v>
      </c>
      <c r="H1039" t="s">
        <v>19</v>
      </c>
      <c r="I1039" t="s">
        <v>20</v>
      </c>
      <c r="J1039" s="2">
        <v>120</v>
      </c>
    </row>
    <row r="1040" spans="1:12" ht="19.95" customHeight="1">
      <c r="A1040" t="s">
        <v>1129</v>
      </c>
      <c r="B1040" t="s">
        <v>1076</v>
      </c>
      <c r="C1040" t="s">
        <v>105</v>
      </c>
      <c r="D1040" t="s">
        <v>108</v>
      </c>
      <c r="E1040" t="s">
        <v>16</v>
      </c>
      <c r="F1040" t="s">
        <v>17</v>
      </c>
      <c r="G1040" t="s">
        <v>23</v>
      </c>
      <c r="H1040" t="s">
        <v>19</v>
      </c>
      <c r="I1040" t="s">
        <v>20</v>
      </c>
      <c r="J1040" s="2">
        <v>120</v>
      </c>
    </row>
    <row r="1041" spans="1:12" ht="19.95" customHeight="1">
      <c r="A1041" t="s">
        <v>1130</v>
      </c>
      <c r="B1041" t="s">
        <v>1076</v>
      </c>
      <c r="C1041" t="s">
        <v>105</v>
      </c>
      <c r="D1041" t="s">
        <v>108</v>
      </c>
      <c r="E1041" t="s">
        <v>16</v>
      </c>
      <c r="F1041" t="s">
        <v>35</v>
      </c>
      <c r="G1041" t="s">
        <v>23</v>
      </c>
      <c r="H1041" t="s">
        <v>19</v>
      </c>
      <c r="I1041" t="s">
        <v>20</v>
      </c>
      <c r="J1041" s="2">
        <v>120</v>
      </c>
    </row>
    <row r="1042" spans="1:12" ht="19.95" customHeight="1">
      <c r="A1042" t="s">
        <v>1131</v>
      </c>
      <c r="B1042" t="s">
        <v>1076</v>
      </c>
      <c r="C1042" t="s">
        <v>105</v>
      </c>
      <c r="D1042" t="s">
        <v>187</v>
      </c>
      <c r="E1042" t="s">
        <v>16</v>
      </c>
      <c r="F1042" t="s">
        <v>35</v>
      </c>
      <c r="G1042" t="s">
        <v>23</v>
      </c>
      <c r="H1042" t="s">
        <v>19</v>
      </c>
      <c r="I1042" t="s">
        <v>20</v>
      </c>
      <c r="J1042" s="2">
        <v>120</v>
      </c>
    </row>
    <row r="1043" spans="1:12" ht="19.95" customHeight="1">
      <c r="A1043" t="s">
        <v>1132</v>
      </c>
      <c r="B1043" t="s">
        <v>1076</v>
      </c>
      <c r="C1043" t="s">
        <v>105</v>
      </c>
      <c r="D1043" t="s">
        <v>118</v>
      </c>
      <c r="E1043" t="s">
        <v>16</v>
      </c>
      <c r="F1043" t="s">
        <v>17</v>
      </c>
      <c r="G1043" t="s">
        <v>23</v>
      </c>
      <c r="H1043" t="s">
        <v>19</v>
      </c>
      <c r="I1043" t="s">
        <v>20</v>
      </c>
      <c r="J1043" s="2">
        <v>120</v>
      </c>
    </row>
    <row r="1044" spans="1:12" ht="19.95" customHeight="1">
      <c r="A1044" t="s">
        <v>1133</v>
      </c>
      <c r="B1044" t="s">
        <v>1076</v>
      </c>
      <c r="C1044" t="s">
        <v>105</v>
      </c>
      <c r="D1044" t="s">
        <v>110</v>
      </c>
      <c r="E1044" t="s">
        <v>16</v>
      </c>
      <c r="F1044" t="s">
        <v>17</v>
      </c>
      <c r="G1044" t="s">
        <v>32</v>
      </c>
      <c r="H1044" t="s">
        <v>19</v>
      </c>
      <c r="I1044" t="s">
        <v>20</v>
      </c>
      <c r="J1044" s="2">
        <v>300</v>
      </c>
    </row>
    <row r="1045" spans="1:12" ht="19.95" customHeight="1">
      <c r="A1045" t="s">
        <v>1134</v>
      </c>
      <c r="B1045" t="s">
        <v>1076</v>
      </c>
      <c r="C1045" t="s">
        <v>105</v>
      </c>
      <c r="D1045" t="s">
        <v>191</v>
      </c>
      <c r="E1045" t="s">
        <v>16</v>
      </c>
      <c r="F1045" t="s">
        <v>17</v>
      </c>
      <c r="G1045" t="s">
        <v>18</v>
      </c>
      <c r="H1045" t="s">
        <v>24</v>
      </c>
      <c r="I1045" t="s">
        <v>20</v>
      </c>
      <c r="J1045" s="2">
        <v>200</v>
      </c>
    </row>
    <row r="1046" spans="1:12" ht="19.95" customHeight="1">
      <c r="A1046" t="s">
        <v>1135</v>
      </c>
      <c r="B1046" t="s">
        <v>1076</v>
      </c>
      <c r="C1046" t="s">
        <v>105</v>
      </c>
      <c r="D1046" t="s">
        <v>194</v>
      </c>
      <c r="E1046" t="s">
        <v>16</v>
      </c>
      <c r="F1046" t="s">
        <v>17</v>
      </c>
      <c r="G1046" t="s">
        <v>23</v>
      </c>
      <c r="H1046" t="s">
        <v>19</v>
      </c>
      <c r="I1046" t="s">
        <v>20</v>
      </c>
      <c r="J1046" s="2">
        <v>120</v>
      </c>
    </row>
    <row r="1047" spans="1:12" ht="19.95" customHeight="1">
      <c r="A1047" t="s">
        <v>1136</v>
      </c>
      <c r="B1047" t="s">
        <v>1076</v>
      </c>
      <c r="C1047" t="s">
        <v>105</v>
      </c>
      <c r="D1047" t="s">
        <v>187</v>
      </c>
      <c r="E1047" t="s">
        <v>16</v>
      </c>
      <c r="F1047" t="s">
        <v>17</v>
      </c>
      <c r="G1047" t="s">
        <v>32</v>
      </c>
      <c r="H1047" t="s">
        <v>19</v>
      </c>
      <c r="I1047" t="s">
        <v>20</v>
      </c>
      <c r="J1047" s="2">
        <v>300</v>
      </c>
    </row>
    <row r="1048" spans="1:12" ht="19.95" customHeight="1">
      <c r="A1048" t="s">
        <v>1137</v>
      </c>
      <c r="B1048" t="s">
        <v>1076</v>
      </c>
      <c r="C1048" t="s">
        <v>105</v>
      </c>
      <c r="D1048" t="s">
        <v>108</v>
      </c>
      <c r="E1048" t="s">
        <v>16</v>
      </c>
      <c r="F1048" t="s">
        <v>17</v>
      </c>
      <c r="G1048" t="s">
        <v>18</v>
      </c>
      <c r="H1048" t="s">
        <v>19</v>
      </c>
      <c r="I1048" t="s">
        <v>20</v>
      </c>
      <c r="J1048" s="2">
        <v>200</v>
      </c>
    </row>
    <row r="1049" spans="1:12" ht="19.95" customHeight="1">
      <c r="A1049" t="s">
        <v>1138</v>
      </c>
      <c r="B1049" t="s">
        <v>1076</v>
      </c>
      <c r="C1049" t="s">
        <v>105</v>
      </c>
      <c r="D1049" t="s">
        <v>116</v>
      </c>
      <c r="E1049" t="s">
        <v>16</v>
      </c>
      <c r="F1049" t="s">
        <v>17</v>
      </c>
      <c r="G1049" t="s">
        <v>23</v>
      </c>
      <c r="H1049" t="s">
        <v>19</v>
      </c>
      <c r="I1049" t="s">
        <v>20</v>
      </c>
      <c r="J1049" s="2">
        <v>120</v>
      </c>
    </row>
    <row r="1050" spans="1:12" ht="19.95" customHeight="1">
      <c r="A1050" t="s">
        <v>1139</v>
      </c>
      <c r="B1050" t="s">
        <v>1076</v>
      </c>
      <c r="C1050" t="s">
        <v>105</v>
      </c>
      <c r="D1050" t="s">
        <v>108</v>
      </c>
      <c r="E1050" t="s">
        <v>16</v>
      </c>
      <c r="F1050" t="s">
        <v>17</v>
      </c>
      <c r="G1050" t="s">
        <v>32</v>
      </c>
      <c r="H1050" t="s">
        <v>19</v>
      </c>
      <c r="I1050" t="s">
        <v>20</v>
      </c>
      <c r="J1050" s="2">
        <v>225</v>
      </c>
      <c r="L1050" t="s">
        <v>29</v>
      </c>
    </row>
    <row r="1051" spans="1:12" ht="19.95" customHeight="1">
      <c r="A1051" t="s">
        <v>1140</v>
      </c>
      <c r="B1051" t="s">
        <v>1076</v>
      </c>
      <c r="C1051" t="s">
        <v>105</v>
      </c>
      <c r="D1051" t="s">
        <v>110</v>
      </c>
      <c r="E1051" t="s">
        <v>16</v>
      </c>
      <c r="F1051" t="s">
        <v>17</v>
      </c>
      <c r="G1051" t="s">
        <v>32</v>
      </c>
      <c r="H1051" t="s">
        <v>19</v>
      </c>
      <c r="I1051" t="s">
        <v>20</v>
      </c>
      <c r="J1051" s="2">
        <v>300</v>
      </c>
    </row>
    <row r="1052" spans="1:12" ht="19.95" customHeight="1">
      <c r="A1052" t="s">
        <v>1141</v>
      </c>
      <c r="B1052" t="s">
        <v>1076</v>
      </c>
      <c r="C1052" t="s">
        <v>105</v>
      </c>
      <c r="D1052" t="s">
        <v>120</v>
      </c>
      <c r="E1052" t="s">
        <v>16</v>
      </c>
      <c r="F1052" t="s">
        <v>35</v>
      </c>
      <c r="G1052" t="s">
        <v>18</v>
      </c>
      <c r="H1052" t="s">
        <v>19</v>
      </c>
      <c r="I1052" t="s">
        <v>20</v>
      </c>
      <c r="J1052" s="2">
        <v>200</v>
      </c>
    </row>
    <row r="1053" spans="1:12" ht="19.95" customHeight="1">
      <c r="A1053" t="s">
        <v>1142</v>
      </c>
      <c r="B1053" t="s">
        <v>1076</v>
      </c>
      <c r="C1053" t="s">
        <v>14</v>
      </c>
      <c r="D1053" t="s">
        <v>31</v>
      </c>
      <c r="E1053" t="s">
        <v>402</v>
      </c>
      <c r="F1053" t="s">
        <v>35</v>
      </c>
      <c r="G1053" t="s">
        <v>23</v>
      </c>
      <c r="H1053" t="s">
        <v>19</v>
      </c>
      <c r="I1053" t="s">
        <v>20</v>
      </c>
      <c r="J1053" s="2">
        <v>120</v>
      </c>
      <c r="K1053" t="s">
        <v>881</v>
      </c>
    </row>
    <row r="1054" spans="1:12" ht="19.95" customHeight="1">
      <c r="A1054" t="s">
        <v>1143</v>
      </c>
      <c r="B1054" t="s">
        <v>1076</v>
      </c>
      <c r="C1054" t="s">
        <v>105</v>
      </c>
      <c r="D1054" t="s">
        <v>108</v>
      </c>
      <c r="E1054" t="s">
        <v>402</v>
      </c>
      <c r="F1054" t="s">
        <v>35</v>
      </c>
      <c r="G1054" t="s">
        <v>18</v>
      </c>
      <c r="H1054" t="s">
        <v>19</v>
      </c>
      <c r="I1054" t="s">
        <v>20</v>
      </c>
      <c r="J1054" s="2">
        <v>200</v>
      </c>
      <c r="K1054" t="s">
        <v>725</v>
      </c>
    </row>
    <row r="1055" spans="1:12" ht="19.95" customHeight="1">
      <c r="A1055" t="s">
        <v>1144</v>
      </c>
      <c r="B1055" t="s">
        <v>1145</v>
      </c>
      <c r="C1055" t="s">
        <v>14</v>
      </c>
      <c r="D1055" t="s">
        <v>137</v>
      </c>
      <c r="E1055" t="s">
        <v>16</v>
      </c>
      <c r="F1055" t="s">
        <v>17</v>
      </c>
      <c r="G1055" t="s">
        <v>23</v>
      </c>
      <c r="H1055" t="s">
        <v>19</v>
      </c>
      <c r="I1055" t="s">
        <v>74</v>
      </c>
      <c r="J1055" s="2">
        <v>90</v>
      </c>
      <c r="L1055" t="s">
        <v>29</v>
      </c>
    </row>
    <row r="1056" spans="1:12" ht="19.95" customHeight="1">
      <c r="A1056" t="s">
        <v>1146</v>
      </c>
      <c r="B1056" t="s">
        <v>1145</v>
      </c>
      <c r="C1056" t="s">
        <v>14</v>
      </c>
      <c r="D1056" t="s">
        <v>15</v>
      </c>
      <c r="E1056" t="s">
        <v>16</v>
      </c>
      <c r="F1056" t="s">
        <v>17</v>
      </c>
      <c r="G1056" t="s">
        <v>32</v>
      </c>
      <c r="H1056" t="s">
        <v>19</v>
      </c>
      <c r="I1056" t="s">
        <v>20</v>
      </c>
      <c r="J1056" s="2">
        <v>300</v>
      </c>
    </row>
    <row r="1057" spans="1:12" ht="19.95" customHeight="1">
      <c r="A1057" t="s">
        <v>1147</v>
      </c>
      <c r="B1057" t="s">
        <v>1145</v>
      </c>
      <c r="C1057" t="s">
        <v>14</v>
      </c>
      <c r="D1057" t="s">
        <v>40</v>
      </c>
      <c r="E1057" t="s">
        <v>16</v>
      </c>
      <c r="F1057" t="s">
        <v>17</v>
      </c>
      <c r="G1057" t="s">
        <v>18</v>
      </c>
      <c r="H1057" t="s">
        <v>19</v>
      </c>
      <c r="I1057" t="s">
        <v>20</v>
      </c>
      <c r="J1057" s="2">
        <v>200</v>
      </c>
    </row>
    <row r="1058" spans="1:12" ht="19.95" customHeight="1">
      <c r="A1058" t="s">
        <v>1148</v>
      </c>
      <c r="B1058" t="s">
        <v>1145</v>
      </c>
      <c r="C1058" t="s">
        <v>14</v>
      </c>
      <c r="D1058" t="s">
        <v>37</v>
      </c>
      <c r="E1058" t="s">
        <v>16</v>
      </c>
      <c r="F1058" t="s">
        <v>35</v>
      </c>
      <c r="G1058" t="s">
        <v>18</v>
      </c>
      <c r="H1058" t="s">
        <v>19</v>
      </c>
      <c r="I1058" t="s">
        <v>20</v>
      </c>
      <c r="J1058" s="2">
        <v>200</v>
      </c>
    </row>
    <row r="1059" spans="1:12" ht="19.95" customHeight="1">
      <c r="A1059" t="s">
        <v>1149</v>
      </c>
      <c r="B1059" t="s">
        <v>1145</v>
      </c>
      <c r="C1059" t="s">
        <v>14</v>
      </c>
      <c r="D1059" t="s">
        <v>40</v>
      </c>
      <c r="E1059" t="s">
        <v>16</v>
      </c>
      <c r="F1059" t="s">
        <v>17</v>
      </c>
      <c r="G1059" t="s">
        <v>18</v>
      </c>
      <c r="H1059" t="s">
        <v>19</v>
      </c>
      <c r="I1059" t="s">
        <v>20</v>
      </c>
      <c r="J1059" s="2">
        <v>200</v>
      </c>
    </row>
    <row r="1060" spans="1:12" ht="19.95" customHeight="1">
      <c r="A1060" t="s">
        <v>1150</v>
      </c>
      <c r="B1060" t="s">
        <v>1145</v>
      </c>
      <c r="C1060" t="s">
        <v>14</v>
      </c>
      <c r="D1060" t="s">
        <v>31</v>
      </c>
      <c r="E1060" t="s">
        <v>16</v>
      </c>
      <c r="F1060" t="s">
        <v>17</v>
      </c>
      <c r="G1060" t="s">
        <v>18</v>
      </c>
      <c r="H1060" t="s">
        <v>19</v>
      </c>
      <c r="I1060" t="s">
        <v>20</v>
      </c>
      <c r="J1060" s="2">
        <v>200</v>
      </c>
    </row>
    <row r="1061" spans="1:12" ht="19.95" customHeight="1">
      <c r="A1061" t="s">
        <v>1151</v>
      </c>
      <c r="B1061" t="s">
        <v>1145</v>
      </c>
      <c r="C1061" t="s">
        <v>14</v>
      </c>
      <c r="D1061" t="s">
        <v>137</v>
      </c>
      <c r="E1061" t="s">
        <v>16</v>
      </c>
      <c r="F1061" t="s">
        <v>35</v>
      </c>
      <c r="G1061" t="s">
        <v>23</v>
      </c>
      <c r="H1061" t="s">
        <v>19</v>
      </c>
      <c r="I1061" t="s">
        <v>20</v>
      </c>
      <c r="J1061" s="2">
        <v>120</v>
      </c>
    </row>
    <row r="1062" spans="1:12" ht="19.95" customHeight="1">
      <c r="A1062" t="s">
        <v>1152</v>
      </c>
      <c r="B1062" t="s">
        <v>1145</v>
      </c>
      <c r="C1062" t="s">
        <v>14</v>
      </c>
      <c r="D1062" t="s">
        <v>34</v>
      </c>
      <c r="E1062" t="s">
        <v>16</v>
      </c>
      <c r="F1062" t="s">
        <v>17</v>
      </c>
      <c r="G1062" t="s">
        <v>18</v>
      </c>
      <c r="H1062" t="s">
        <v>19</v>
      </c>
      <c r="I1062" t="s">
        <v>20</v>
      </c>
      <c r="J1062" s="2">
        <v>150</v>
      </c>
      <c r="L1062" t="s">
        <v>29</v>
      </c>
    </row>
    <row r="1063" spans="1:12" ht="19.95" customHeight="1">
      <c r="A1063" t="s">
        <v>1153</v>
      </c>
      <c r="B1063" t="s">
        <v>1145</v>
      </c>
      <c r="C1063" t="s">
        <v>14</v>
      </c>
      <c r="D1063" t="s">
        <v>34</v>
      </c>
      <c r="E1063" t="s">
        <v>16</v>
      </c>
      <c r="F1063" t="s">
        <v>17</v>
      </c>
      <c r="G1063" t="s">
        <v>18</v>
      </c>
      <c r="H1063" t="s">
        <v>19</v>
      </c>
      <c r="I1063" t="s">
        <v>20</v>
      </c>
      <c r="J1063" s="2">
        <v>200</v>
      </c>
    </row>
    <row r="1064" spans="1:12" ht="19.95" customHeight="1">
      <c r="A1064" t="s">
        <v>1154</v>
      </c>
      <c r="B1064" t="s">
        <v>1145</v>
      </c>
      <c r="C1064" t="s">
        <v>14</v>
      </c>
      <c r="D1064" t="s">
        <v>131</v>
      </c>
      <c r="E1064" t="s">
        <v>16</v>
      </c>
      <c r="F1064" t="s">
        <v>35</v>
      </c>
      <c r="G1064" t="s">
        <v>32</v>
      </c>
      <c r="H1064" t="s">
        <v>19</v>
      </c>
      <c r="I1064" t="s">
        <v>20</v>
      </c>
      <c r="J1064" s="2">
        <v>300</v>
      </c>
    </row>
    <row r="1065" spans="1:12" ht="19.95" customHeight="1">
      <c r="A1065" t="s">
        <v>1155</v>
      </c>
      <c r="B1065" t="s">
        <v>1145</v>
      </c>
      <c r="C1065" t="s">
        <v>14</v>
      </c>
      <c r="D1065" t="s">
        <v>22</v>
      </c>
      <c r="E1065" t="s">
        <v>16</v>
      </c>
      <c r="F1065" t="s">
        <v>17</v>
      </c>
      <c r="G1065" t="s">
        <v>18</v>
      </c>
      <c r="H1065" t="s">
        <v>19</v>
      </c>
      <c r="I1065" t="s">
        <v>20</v>
      </c>
      <c r="J1065" s="2">
        <v>200</v>
      </c>
    </row>
    <row r="1066" spans="1:12" ht="19.95" customHeight="1">
      <c r="A1066" t="s">
        <v>1156</v>
      </c>
      <c r="B1066" t="s">
        <v>1145</v>
      </c>
      <c r="C1066" t="s">
        <v>14</v>
      </c>
      <c r="D1066" t="s">
        <v>40</v>
      </c>
      <c r="E1066" t="s">
        <v>16</v>
      </c>
      <c r="F1066" t="s">
        <v>17</v>
      </c>
      <c r="G1066" t="s">
        <v>32</v>
      </c>
      <c r="H1066" t="s">
        <v>19</v>
      </c>
      <c r="I1066" t="s">
        <v>20</v>
      </c>
      <c r="J1066" s="2">
        <v>300</v>
      </c>
    </row>
    <row r="1067" spans="1:12" ht="19.95" customHeight="1">
      <c r="A1067" t="s">
        <v>1157</v>
      </c>
      <c r="B1067" t="s">
        <v>1145</v>
      </c>
      <c r="C1067" t="s">
        <v>14</v>
      </c>
      <c r="D1067" t="s">
        <v>28</v>
      </c>
      <c r="E1067" t="s">
        <v>16</v>
      </c>
      <c r="F1067" t="s">
        <v>17</v>
      </c>
      <c r="G1067" t="s">
        <v>18</v>
      </c>
      <c r="H1067" t="s">
        <v>19</v>
      </c>
      <c r="I1067" t="s">
        <v>20</v>
      </c>
      <c r="J1067" s="2">
        <v>200</v>
      </c>
    </row>
    <row r="1068" spans="1:12" ht="19.95" customHeight="1">
      <c r="A1068" t="s">
        <v>1158</v>
      </c>
      <c r="B1068" t="s">
        <v>1145</v>
      </c>
      <c r="C1068" t="s">
        <v>14</v>
      </c>
      <c r="D1068" t="s">
        <v>210</v>
      </c>
      <c r="E1068" t="s">
        <v>16</v>
      </c>
      <c r="F1068" t="s">
        <v>35</v>
      </c>
      <c r="G1068" t="s">
        <v>23</v>
      </c>
      <c r="H1068" t="s">
        <v>19</v>
      </c>
      <c r="I1068" t="s">
        <v>74</v>
      </c>
      <c r="J1068" s="2">
        <v>120</v>
      </c>
    </row>
    <row r="1069" spans="1:12" ht="19.95" customHeight="1">
      <c r="A1069" t="s">
        <v>1159</v>
      </c>
      <c r="B1069" t="s">
        <v>1145</v>
      </c>
      <c r="C1069" t="s">
        <v>14</v>
      </c>
      <c r="D1069" t="s">
        <v>40</v>
      </c>
      <c r="E1069" t="s">
        <v>16</v>
      </c>
      <c r="F1069" t="s">
        <v>17</v>
      </c>
      <c r="G1069" t="s">
        <v>18</v>
      </c>
      <c r="H1069" t="s">
        <v>19</v>
      </c>
      <c r="I1069" t="s">
        <v>20</v>
      </c>
      <c r="J1069" s="2">
        <v>200</v>
      </c>
    </row>
    <row r="1070" spans="1:12" ht="19.95" customHeight="1">
      <c r="A1070" t="s">
        <v>1160</v>
      </c>
      <c r="B1070" t="s">
        <v>1145</v>
      </c>
      <c r="C1070" t="s">
        <v>14</v>
      </c>
      <c r="D1070" t="s">
        <v>131</v>
      </c>
      <c r="E1070" t="s">
        <v>16</v>
      </c>
      <c r="F1070" t="s">
        <v>17</v>
      </c>
      <c r="G1070" t="s">
        <v>23</v>
      </c>
      <c r="H1070" t="s">
        <v>19</v>
      </c>
      <c r="I1070" t="s">
        <v>20</v>
      </c>
      <c r="J1070" s="2">
        <v>90</v>
      </c>
      <c r="L1070" t="s">
        <v>29</v>
      </c>
    </row>
    <row r="1071" spans="1:12" ht="19.95" customHeight="1">
      <c r="A1071" t="s">
        <v>1161</v>
      </c>
      <c r="B1071" t="s">
        <v>1145</v>
      </c>
      <c r="C1071" t="s">
        <v>14</v>
      </c>
      <c r="D1071" t="s">
        <v>31</v>
      </c>
      <c r="E1071" t="s">
        <v>16</v>
      </c>
      <c r="F1071" t="s">
        <v>17</v>
      </c>
      <c r="G1071" t="s">
        <v>32</v>
      </c>
      <c r="H1071" t="s">
        <v>19</v>
      </c>
      <c r="I1071" t="s">
        <v>20</v>
      </c>
      <c r="J1071" s="2">
        <v>300</v>
      </c>
    </row>
    <row r="1072" spans="1:12" ht="19.95" customHeight="1">
      <c r="A1072" t="s">
        <v>1162</v>
      </c>
      <c r="B1072" t="s">
        <v>1145</v>
      </c>
      <c r="C1072" t="s">
        <v>14</v>
      </c>
      <c r="D1072" t="s">
        <v>131</v>
      </c>
      <c r="E1072" t="s">
        <v>16</v>
      </c>
      <c r="F1072" t="s">
        <v>17</v>
      </c>
      <c r="G1072" t="s">
        <v>32</v>
      </c>
      <c r="H1072" t="s">
        <v>19</v>
      </c>
      <c r="I1072" t="s">
        <v>20</v>
      </c>
      <c r="J1072" s="2">
        <v>300</v>
      </c>
    </row>
    <row r="1073" spans="1:12" ht="19.95" customHeight="1">
      <c r="A1073" t="s">
        <v>1163</v>
      </c>
      <c r="B1073" t="s">
        <v>1145</v>
      </c>
      <c r="C1073" t="s">
        <v>47</v>
      </c>
      <c r="D1073" t="s">
        <v>64</v>
      </c>
      <c r="E1073" t="s">
        <v>16</v>
      </c>
      <c r="F1073" t="s">
        <v>17</v>
      </c>
      <c r="G1073" t="s">
        <v>23</v>
      </c>
      <c r="H1073" t="s">
        <v>19</v>
      </c>
      <c r="I1073" t="s">
        <v>20</v>
      </c>
      <c r="J1073" s="2">
        <v>120</v>
      </c>
    </row>
    <row r="1074" spans="1:12" ht="19.95" customHeight="1">
      <c r="A1074" t="s">
        <v>1164</v>
      </c>
      <c r="B1074" t="s">
        <v>1145</v>
      </c>
      <c r="C1074" t="s">
        <v>47</v>
      </c>
      <c r="D1074" t="s">
        <v>52</v>
      </c>
      <c r="E1074" t="s">
        <v>16</v>
      </c>
      <c r="F1074" t="s">
        <v>17</v>
      </c>
      <c r="G1074" t="s">
        <v>32</v>
      </c>
      <c r="H1074" t="s">
        <v>19</v>
      </c>
      <c r="I1074" t="s">
        <v>20</v>
      </c>
      <c r="J1074" s="2">
        <v>300</v>
      </c>
    </row>
    <row r="1075" spans="1:12" ht="19.95" customHeight="1">
      <c r="A1075" t="s">
        <v>1165</v>
      </c>
      <c r="B1075" t="s">
        <v>1145</v>
      </c>
      <c r="C1075" t="s">
        <v>47</v>
      </c>
      <c r="D1075" t="s">
        <v>152</v>
      </c>
      <c r="E1075" t="s">
        <v>16</v>
      </c>
      <c r="F1075" t="s">
        <v>17</v>
      </c>
      <c r="G1075" t="s">
        <v>23</v>
      </c>
      <c r="H1075" t="s">
        <v>19</v>
      </c>
      <c r="I1075" t="s">
        <v>20</v>
      </c>
      <c r="J1075" s="2">
        <v>120</v>
      </c>
    </row>
    <row r="1076" spans="1:12" ht="19.95" customHeight="1">
      <c r="A1076" t="s">
        <v>1166</v>
      </c>
      <c r="B1076" t="s">
        <v>1145</v>
      </c>
      <c r="C1076" t="s">
        <v>47</v>
      </c>
      <c r="D1076" t="s">
        <v>59</v>
      </c>
      <c r="E1076" t="s">
        <v>16</v>
      </c>
      <c r="F1076" t="s">
        <v>17</v>
      </c>
      <c r="G1076" t="s">
        <v>23</v>
      </c>
      <c r="H1076" t="s">
        <v>24</v>
      </c>
      <c r="I1076" t="s">
        <v>20</v>
      </c>
      <c r="J1076" s="2">
        <v>120</v>
      </c>
    </row>
    <row r="1077" spans="1:12" ht="19.95" customHeight="1">
      <c r="A1077" t="s">
        <v>1167</v>
      </c>
      <c r="B1077" t="s">
        <v>1145</v>
      </c>
      <c r="C1077" t="s">
        <v>47</v>
      </c>
      <c r="D1077" t="s">
        <v>50</v>
      </c>
      <c r="E1077" t="s">
        <v>16</v>
      </c>
      <c r="F1077" t="s">
        <v>17</v>
      </c>
      <c r="G1077" t="s">
        <v>23</v>
      </c>
      <c r="H1077" t="s">
        <v>19</v>
      </c>
      <c r="I1077" t="s">
        <v>20</v>
      </c>
      <c r="J1077" s="2">
        <v>90</v>
      </c>
      <c r="L1077" t="s">
        <v>29</v>
      </c>
    </row>
    <row r="1078" spans="1:12" ht="19.95" customHeight="1">
      <c r="A1078" t="s">
        <v>1168</v>
      </c>
      <c r="B1078" t="s">
        <v>1145</v>
      </c>
      <c r="C1078" t="s">
        <v>47</v>
      </c>
      <c r="D1078" t="s">
        <v>148</v>
      </c>
      <c r="E1078" t="s">
        <v>16</v>
      </c>
      <c r="F1078" t="s">
        <v>17</v>
      </c>
      <c r="G1078" t="s">
        <v>23</v>
      </c>
      <c r="H1078" t="s">
        <v>19</v>
      </c>
      <c r="I1078" t="s">
        <v>20</v>
      </c>
      <c r="J1078" s="2">
        <v>120</v>
      </c>
    </row>
    <row r="1079" spans="1:12" ht="19.95" customHeight="1">
      <c r="A1079" t="s">
        <v>1169</v>
      </c>
      <c r="B1079" t="s">
        <v>1145</v>
      </c>
      <c r="C1079" t="s">
        <v>47</v>
      </c>
      <c r="D1079" t="s">
        <v>152</v>
      </c>
      <c r="E1079" t="s">
        <v>16</v>
      </c>
      <c r="F1079" t="s">
        <v>17</v>
      </c>
      <c r="G1079" t="s">
        <v>32</v>
      </c>
      <c r="H1079" t="s">
        <v>19</v>
      </c>
      <c r="I1079" t="s">
        <v>20</v>
      </c>
      <c r="J1079" s="2">
        <v>300</v>
      </c>
    </row>
    <row r="1080" spans="1:12" ht="19.95" customHeight="1">
      <c r="A1080" t="s">
        <v>1170</v>
      </c>
      <c r="B1080" t="s">
        <v>1145</v>
      </c>
      <c r="C1080" t="s">
        <v>47</v>
      </c>
      <c r="D1080" t="s">
        <v>50</v>
      </c>
      <c r="E1080" t="s">
        <v>16</v>
      </c>
      <c r="F1080" t="s">
        <v>17</v>
      </c>
      <c r="G1080" t="s">
        <v>32</v>
      </c>
      <c r="H1080" t="s">
        <v>19</v>
      </c>
      <c r="I1080" t="s">
        <v>20</v>
      </c>
      <c r="J1080" s="2">
        <v>300</v>
      </c>
    </row>
    <row r="1081" spans="1:12" ht="19.95" customHeight="1">
      <c r="A1081" t="s">
        <v>1171</v>
      </c>
      <c r="B1081" t="s">
        <v>1145</v>
      </c>
      <c r="C1081" t="s">
        <v>47</v>
      </c>
      <c r="D1081" t="s">
        <v>73</v>
      </c>
      <c r="E1081" t="s">
        <v>16</v>
      </c>
      <c r="F1081" t="s">
        <v>17</v>
      </c>
      <c r="G1081" t="s">
        <v>23</v>
      </c>
      <c r="H1081" t="s">
        <v>19</v>
      </c>
      <c r="I1081" t="s">
        <v>20</v>
      </c>
      <c r="J1081" s="2">
        <v>120</v>
      </c>
    </row>
    <row r="1082" spans="1:12" ht="19.95" customHeight="1">
      <c r="A1082" t="s">
        <v>1172</v>
      </c>
      <c r="B1082" t="s">
        <v>1145</v>
      </c>
      <c r="C1082" t="s">
        <v>47</v>
      </c>
      <c r="D1082" t="s">
        <v>148</v>
      </c>
      <c r="E1082" t="s">
        <v>16</v>
      </c>
      <c r="F1082" t="s">
        <v>17</v>
      </c>
      <c r="G1082" t="s">
        <v>18</v>
      </c>
      <c r="H1082" t="s">
        <v>19</v>
      </c>
      <c r="I1082" t="s">
        <v>20</v>
      </c>
      <c r="J1082" s="2">
        <v>200</v>
      </c>
    </row>
    <row r="1083" spans="1:12" ht="19.95" customHeight="1">
      <c r="A1083" t="s">
        <v>1173</v>
      </c>
      <c r="B1083" t="s">
        <v>1145</v>
      </c>
      <c r="C1083" t="s">
        <v>47</v>
      </c>
      <c r="D1083" t="s">
        <v>50</v>
      </c>
      <c r="E1083" t="s">
        <v>16</v>
      </c>
      <c r="F1083" t="s">
        <v>17</v>
      </c>
      <c r="G1083" t="s">
        <v>32</v>
      </c>
      <c r="H1083" t="s">
        <v>19</v>
      </c>
      <c r="I1083" t="s">
        <v>20</v>
      </c>
      <c r="J1083" s="2">
        <v>225</v>
      </c>
      <c r="L1083" t="s">
        <v>29</v>
      </c>
    </row>
    <row r="1084" spans="1:12" ht="19.95" customHeight="1">
      <c r="A1084" t="s">
        <v>1174</v>
      </c>
      <c r="B1084" t="s">
        <v>1145</v>
      </c>
      <c r="C1084" t="s">
        <v>47</v>
      </c>
      <c r="D1084" t="s">
        <v>152</v>
      </c>
      <c r="E1084" t="s">
        <v>16</v>
      </c>
      <c r="F1084" t="s">
        <v>17</v>
      </c>
      <c r="G1084" t="s">
        <v>23</v>
      </c>
      <c r="H1084" t="s">
        <v>19</v>
      </c>
      <c r="I1084" t="s">
        <v>20</v>
      </c>
      <c r="J1084" s="2">
        <v>120</v>
      </c>
    </row>
    <row r="1085" spans="1:12" ht="19.95" customHeight="1">
      <c r="A1085" t="s">
        <v>1175</v>
      </c>
      <c r="B1085" t="s">
        <v>1145</v>
      </c>
      <c r="C1085" t="s">
        <v>47</v>
      </c>
      <c r="D1085" t="s">
        <v>52</v>
      </c>
      <c r="E1085" t="s">
        <v>16</v>
      </c>
      <c r="F1085" t="s">
        <v>17</v>
      </c>
      <c r="G1085" t="s">
        <v>18</v>
      </c>
      <c r="H1085" t="s">
        <v>19</v>
      </c>
      <c r="I1085" t="s">
        <v>20</v>
      </c>
      <c r="J1085" s="2">
        <v>200</v>
      </c>
    </row>
    <row r="1086" spans="1:12" ht="19.95" customHeight="1">
      <c r="A1086" t="s">
        <v>1176</v>
      </c>
      <c r="B1086" t="s">
        <v>1145</v>
      </c>
      <c r="C1086" t="s">
        <v>47</v>
      </c>
      <c r="D1086" t="s">
        <v>73</v>
      </c>
      <c r="E1086" t="s">
        <v>16</v>
      </c>
      <c r="F1086" t="s">
        <v>17</v>
      </c>
      <c r="G1086" t="s">
        <v>18</v>
      </c>
      <c r="H1086" t="s">
        <v>19</v>
      </c>
      <c r="I1086" t="s">
        <v>20</v>
      </c>
      <c r="J1086" s="2">
        <v>200</v>
      </c>
    </row>
    <row r="1087" spans="1:12" ht="19.95" customHeight="1">
      <c r="A1087" t="s">
        <v>1177</v>
      </c>
      <c r="B1087" t="s">
        <v>1145</v>
      </c>
      <c r="C1087" t="s">
        <v>47</v>
      </c>
      <c r="D1087" t="s">
        <v>55</v>
      </c>
      <c r="E1087" t="s">
        <v>16</v>
      </c>
      <c r="F1087" t="s">
        <v>17</v>
      </c>
      <c r="G1087" t="s">
        <v>23</v>
      </c>
      <c r="H1087" t="s">
        <v>19</v>
      </c>
      <c r="I1087" t="s">
        <v>20</v>
      </c>
      <c r="J1087" s="2">
        <v>120</v>
      </c>
    </row>
    <row r="1088" spans="1:12" ht="19.95" customHeight="1">
      <c r="A1088" t="s">
        <v>1178</v>
      </c>
      <c r="B1088" t="s">
        <v>1145</v>
      </c>
      <c r="C1088" t="s">
        <v>47</v>
      </c>
      <c r="D1088" t="s">
        <v>73</v>
      </c>
      <c r="E1088" t="s">
        <v>16</v>
      </c>
      <c r="F1088" t="s">
        <v>17</v>
      </c>
      <c r="G1088" t="s">
        <v>32</v>
      </c>
      <c r="H1088" t="s">
        <v>19</v>
      </c>
      <c r="I1088" t="s">
        <v>20</v>
      </c>
      <c r="J1088" s="2">
        <v>300</v>
      </c>
    </row>
    <row r="1089" spans="1:12" ht="19.95" customHeight="1">
      <c r="A1089" t="s">
        <v>1179</v>
      </c>
      <c r="B1089" t="s">
        <v>1145</v>
      </c>
      <c r="C1089" t="s">
        <v>47</v>
      </c>
      <c r="D1089" t="s">
        <v>73</v>
      </c>
      <c r="E1089" t="s">
        <v>16</v>
      </c>
      <c r="F1089" t="s">
        <v>17</v>
      </c>
      <c r="G1089" t="s">
        <v>32</v>
      </c>
      <c r="H1089" t="s">
        <v>19</v>
      </c>
      <c r="I1089" t="s">
        <v>20</v>
      </c>
      <c r="J1089" s="2">
        <v>300</v>
      </c>
    </row>
    <row r="1090" spans="1:12" ht="19.95" customHeight="1">
      <c r="A1090" t="s">
        <v>1180</v>
      </c>
      <c r="B1090" t="s">
        <v>1145</v>
      </c>
      <c r="C1090" t="s">
        <v>47</v>
      </c>
      <c r="D1090" t="s">
        <v>62</v>
      </c>
      <c r="E1090" t="s">
        <v>16</v>
      </c>
      <c r="F1090" t="s">
        <v>17</v>
      </c>
      <c r="G1090" t="s">
        <v>18</v>
      </c>
      <c r="H1090" t="s">
        <v>19</v>
      </c>
      <c r="I1090" t="s">
        <v>20</v>
      </c>
      <c r="J1090" s="2">
        <v>200</v>
      </c>
    </row>
    <row r="1091" spans="1:12" ht="19.95" customHeight="1">
      <c r="A1091" t="s">
        <v>1181</v>
      </c>
      <c r="B1091" t="s">
        <v>1145</v>
      </c>
      <c r="C1091" t="s">
        <v>78</v>
      </c>
      <c r="D1091" t="s">
        <v>83</v>
      </c>
      <c r="E1091" t="s">
        <v>16</v>
      </c>
      <c r="F1091" t="s">
        <v>17</v>
      </c>
      <c r="G1091" t="s">
        <v>18</v>
      </c>
      <c r="H1091" t="s">
        <v>19</v>
      </c>
      <c r="I1091" t="s">
        <v>20</v>
      </c>
      <c r="J1091" s="2">
        <v>200</v>
      </c>
    </row>
    <row r="1092" spans="1:12" ht="19.95" customHeight="1">
      <c r="A1092" t="s">
        <v>1182</v>
      </c>
      <c r="B1092" t="s">
        <v>1145</v>
      </c>
      <c r="C1092" t="s">
        <v>78</v>
      </c>
      <c r="D1092" t="s">
        <v>242</v>
      </c>
      <c r="E1092" t="s">
        <v>16</v>
      </c>
      <c r="F1092" t="s">
        <v>17</v>
      </c>
      <c r="G1092" t="s">
        <v>18</v>
      </c>
      <c r="H1092" t="s">
        <v>19</v>
      </c>
      <c r="I1092" t="s">
        <v>20</v>
      </c>
      <c r="J1092" s="2">
        <v>200</v>
      </c>
    </row>
    <row r="1093" spans="1:12" ht="19.95" customHeight="1">
      <c r="A1093" t="s">
        <v>1183</v>
      </c>
      <c r="B1093" t="s">
        <v>1145</v>
      </c>
      <c r="C1093" t="s">
        <v>78</v>
      </c>
      <c r="D1093" t="s">
        <v>87</v>
      </c>
      <c r="E1093" t="s">
        <v>16</v>
      </c>
      <c r="F1093" t="s">
        <v>17</v>
      </c>
      <c r="G1093" t="s">
        <v>23</v>
      </c>
      <c r="H1093" t="s">
        <v>19</v>
      </c>
      <c r="I1093" t="s">
        <v>20</v>
      </c>
      <c r="J1093" s="2">
        <v>90</v>
      </c>
      <c r="L1093" t="s">
        <v>29</v>
      </c>
    </row>
    <row r="1094" spans="1:12" ht="19.95" customHeight="1">
      <c r="A1094" t="s">
        <v>1184</v>
      </c>
      <c r="B1094" t="s">
        <v>1145</v>
      </c>
      <c r="C1094" t="s">
        <v>78</v>
      </c>
      <c r="D1094" t="s">
        <v>161</v>
      </c>
      <c r="E1094" t="s">
        <v>16</v>
      </c>
      <c r="F1094" t="s">
        <v>17</v>
      </c>
      <c r="G1094" t="s">
        <v>32</v>
      </c>
      <c r="H1094" t="s">
        <v>19</v>
      </c>
      <c r="I1094" t="s">
        <v>20</v>
      </c>
      <c r="J1094" s="2">
        <v>300</v>
      </c>
    </row>
    <row r="1095" spans="1:12" ht="19.95" customHeight="1">
      <c r="A1095" t="s">
        <v>1185</v>
      </c>
      <c r="B1095" t="s">
        <v>1145</v>
      </c>
      <c r="C1095" t="s">
        <v>78</v>
      </c>
      <c r="D1095" t="s">
        <v>79</v>
      </c>
      <c r="E1095" t="s">
        <v>16</v>
      </c>
      <c r="F1095" t="s">
        <v>17</v>
      </c>
      <c r="G1095" t="s">
        <v>32</v>
      </c>
      <c r="H1095" t="s">
        <v>19</v>
      </c>
      <c r="I1095" t="s">
        <v>20</v>
      </c>
      <c r="J1095" s="2">
        <v>255</v>
      </c>
      <c r="L1095" t="s">
        <v>29</v>
      </c>
    </row>
    <row r="1096" spans="1:12" ht="19.95" customHeight="1">
      <c r="A1096" t="s">
        <v>1186</v>
      </c>
      <c r="B1096" t="s">
        <v>1145</v>
      </c>
      <c r="C1096" t="s">
        <v>78</v>
      </c>
      <c r="D1096" t="s">
        <v>163</v>
      </c>
      <c r="E1096" t="s">
        <v>16</v>
      </c>
      <c r="F1096" t="s">
        <v>17</v>
      </c>
      <c r="G1096" t="s">
        <v>18</v>
      </c>
      <c r="H1096" t="s">
        <v>19</v>
      </c>
      <c r="I1096" t="s">
        <v>20</v>
      </c>
      <c r="J1096" s="2">
        <v>200</v>
      </c>
    </row>
    <row r="1097" spans="1:12" ht="19.95" customHeight="1">
      <c r="A1097" t="s">
        <v>1187</v>
      </c>
      <c r="B1097" t="s">
        <v>1145</v>
      </c>
      <c r="C1097" t="s">
        <v>78</v>
      </c>
      <c r="D1097" t="s">
        <v>161</v>
      </c>
      <c r="E1097" t="s">
        <v>16</v>
      </c>
      <c r="F1097" t="s">
        <v>17</v>
      </c>
      <c r="G1097" t="s">
        <v>18</v>
      </c>
      <c r="H1097" t="s">
        <v>24</v>
      </c>
      <c r="I1097" t="s">
        <v>20</v>
      </c>
      <c r="J1097" s="2">
        <v>200</v>
      </c>
    </row>
    <row r="1098" spans="1:12" ht="19.95" customHeight="1">
      <c r="A1098" t="s">
        <v>1188</v>
      </c>
      <c r="B1098" t="s">
        <v>1145</v>
      </c>
      <c r="C1098" t="s">
        <v>78</v>
      </c>
      <c r="D1098" t="s">
        <v>79</v>
      </c>
      <c r="E1098" t="s">
        <v>16</v>
      </c>
      <c r="F1098" t="s">
        <v>17</v>
      </c>
      <c r="G1098" t="s">
        <v>32</v>
      </c>
      <c r="H1098" t="s">
        <v>19</v>
      </c>
      <c r="I1098" t="s">
        <v>20</v>
      </c>
      <c r="J1098" s="2">
        <v>225</v>
      </c>
      <c r="L1098" t="s">
        <v>29</v>
      </c>
    </row>
    <row r="1099" spans="1:12" ht="19.95" customHeight="1">
      <c r="A1099" t="s">
        <v>1189</v>
      </c>
      <c r="B1099" t="s">
        <v>1145</v>
      </c>
      <c r="C1099" t="s">
        <v>78</v>
      </c>
      <c r="D1099" t="s">
        <v>163</v>
      </c>
      <c r="E1099" t="s">
        <v>16</v>
      </c>
      <c r="F1099" t="s">
        <v>35</v>
      </c>
      <c r="G1099" t="s">
        <v>32</v>
      </c>
      <c r="H1099" t="s">
        <v>19</v>
      </c>
      <c r="I1099" t="s">
        <v>20</v>
      </c>
      <c r="J1099" s="2">
        <v>300</v>
      </c>
    </row>
    <row r="1100" spans="1:12" ht="19.95" customHeight="1">
      <c r="A1100" t="s">
        <v>1190</v>
      </c>
      <c r="B1100" t="s">
        <v>1145</v>
      </c>
      <c r="C1100" t="s">
        <v>78</v>
      </c>
      <c r="D1100" t="s">
        <v>89</v>
      </c>
      <c r="E1100" t="s">
        <v>16</v>
      </c>
      <c r="F1100" t="s">
        <v>17</v>
      </c>
      <c r="G1100" t="s">
        <v>18</v>
      </c>
      <c r="H1100" t="s">
        <v>19</v>
      </c>
      <c r="I1100" t="s">
        <v>20</v>
      </c>
      <c r="J1100" s="2">
        <v>150</v>
      </c>
      <c r="L1100" t="s">
        <v>29</v>
      </c>
    </row>
    <row r="1101" spans="1:12" ht="19.95" customHeight="1">
      <c r="A1101" t="s">
        <v>1191</v>
      </c>
      <c r="B1101" t="s">
        <v>1145</v>
      </c>
      <c r="C1101" t="s">
        <v>78</v>
      </c>
      <c r="D1101" t="s">
        <v>83</v>
      </c>
      <c r="E1101" t="s">
        <v>16</v>
      </c>
      <c r="F1101" t="s">
        <v>35</v>
      </c>
      <c r="G1101" t="s">
        <v>18</v>
      </c>
      <c r="H1101" t="s">
        <v>19</v>
      </c>
      <c r="I1101" t="s">
        <v>20</v>
      </c>
      <c r="J1101" s="2">
        <v>200</v>
      </c>
    </row>
    <row r="1102" spans="1:12" ht="19.95" customHeight="1">
      <c r="A1102" t="s">
        <v>1192</v>
      </c>
      <c r="B1102" t="s">
        <v>1145</v>
      </c>
      <c r="C1102" t="s">
        <v>78</v>
      </c>
      <c r="D1102" t="s">
        <v>102</v>
      </c>
      <c r="E1102" t="s">
        <v>16</v>
      </c>
      <c r="F1102" t="s">
        <v>35</v>
      </c>
      <c r="G1102" t="s">
        <v>18</v>
      </c>
      <c r="H1102" t="s">
        <v>19</v>
      </c>
      <c r="I1102" t="s">
        <v>20</v>
      </c>
      <c r="J1102" s="2">
        <v>200</v>
      </c>
    </row>
    <row r="1103" spans="1:12" ht="19.95" customHeight="1">
      <c r="A1103" t="s">
        <v>1193</v>
      </c>
      <c r="B1103" t="s">
        <v>1145</v>
      </c>
      <c r="C1103" t="s">
        <v>78</v>
      </c>
      <c r="D1103" t="s">
        <v>83</v>
      </c>
      <c r="E1103" t="s">
        <v>16</v>
      </c>
      <c r="F1103" t="s">
        <v>17</v>
      </c>
      <c r="G1103" t="s">
        <v>32</v>
      </c>
      <c r="H1103" t="s">
        <v>19</v>
      </c>
      <c r="I1103" t="s">
        <v>20</v>
      </c>
      <c r="J1103" s="2">
        <v>300</v>
      </c>
    </row>
    <row r="1104" spans="1:12" ht="19.95" customHeight="1">
      <c r="A1104" t="s">
        <v>1194</v>
      </c>
      <c r="B1104" t="s">
        <v>1145</v>
      </c>
      <c r="C1104" t="s">
        <v>78</v>
      </c>
      <c r="D1104" t="s">
        <v>81</v>
      </c>
      <c r="E1104" t="s">
        <v>16</v>
      </c>
      <c r="F1104" t="s">
        <v>35</v>
      </c>
      <c r="G1104" t="s">
        <v>18</v>
      </c>
      <c r="H1104" t="s">
        <v>19</v>
      </c>
      <c r="I1104" t="s">
        <v>20</v>
      </c>
      <c r="J1104" s="2">
        <v>150</v>
      </c>
      <c r="L1104" t="s">
        <v>29</v>
      </c>
    </row>
    <row r="1105" spans="1:12" ht="19.95" customHeight="1">
      <c r="A1105" t="s">
        <v>1195</v>
      </c>
      <c r="B1105" t="s">
        <v>1145</v>
      </c>
      <c r="C1105" t="s">
        <v>78</v>
      </c>
      <c r="D1105" t="s">
        <v>242</v>
      </c>
      <c r="E1105" t="s">
        <v>16</v>
      </c>
      <c r="F1105" t="s">
        <v>17</v>
      </c>
      <c r="G1105" t="s">
        <v>32</v>
      </c>
      <c r="H1105" t="s">
        <v>19</v>
      </c>
      <c r="I1105" t="s">
        <v>20</v>
      </c>
      <c r="J1105" s="2">
        <v>300</v>
      </c>
    </row>
    <row r="1106" spans="1:12" ht="19.95" customHeight="1">
      <c r="A1106" t="s">
        <v>1196</v>
      </c>
      <c r="B1106" t="s">
        <v>1145</v>
      </c>
      <c r="C1106" t="s">
        <v>105</v>
      </c>
      <c r="D1106" t="s">
        <v>118</v>
      </c>
      <c r="E1106" t="s">
        <v>16</v>
      </c>
      <c r="F1106" t="s">
        <v>17</v>
      </c>
      <c r="G1106" t="s">
        <v>32</v>
      </c>
      <c r="H1106" t="s">
        <v>19</v>
      </c>
      <c r="I1106" t="s">
        <v>20</v>
      </c>
      <c r="J1106" s="2">
        <v>255</v>
      </c>
      <c r="L1106" t="s">
        <v>29</v>
      </c>
    </row>
    <row r="1107" spans="1:12" ht="19.95" customHeight="1">
      <c r="A1107" t="s">
        <v>1197</v>
      </c>
      <c r="B1107" t="s">
        <v>1145</v>
      </c>
      <c r="C1107" t="s">
        <v>105</v>
      </c>
      <c r="D1107" t="s">
        <v>265</v>
      </c>
      <c r="E1107" t="s">
        <v>16</v>
      </c>
      <c r="F1107" t="s">
        <v>35</v>
      </c>
      <c r="G1107" t="s">
        <v>23</v>
      </c>
      <c r="H1107" t="s">
        <v>19</v>
      </c>
      <c r="I1107" t="s">
        <v>20</v>
      </c>
      <c r="J1107" s="2">
        <v>120</v>
      </c>
    </row>
    <row r="1108" spans="1:12" ht="19.95" customHeight="1">
      <c r="A1108" t="s">
        <v>1198</v>
      </c>
      <c r="B1108" t="s">
        <v>1145</v>
      </c>
      <c r="C1108" t="s">
        <v>105</v>
      </c>
      <c r="D1108" t="s">
        <v>187</v>
      </c>
      <c r="E1108" t="s">
        <v>16</v>
      </c>
      <c r="F1108" t="s">
        <v>35</v>
      </c>
      <c r="G1108" t="s">
        <v>32</v>
      </c>
      <c r="H1108" t="s">
        <v>19</v>
      </c>
      <c r="I1108" t="s">
        <v>20</v>
      </c>
      <c r="J1108" s="2">
        <v>255</v>
      </c>
      <c r="L1108" t="s">
        <v>29</v>
      </c>
    </row>
    <row r="1109" spans="1:12" ht="19.95" customHeight="1">
      <c r="A1109" t="s">
        <v>1199</v>
      </c>
      <c r="B1109" t="s">
        <v>1145</v>
      </c>
      <c r="C1109" t="s">
        <v>105</v>
      </c>
      <c r="D1109" t="s">
        <v>112</v>
      </c>
      <c r="E1109" t="s">
        <v>16</v>
      </c>
      <c r="F1109" t="s">
        <v>17</v>
      </c>
      <c r="G1109" t="s">
        <v>32</v>
      </c>
      <c r="H1109" t="s">
        <v>19</v>
      </c>
      <c r="I1109" t="s">
        <v>20</v>
      </c>
      <c r="J1109" s="2">
        <v>300</v>
      </c>
    </row>
    <row r="1110" spans="1:12" ht="19.95" customHeight="1">
      <c r="A1110" t="s">
        <v>1200</v>
      </c>
      <c r="B1110" t="s">
        <v>1145</v>
      </c>
      <c r="C1110" t="s">
        <v>105</v>
      </c>
      <c r="D1110" t="s">
        <v>191</v>
      </c>
      <c r="E1110" t="s">
        <v>16</v>
      </c>
      <c r="F1110" t="s">
        <v>17</v>
      </c>
      <c r="G1110" t="s">
        <v>32</v>
      </c>
      <c r="H1110" t="s">
        <v>19</v>
      </c>
      <c r="I1110" t="s">
        <v>20</v>
      </c>
      <c r="J1110" s="2">
        <v>300</v>
      </c>
    </row>
    <row r="1111" spans="1:12" ht="19.95" customHeight="1">
      <c r="A1111" t="s">
        <v>1201</v>
      </c>
      <c r="B1111" t="s">
        <v>1145</v>
      </c>
      <c r="C1111" t="s">
        <v>105</v>
      </c>
      <c r="D1111" t="s">
        <v>106</v>
      </c>
      <c r="E1111" t="s">
        <v>16</v>
      </c>
      <c r="F1111" t="s">
        <v>17</v>
      </c>
      <c r="G1111" t="s">
        <v>23</v>
      </c>
      <c r="H1111" t="s">
        <v>19</v>
      </c>
      <c r="I1111" t="s">
        <v>20</v>
      </c>
      <c r="J1111" s="2">
        <v>120</v>
      </c>
    </row>
    <row r="1112" spans="1:12" ht="19.95" customHeight="1">
      <c r="A1112" t="s">
        <v>1202</v>
      </c>
      <c r="B1112" t="s">
        <v>1145</v>
      </c>
      <c r="C1112" t="s">
        <v>105</v>
      </c>
      <c r="D1112" t="s">
        <v>187</v>
      </c>
      <c r="E1112" t="s">
        <v>16</v>
      </c>
      <c r="F1112" t="s">
        <v>17</v>
      </c>
      <c r="G1112" t="s">
        <v>23</v>
      </c>
      <c r="H1112" t="s">
        <v>19</v>
      </c>
      <c r="I1112" t="s">
        <v>74</v>
      </c>
      <c r="J1112" s="2">
        <v>120</v>
      </c>
    </row>
    <row r="1113" spans="1:12" ht="19.95" customHeight="1">
      <c r="A1113" t="s">
        <v>1203</v>
      </c>
      <c r="B1113" t="s">
        <v>1145</v>
      </c>
      <c r="C1113" t="s">
        <v>105</v>
      </c>
      <c r="D1113" t="s">
        <v>191</v>
      </c>
      <c r="E1113" t="s">
        <v>16</v>
      </c>
      <c r="F1113" t="s">
        <v>17</v>
      </c>
      <c r="G1113" t="s">
        <v>18</v>
      </c>
      <c r="H1113" t="s">
        <v>19</v>
      </c>
      <c r="I1113" t="s">
        <v>20</v>
      </c>
      <c r="J1113" s="2">
        <v>200</v>
      </c>
    </row>
    <row r="1114" spans="1:12" ht="19.95" customHeight="1">
      <c r="A1114" t="s">
        <v>1204</v>
      </c>
      <c r="B1114" t="s">
        <v>1145</v>
      </c>
      <c r="C1114" t="s">
        <v>105</v>
      </c>
      <c r="D1114" t="s">
        <v>182</v>
      </c>
      <c r="E1114" t="s">
        <v>16</v>
      </c>
      <c r="F1114" t="s">
        <v>17</v>
      </c>
      <c r="G1114" t="s">
        <v>18</v>
      </c>
      <c r="H1114" t="s">
        <v>19</v>
      </c>
      <c r="I1114" t="s">
        <v>20</v>
      </c>
      <c r="J1114" s="2">
        <v>200</v>
      </c>
    </row>
    <row r="1115" spans="1:12" ht="19.95" customHeight="1">
      <c r="A1115" t="s">
        <v>1205</v>
      </c>
      <c r="B1115" t="s">
        <v>1145</v>
      </c>
      <c r="C1115" t="s">
        <v>105</v>
      </c>
      <c r="D1115" t="s">
        <v>191</v>
      </c>
      <c r="E1115" t="s">
        <v>16</v>
      </c>
      <c r="F1115" t="s">
        <v>35</v>
      </c>
      <c r="G1115" t="s">
        <v>23</v>
      </c>
      <c r="H1115" t="s">
        <v>19</v>
      </c>
      <c r="I1115" t="s">
        <v>20</v>
      </c>
      <c r="J1115" s="2">
        <v>120</v>
      </c>
    </row>
    <row r="1116" spans="1:12" ht="19.95" customHeight="1">
      <c r="A1116" t="s">
        <v>1206</v>
      </c>
      <c r="B1116" t="s">
        <v>1145</v>
      </c>
      <c r="C1116" t="s">
        <v>105</v>
      </c>
      <c r="D1116" t="s">
        <v>187</v>
      </c>
      <c r="E1116" t="s">
        <v>16</v>
      </c>
      <c r="F1116" t="s">
        <v>17</v>
      </c>
      <c r="G1116" t="s">
        <v>23</v>
      </c>
      <c r="H1116" t="s">
        <v>19</v>
      </c>
      <c r="I1116" t="s">
        <v>20</v>
      </c>
      <c r="J1116" s="2">
        <v>120</v>
      </c>
    </row>
    <row r="1117" spans="1:12" ht="19.95" customHeight="1">
      <c r="A1117" t="s">
        <v>1207</v>
      </c>
      <c r="B1117" t="s">
        <v>1145</v>
      </c>
      <c r="C1117" t="s">
        <v>105</v>
      </c>
      <c r="D1117" t="s">
        <v>118</v>
      </c>
      <c r="E1117" t="s">
        <v>16</v>
      </c>
      <c r="F1117" t="s">
        <v>17</v>
      </c>
      <c r="G1117" t="s">
        <v>23</v>
      </c>
      <c r="H1117" t="s">
        <v>19</v>
      </c>
      <c r="I1117" t="s">
        <v>20</v>
      </c>
      <c r="J1117" s="2">
        <v>120</v>
      </c>
    </row>
    <row r="1118" spans="1:12" ht="19.95" customHeight="1">
      <c r="A1118" t="s">
        <v>1208</v>
      </c>
      <c r="B1118" t="s">
        <v>1145</v>
      </c>
      <c r="C1118" t="s">
        <v>105</v>
      </c>
      <c r="D1118" t="s">
        <v>118</v>
      </c>
      <c r="E1118" t="s">
        <v>16</v>
      </c>
      <c r="F1118" t="s">
        <v>17</v>
      </c>
      <c r="G1118" t="s">
        <v>18</v>
      </c>
      <c r="H1118" t="s">
        <v>19</v>
      </c>
      <c r="I1118" t="s">
        <v>20</v>
      </c>
      <c r="J1118" s="2">
        <v>200</v>
      </c>
    </row>
    <row r="1119" spans="1:12" ht="19.95" customHeight="1">
      <c r="A1119" t="s">
        <v>1209</v>
      </c>
      <c r="B1119" t="s">
        <v>1145</v>
      </c>
      <c r="C1119" t="s">
        <v>105</v>
      </c>
      <c r="D1119" t="s">
        <v>110</v>
      </c>
      <c r="E1119" t="s">
        <v>16</v>
      </c>
      <c r="F1119" t="s">
        <v>17</v>
      </c>
      <c r="G1119" t="s">
        <v>18</v>
      </c>
      <c r="H1119" t="s">
        <v>19</v>
      </c>
      <c r="I1119" t="s">
        <v>20</v>
      </c>
      <c r="J1119" s="2">
        <v>200</v>
      </c>
    </row>
    <row r="1120" spans="1:12" ht="19.95" customHeight="1">
      <c r="A1120" t="s">
        <v>1210</v>
      </c>
      <c r="B1120" t="s">
        <v>1145</v>
      </c>
      <c r="C1120" t="s">
        <v>105</v>
      </c>
      <c r="D1120" t="s">
        <v>118</v>
      </c>
      <c r="E1120" t="s">
        <v>16</v>
      </c>
      <c r="F1120" t="s">
        <v>17</v>
      </c>
      <c r="G1120" t="s">
        <v>32</v>
      </c>
      <c r="H1120" t="s">
        <v>19</v>
      </c>
      <c r="I1120" t="s">
        <v>20</v>
      </c>
      <c r="J1120" s="2">
        <v>300</v>
      </c>
    </row>
    <row r="1121" spans="1:12" ht="19.95" customHeight="1">
      <c r="A1121" t="s">
        <v>1211</v>
      </c>
      <c r="B1121" t="s">
        <v>1145</v>
      </c>
      <c r="C1121" t="s">
        <v>105</v>
      </c>
      <c r="D1121" t="s">
        <v>112</v>
      </c>
      <c r="E1121" t="s">
        <v>16</v>
      </c>
      <c r="F1121" t="s">
        <v>17</v>
      </c>
      <c r="G1121" t="s">
        <v>18</v>
      </c>
      <c r="H1121" t="s">
        <v>19</v>
      </c>
      <c r="I1121" t="s">
        <v>53</v>
      </c>
      <c r="J1121" s="2">
        <v>200</v>
      </c>
    </row>
    <row r="1122" spans="1:12" ht="19.95" customHeight="1">
      <c r="A1122" t="s">
        <v>1212</v>
      </c>
      <c r="B1122" t="s">
        <v>1145</v>
      </c>
      <c r="C1122" t="s">
        <v>105</v>
      </c>
      <c r="D1122" t="s">
        <v>194</v>
      </c>
      <c r="E1122" t="s">
        <v>16</v>
      </c>
      <c r="F1122" t="s">
        <v>17</v>
      </c>
      <c r="G1122" t="s">
        <v>18</v>
      </c>
      <c r="H1122" t="s">
        <v>19</v>
      </c>
      <c r="I1122" t="s">
        <v>20</v>
      </c>
      <c r="J1122" s="2">
        <v>200</v>
      </c>
    </row>
    <row r="1123" spans="1:12" ht="19.95" customHeight="1">
      <c r="A1123" t="s">
        <v>1213</v>
      </c>
      <c r="B1123" t="s">
        <v>1145</v>
      </c>
      <c r="C1123" t="s">
        <v>105</v>
      </c>
      <c r="D1123" t="s">
        <v>120</v>
      </c>
      <c r="E1123" t="s">
        <v>16</v>
      </c>
      <c r="F1123" t="s">
        <v>35</v>
      </c>
      <c r="G1123" t="s">
        <v>23</v>
      </c>
      <c r="H1123" t="s">
        <v>19</v>
      </c>
      <c r="I1123" t="s">
        <v>53</v>
      </c>
      <c r="J1123" s="2">
        <v>120</v>
      </c>
    </row>
    <row r="1124" spans="1:12" ht="19.95" customHeight="1">
      <c r="A1124" t="s">
        <v>1214</v>
      </c>
      <c r="B1124" t="s">
        <v>1145</v>
      </c>
      <c r="C1124" t="s">
        <v>105</v>
      </c>
      <c r="D1124" t="s">
        <v>106</v>
      </c>
      <c r="E1124" t="s">
        <v>16</v>
      </c>
      <c r="F1124" t="s">
        <v>17</v>
      </c>
      <c r="G1124" t="s">
        <v>23</v>
      </c>
      <c r="H1124" t="s">
        <v>19</v>
      </c>
      <c r="I1124" t="s">
        <v>20</v>
      </c>
      <c r="J1124" s="2">
        <v>120</v>
      </c>
    </row>
    <row r="1125" spans="1:12" ht="19.95" customHeight="1">
      <c r="A1125" t="s">
        <v>1215</v>
      </c>
      <c r="B1125" t="s">
        <v>1145</v>
      </c>
      <c r="C1125" t="s">
        <v>47</v>
      </c>
      <c r="D1125" t="s">
        <v>66</v>
      </c>
      <c r="E1125" t="s">
        <v>402</v>
      </c>
      <c r="F1125" t="s">
        <v>17</v>
      </c>
      <c r="G1125" t="s">
        <v>18</v>
      </c>
      <c r="H1125" t="s">
        <v>19</v>
      </c>
      <c r="I1125" t="s">
        <v>20</v>
      </c>
      <c r="J1125" s="2">
        <v>200</v>
      </c>
      <c r="K1125" t="s">
        <v>1096</v>
      </c>
    </row>
    <row r="1126" spans="1:12" ht="19.95" customHeight="1">
      <c r="A1126" t="s">
        <v>1216</v>
      </c>
      <c r="B1126" t="s">
        <v>1217</v>
      </c>
      <c r="C1126" t="s">
        <v>14</v>
      </c>
      <c r="D1126" t="s">
        <v>34</v>
      </c>
      <c r="E1126" t="s">
        <v>16</v>
      </c>
      <c r="F1126" t="s">
        <v>17</v>
      </c>
      <c r="G1126" t="s">
        <v>18</v>
      </c>
      <c r="H1126" t="s">
        <v>19</v>
      </c>
      <c r="I1126" t="s">
        <v>20</v>
      </c>
      <c r="J1126" s="2">
        <v>200</v>
      </c>
    </row>
    <row r="1127" spans="1:12" ht="19.95" customHeight="1">
      <c r="A1127" t="s">
        <v>1218</v>
      </c>
      <c r="B1127" t="s">
        <v>1217</v>
      </c>
      <c r="C1127" t="s">
        <v>14</v>
      </c>
      <c r="D1127" t="s">
        <v>40</v>
      </c>
      <c r="E1127" t="s">
        <v>16</v>
      </c>
      <c r="F1127" t="s">
        <v>35</v>
      </c>
      <c r="G1127" t="s">
        <v>23</v>
      </c>
      <c r="H1127" t="s">
        <v>19</v>
      </c>
      <c r="I1127" t="s">
        <v>20</v>
      </c>
      <c r="J1127" s="2">
        <v>120</v>
      </c>
    </row>
    <row r="1128" spans="1:12" ht="19.95" customHeight="1">
      <c r="A1128" t="s">
        <v>1219</v>
      </c>
      <c r="B1128" t="s">
        <v>1217</v>
      </c>
      <c r="C1128" t="s">
        <v>14</v>
      </c>
      <c r="D1128" t="s">
        <v>131</v>
      </c>
      <c r="E1128" t="s">
        <v>16</v>
      </c>
      <c r="F1128" t="s">
        <v>17</v>
      </c>
      <c r="G1128" t="s">
        <v>23</v>
      </c>
      <c r="H1128" t="s">
        <v>19</v>
      </c>
      <c r="I1128" t="s">
        <v>20</v>
      </c>
      <c r="J1128" s="2">
        <v>120</v>
      </c>
    </row>
    <row r="1129" spans="1:12" ht="19.95" customHeight="1">
      <c r="A1129" t="s">
        <v>1220</v>
      </c>
      <c r="B1129" t="s">
        <v>1217</v>
      </c>
      <c r="C1129" t="s">
        <v>14</v>
      </c>
      <c r="D1129" t="s">
        <v>40</v>
      </c>
      <c r="E1129" t="s">
        <v>16</v>
      </c>
      <c r="F1129" t="s">
        <v>17</v>
      </c>
      <c r="G1129" t="s">
        <v>23</v>
      </c>
      <c r="H1129" t="s">
        <v>19</v>
      </c>
      <c r="I1129" t="s">
        <v>20</v>
      </c>
      <c r="J1129" s="2">
        <v>120</v>
      </c>
    </row>
    <row r="1130" spans="1:12" ht="19.95" customHeight="1">
      <c r="A1130" t="s">
        <v>1221</v>
      </c>
      <c r="B1130" t="s">
        <v>1217</v>
      </c>
      <c r="C1130" t="s">
        <v>14</v>
      </c>
      <c r="D1130" t="s">
        <v>34</v>
      </c>
      <c r="E1130" t="s">
        <v>16</v>
      </c>
      <c r="F1130" t="s">
        <v>17</v>
      </c>
      <c r="G1130" t="s">
        <v>32</v>
      </c>
      <c r="H1130" t="s">
        <v>24</v>
      </c>
      <c r="I1130" t="s">
        <v>20</v>
      </c>
      <c r="J1130" s="2">
        <v>300</v>
      </c>
    </row>
    <row r="1131" spans="1:12" ht="19.95" customHeight="1">
      <c r="A1131" t="s">
        <v>1222</v>
      </c>
      <c r="B1131" t="s">
        <v>1217</v>
      </c>
      <c r="C1131" t="s">
        <v>14</v>
      </c>
      <c r="D1131" t="s">
        <v>22</v>
      </c>
      <c r="E1131" t="s">
        <v>16</v>
      </c>
      <c r="F1131" t="s">
        <v>17</v>
      </c>
      <c r="G1131" t="s">
        <v>18</v>
      </c>
      <c r="H1131" t="s">
        <v>19</v>
      </c>
      <c r="I1131" t="s">
        <v>20</v>
      </c>
      <c r="J1131" s="2">
        <v>200</v>
      </c>
    </row>
    <row r="1132" spans="1:12" ht="19.95" customHeight="1">
      <c r="A1132" t="s">
        <v>1223</v>
      </c>
      <c r="B1132" t="s">
        <v>1217</v>
      </c>
      <c r="C1132" t="s">
        <v>14</v>
      </c>
      <c r="D1132" t="s">
        <v>42</v>
      </c>
      <c r="E1132" t="s">
        <v>16</v>
      </c>
      <c r="F1132" t="s">
        <v>17</v>
      </c>
      <c r="G1132" t="s">
        <v>18</v>
      </c>
      <c r="H1132" t="s">
        <v>19</v>
      </c>
      <c r="I1132" t="s">
        <v>20</v>
      </c>
      <c r="J1132" s="2">
        <v>200</v>
      </c>
    </row>
    <row r="1133" spans="1:12" ht="19.95" customHeight="1">
      <c r="A1133" t="s">
        <v>1224</v>
      </c>
      <c r="B1133" t="s">
        <v>1217</v>
      </c>
      <c r="C1133" t="s">
        <v>14</v>
      </c>
      <c r="D1133" t="s">
        <v>131</v>
      </c>
      <c r="E1133" t="s">
        <v>16</v>
      </c>
      <c r="F1133" t="s">
        <v>35</v>
      </c>
      <c r="G1133" t="s">
        <v>18</v>
      </c>
      <c r="H1133" t="s">
        <v>19</v>
      </c>
      <c r="I1133" t="s">
        <v>20</v>
      </c>
      <c r="J1133" s="2">
        <v>200</v>
      </c>
    </row>
    <row r="1134" spans="1:12" ht="19.95" customHeight="1">
      <c r="A1134" t="s">
        <v>1225</v>
      </c>
      <c r="B1134" t="s">
        <v>1217</v>
      </c>
      <c r="C1134" t="s">
        <v>14</v>
      </c>
      <c r="D1134" t="s">
        <v>31</v>
      </c>
      <c r="E1134" t="s">
        <v>16</v>
      </c>
      <c r="F1134" t="s">
        <v>17</v>
      </c>
      <c r="G1134" t="s">
        <v>32</v>
      </c>
      <c r="H1134" t="s">
        <v>19</v>
      </c>
      <c r="I1134" t="s">
        <v>20</v>
      </c>
      <c r="J1134" s="2">
        <v>300</v>
      </c>
    </row>
    <row r="1135" spans="1:12" ht="19.95" customHeight="1">
      <c r="A1135" t="s">
        <v>1226</v>
      </c>
      <c r="B1135" t="s">
        <v>1217</v>
      </c>
      <c r="C1135" t="s">
        <v>14</v>
      </c>
      <c r="D1135" t="s">
        <v>22</v>
      </c>
      <c r="E1135" t="s">
        <v>16</v>
      </c>
      <c r="F1135" t="s">
        <v>17</v>
      </c>
      <c r="G1135" t="s">
        <v>23</v>
      </c>
      <c r="H1135" t="s">
        <v>19</v>
      </c>
      <c r="I1135" t="s">
        <v>20</v>
      </c>
      <c r="J1135" s="2">
        <v>102</v>
      </c>
      <c r="L1135" t="s">
        <v>29</v>
      </c>
    </row>
    <row r="1136" spans="1:12" ht="19.95" customHeight="1">
      <c r="A1136" t="s">
        <v>1227</v>
      </c>
      <c r="B1136" t="s">
        <v>1217</v>
      </c>
      <c r="C1136" t="s">
        <v>14</v>
      </c>
      <c r="D1136" t="s">
        <v>31</v>
      </c>
      <c r="E1136" t="s">
        <v>16</v>
      </c>
      <c r="F1136" t="s">
        <v>17</v>
      </c>
      <c r="G1136" t="s">
        <v>23</v>
      </c>
      <c r="H1136" t="s">
        <v>19</v>
      </c>
      <c r="I1136" t="s">
        <v>20</v>
      </c>
      <c r="J1136" s="2">
        <v>120</v>
      </c>
    </row>
    <row r="1137" spans="1:12" ht="19.95" customHeight="1">
      <c r="A1137" t="s">
        <v>1228</v>
      </c>
      <c r="B1137" t="s">
        <v>1217</v>
      </c>
      <c r="C1137" t="s">
        <v>14</v>
      </c>
      <c r="D1137" t="s">
        <v>210</v>
      </c>
      <c r="E1137" t="s">
        <v>16</v>
      </c>
      <c r="F1137" t="s">
        <v>17</v>
      </c>
      <c r="G1137" t="s">
        <v>32</v>
      </c>
      <c r="H1137" t="s">
        <v>19</v>
      </c>
      <c r="I1137" t="s">
        <v>20</v>
      </c>
      <c r="J1137" s="2">
        <v>300</v>
      </c>
    </row>
    <row r="1138" spans="1:12" ht="19.95" customHeight="1">
      <c r="A1138" t="s">
        <v>1229</v>
      </c>
      <c r="B1138" t="s">
        <v>1217</v>
      </c>
      <c r="C1138" t="s">
        <v>14</v>
      </c>
      <c r="D1138" t="s">
        <v>131</v>
      </c>
      <c r="E1138" t="s">
        <v>16</v>
      </c>
      <c r="F1138" t="s">
        <v>35</v>
      </c>
      <c r="G1138" t="s">
        <v>32</v>
      </c>
      <c r="H1138" t="s">
        <v>19</v>
      </c>
      <c r="I1138" t="s">
        <v>20</v>
      </c>
      <c r="J1138" s="2">
        <v>300</v>
      </c>
    </row>
    <row r="1139" spans="1:12" ht="19.95" customHeight="1">
      <c r="A1139" t="s">
        <v>1230</v>
      </c>
      <c r="B1139" t="s">
        <v>1217</v>
      </c>
      <c r="C1139" t="s">
        <v>14</v>
      </c>
      <c r="D1139" t="s">
        <v>131</v>
      </c>
      <c r="E1139" t="s">
        <v>16</v>
      </c>
      <c r="F1139" t="s">
        <v>17</v>
      </c>
      <c r="G1139" t="s">
        <v>23</v>
      </c>
      <c r="H1139" t="s">
        <v>19</v>
      </c>
      <c r="I1139" t="s">
        <v>20</v>
      </c>
      <c r="J1139" s="2">
        <v>120</v>
      </c>
    </row>
    <row r="1140" spans="1:12" ht="19.95" customHeight="1">
      <c r="A1140" t="s">
        <v>1231</v>
      </c>
      <c r="B1140" t="s">
        <v>1217</v>
      </c>
      <c r="C1140" t="s">
        <v>14</v>
      </c>
      <c r="D1140" t="s">
        <v>37</v>
      </c>
      <c r="E1140" t="s">
        <v>16</v>
      </c>
      <c r="F1140" t="s">
        <v>17</v>
      </c>
      <c r="G1140" t="s">
        <v>32</v>
      </c>
      <c r="H1140" t="s">
        <v>19</v>
      </c>
      <c r="I1140" t="s">
        <v>20</v>
      </c>
      <c r="J1140" s="2">
        <v>300</v>
      </c>
    </row>
    <row r="1141" spans="1:12" ht="19.95" customHeight="1">
      <c r="A1141" t="s">
        <v>1232</v>
      </c>
      <c r="B1141" t="s">
        <v>1217</v>
      </c>
      <c r="C1141" t="s">
        <v>14</v>
      </c>
      <c r="D1141" t="s">
        <v>26</v>
      </c>
      <c r="E1141" t="s">
        <v>16</v>
      </c>
      <c r="F1141" t="s">
        <v>17</v>
      </c>
      <c r="G1141" t="s">
        <v>23</v>
      </c>
      <c r="H1141" t="s">
        <v>19</v>
      </c>
      <c r="I1141" t="s">
        <v>20</v>
      </c>
      <c r="J1141" s="2">
        <v>120</v>
      </c>
    </row>
    <row r="1142" spans="1:12" ht="19.95" customHeight="1">
      <c r="A1142" t="s">
        <v>1233</v>
      </c>
      <c r="B1142" t="s">
        <v>1217</v>
      </c>
      <c r="C1142" t="s">
        <v>14</v>
      </c>
      <c r="D1142" t="s">
        <v>42</v>
      </c>
      <c r="E1142" t="s">
        <v>16</v>
      </c>
      <c r="F1142" t="s">
        <v>17</v>
      </c>
      <c r="G1142" t="s">
        <v>18</v>
      </c>
      <c r="H1142" t="s">
        <v>19</v>
      </c>
      <c r="I1142" t="s">
        <v>20</v>
      </c>
      <c r="J1142" s="2">
        <v>150</v>
      </c>
      <c r="L1142" t="s">
        <v>29</v>
      </c>
    </row>
    <row r="1143" spans="1:12" ht="19.95" customHeight="1">
      <c r="A1143" t="s">
        <v>1234</v>
      </c>
      <c r="B1143" t="s">
        <v>1217</v>
      </c>
      <c r="C1143" t="s">
        <v>14</v>
      </c>
      <c r="D1143" t="s">
        <v>26</v>
      </c>
      <c r="E1143" t="s">
        <v>16</v>
      </c>
      <c r="F1143" t="s">
        <v>17</v>
      </c>
      <c r="G1143" t="s">
        <v>18</v>
      </c>
      <c r="H1143" t="s">
        <v>19</v>
      </c>
      <c r="I1143" t="s">
        <v>20</v>
      </c>
      <c r="J1143" s="2">
        <v>200</v>
      </c>
    </row>
    <row r="1144" spans="1:12" ht="19.95" customHeight="1">
      <c r="A1144" t="s">
        <v>1235</v>
      </c>
      <c r="B1144" t="s">
        <v>1217</v>
      </c>
      <c r="C1144" t="s">
        <v>14</v>
      </c>
      <c r="D1144" t="s">
        <v>210</v>
      </c>
      <c r="E1144" t="s">
        <v>16</v>
      </c>
      <c r="F1144" t="s">
        <v>17</v>
      </c>
      <c r="G1144" t="s">
        <v>23</v>
      </c>
      <c r="H1144" t="s">
        <v>19</v>
      </c>
      <c r="I1144" t="s">
        <v>20</v>
      </c>
      <c r="J1144" s="2">
        <v>120</v>
      </c>
    </row>
    <row r="1145" spans="1:12" ht="19.95" customHeight="1">
      <c r="A1145" t="s">
        <v>1236</v>
      </c>
      <c r="B1145" t="s">
        <v>1217</v>
      </c>
      <c r="C1145" t="s">
        <v>47</v>
      </c>
      <c r="D1145" t="s">
        <v>55</v>
      </c>
      <c r="E1145" t="s">
        <v>16</v>
      </c>
      <c r="F1145" t="s">
        <v>35</v>
      </c>
      <c r="G1145" t="s">
        <v>32</v>
      </c>
      <c r="H1145" t="s">
        <v>19</v>
      </c>
      <c r="I1145" t="s">
        <v>20</v>
      </c>
      <c r="J1145" s="2">
        <v>300</v>
      </c>
    </row>
    <row r="1146" spans="1:12" ht="19.95" customHeight="1">
      <c r="A1146" t="s">
        <v>1237</v>
      </c>
      <c r="B1146" t="s">
        <v>1217</v>
      </c>
      <c r="C1146" t="s">
        <v>47</v>
      </c>
      <c r="D1146" t="s">
        <v>50</v>
      </c>
      <c r="E1146" t="s">
        <v>16</v>
      </c>
      <c r="F1146" t="s">
        <v>17</v>
      </c>
      <c r="G1146" t="s">
        <v>23</v>
      </c>
      <c r="H1146" t="s">
        <v>19</v>
      </c>
      <c r="I1146" t="s">
        <v>20</v>
      </c>
      <c r="J1146" s="2">
        <v>120</v>
      </c>
    </row>
    <row r="1147" spans="1:12" ht="19.95" customHeight="1">
      <c r="A1147" t="s">
        <v>1238</v>
      </c>
      <c r="B1147" t="s">
        <v>1217</v>
      </c>
      <c r="C1147" t="s">
        <v>47</v>
      </c>
      <c r="D1147" t="s">
        <v>148</v>
      </c>
      <c r="E1147" t="s">
        <v>16</v>
      </c>
      <c r="F1147" t="s">
        <v>17</v>
      </c>
      <c r="G1147" t="s">
        <v>32</v>
      </c>
      <c r="H1147" t="s">
        <v>19</v>
      </c>
      <c r="I1147" t="s">
        <v>20</v>
      </c>
      <c r="J1147" s="2">
        <v>300</v>
      </c>
    </row>
    <row r="1148" spans="1:12" ht="19.95" customHeight="1">
      <c r="A1148" t="s">
        <v>1239</v>
      </c>
      <c r="B1148" t="s">
        <v>1217</v>
      </c>
      <c r="C1148" t="s">
        <v>47</v>
      </c>
      <c r="D1148" t="s">
        <v>52</v>
      </c>
      <c r="E1148" t="s">
        <v>16</v>
      </c>
      <c r="F1148" t="s">
        <v>17</v>
      </c>
      <c r="G1148" t="s">
        <v>32</v>
      </c>
      <c r="H1148" t="s">
        <v>19</v>
      </c>
      <c r="I1148" t="s">
        <v>20</v>
      </c>
      <c r="J1148" s="2">
        <v>300</v>
      </c>
    </row>
    <row r="1149" spans="1:12" ht="19.95" customHeight="1">
      <c r="A1149" t="s">
        <v>1240</v>
      </c>
      <c r="B1149" t="s">
        <v>1217</v>
      </c>
      <c r="C1149" t="s">
        <v>47</v>
      </c>
      <c r="D1149" t="s">
        <v>48</v>
      </c>
      <c r="E1149" t="s">
        <v>16</v>
      </c>
      <c r="F1149" t="s">
        <v>17</v>
      </c>
      <c r="G1149" t="s">
        <v>18</v>
      </c>
      <c r="H1149" t="s">
        <v>24</v>
      </c>
      <c r="I1149" t="s">
        <v>74</v>
      </c>
      <c r="J1149" s="2">
        <v>200</v>
      </c>
    </row>
    <row r="1150" spans="1:12" ht="19.95" customHeight="1">
      <c r="A1150" t="s">
        <v>1241</v>
      </c>
      <c r="B1150" t="s">
        <v>1217</v>
      </c>
      <c r="C1150" t="s">
        <v>47</v>
      </c>
      <c r="D1150" t="s">
        <v>50</v>
      </c>
      <c r="E1150" t="s">
        <v>16</v>
      </c>
      <c r="F1150" t="s">
        <v>17</v>
      </c>
      <c r="G1150" t="s">
        <v>18</v>
      </c>
      <c r="H1150" t="s">
        <v>19</v>
      </c>
      <c r="I1150" t="s">
        <v>20</v>
      </c>
      <c r="J1150" s="2">
        <v>170</v>
      </c>
      <c r="L1150" t="s">
        <v>29</v>
      </c>
    </row>
    <row r="1151" spans="1:12" ht="19.95" customHeight="1">
      <c r="A1151" t="s">
        <v>1242</v>
      </c>
      <c r="B1151" t="s">
        <v>1217</v>
      </c>
      <c r="C1151" t="s">
        <v>47</v>
      </c>
      <c r="D1151" t="s">
        <v>50</v>
      </c>
      <c r="E1151" t="s">
        <v>16</v>
      </c>
      <c r="F1151" t="s">
        <v>17</v>
      </c>
      <c r="G1151" t="s">
        <v>32</v>
      </c>
      <c r="H1151" t="s">
        <v>19</v>
      </c>
      <c r="I1151" t="s">
        <v>20</v>
      </c>
      <c r="J1151" s="2">
        <v>300</v>
      </c>
    </row>
    <row r="1152" spans="1:12" ht="19.95" customHeight="1">
      <c r="A1152" t="s">
        <v>1243</v>
      </c>
      <c r="B1152" t="s">
        <v>1217</v>
      </c>
      <c r="C1152" t="s">
        <v>47</v>
      </c>
      <c r="D1152" t="s">
        <v>148</v>
      </c>
      <c r="E1152" t="s">
        <v>16</v>
      </c>
      <c r="F1152" t="s">
        <v>17</v>
      </c>
      <c r="G1152" t="s">
        <v>18</v>
      </c>
      <c r="H1152" t="s">
        <v>19</v>
      </c>
      <c r="I1152" t="s">
        <v>20</v>
      </c>
      <c r="J1152" s="2">
        <v>200</v>
      </c>
    </row>
    <row r="1153" spans="1:12" ht="19.95" customHeight="1">
      <c r="A1153" t="s">
        <v>1244</v>
      </c>
      <c r="B1153" t="s">
        <v>1217</v>
      </c>
      <c r="C1153" t="s">
        <v>47</v>
      </c>
      <c r="D1153" t="s">
        <v>152</v>
      </c>
      <c r="E1153" t="s">
        <v>16</v>
      </c>
      <c r="F1153" t="s">
        <v>17</v>
      </c>
      <c r="G1153" t="s">
        <v>23</v>
      </c>
      <c r="H1153" t="s">
        <v>24</v>
      </c>
      <c r="I1153" t="s">
        <v>20</v>
      </c>
      <c r="J1153" s="2">
        <v>120</v>
      </c>
    </row>
    <row r="1154" spans="1:12" ht="19.95" customHeight="1">
      <c r="A1154" t="s">
        <v>1245</v>
      </c>
      <c r="B1154" t="s">
        <v>1217</v>
      </c>
      <c r="C1154" t="s">
        <v>47</v>
      </c>
      <c r="D1154" t="s">
        <v>50</v>
      </c>
      <c r="E1154" t="s">
        <v>16</v>
      </c>
      <c r="F1154" t="s">
        <v>17</v>
      </c>
      <c r="G1154" t="s">
        <v>18</v>
      </c>
      <c r="H1154" t="s">
        <v>19</v>
      </c>
      <c r="I1154" t="s">
        <v>20</v>
      </c>
      <c r="J1154" s="2">
        <v>200</v>
      </c>
    </row>
    <row r="1155" spans="1:12" ht="19.95" customHeight="1">
      <c r="A1155" t="s">
        <v>1246</v>
      </c>
      <c r="B1155" t="s">
        <v>1217</v>
      </c>
      <c r="C1155" t="s">
        <v>47</v>
      </c>
      <c r="D1155" t="s">
        <v>73</v>
      </c>
      <c r="E1155" t="s">
        <v>16</v>
      </c>
      <c r="F1155" t="s">
        <v>17</v>
      </c>
      <c r="G1155" t="s">
        <v>32</v>
      </c>
      <c r="H1155" t="s">
        <v>19</v>
      </c>
      <c r="I1155" t="s">
        <v>20</v>
      </c>
      <c r="J1155" s="2">
        <v>300</v>
      </c>
    </row>
    <row r="1156" spans="1:12" ht="19.95" customHeight="1">
      <c r="A1156" t="s">
        <v>1247</v>
      </c>
      <c r="B1156" t="s">
        <v>1217</v>
      </c>
      <c r="C1156" t="s">
        <v>47</v>
      </c>
      <c r="D1156" t="s">
        <v>55</v>
      </c>
      <c r="E1156" t="s">
        <v>16</v>
      </c>
      <c r="F1156" t="s">
        <v>17</v>
      </c>
      <c r="G1156" t="s">
        <v>23</v>
      </c>
      <c r="H1156" t="s">
        <v>19</v>
      </c>
      <c r="I1156" t="s">
        <v>20</v>
      </c>
      <c r="J1156" s="2">
        <v>120</v>
      </c>
    </row>
    <row r="1157" spans="1:12" ht="19.95" customHeight="1">
      <c r="A1157" t="s">
        <v>1248</v>
      </c>
      <c r="B1157" t="s">
        <v>1217</v>
      </c>
      <c r="C1157" t="s">
        <v>47</v>
      </c>
      <c r="D1157" t="s">
        <v>71</v>
      </c>
      <c r="E1157" t="s">
        <v>16</v>
      </c>
      <c r="F1157" t="s">
        <v>17</v>
      </c>
      <c r="G1157" t="s">
        <v>32</v>
      </c>
      <c r="H1157" t="s">
        <v>19</v>
      </c>
      <c r="I1157" t="s">
        <v>20</v>
      </c>
      <c r="J1157" s="2">
        <v>300</v>
      </c>
    </row>
    <row r="1158" spans="1:12" ht="19.95" customHeight="1">
      <c r="A1158" t="s">
        <v>1249</v>
      </c>
      <c r="B1158" t="s">
        <v>1217</v>
      </c>
      <c r="C1158" t="s">
        <v>47</v>
      </c>
      <c r="D1158" t="s">
        <v>66</v>
      </c>
      <c r="E1158" t="s">
        <v>16</v>
      </c>
      <c r="F1158" t="s">
        <v>17</v>
      </c>
      <c r="G1158" t="s">
        <v>18</v>
      </c>
      <c r="H1158" t="s">
        <v>19</v>
      </c>
      <c r="I1158" t="s">
        <v>20</v>
      </c>
      <c r="J1158" s="2">
        <v>200</v>
      </c>
    </row>
    <row r="1159" spans="1:12" ht="19.95" customHeight="1">
      <c r="A1159" t="s">
        <v>1250</v>
      </c>
      <c r="B1159" t="s">
        <v>1217</v>
      </c>
      <c r="C1159" t="s">
        <v>47</v>
      </c>
      <c r="D1159" t="s">
        <v>66</v>
      </c>
      <c r="E1159" t="s">
        <v>16</v>
      </c>
      <c r="F1159" t="s">
        <v>17</v>
      </c>
      <c r="G1159" t="s">
        <v>32</v>
      </c>
      <c r="H1159" t="s">
        <v>19</v>
      </c>
      <c r="I1159" t="s">
        <v>20</v>
      </c>
      <c r="J1159" s="2">
        <v>255</v>
      </c>
      <c r="L1159" t="s">
        <v>29</v>
      </c>
    </row>
    <row r="1160" spans="1:12" ht="19.95" customHeight="1">
      <c r="A1160" t="s">
        <v>1251</v>
      </c>
      <c r="B1160" t="s">
        <v>1217</v>
      </c>
      <c r="C1160" t="s">
        <v>78</v>
      </c>
      <c r="D1160" t="s">
        <v>79</v>
      </c>
      <c r="E1160" t="s">
        <v>16</v>
      </c>
      <c r="F1160" t="s">
        <v>17</v>
      </c>
      <c r="G1160" t="s">
        <v>32</v>
      </c>
      <c r="H1160" t="s">
        <v>19</v>
      </c>
      <c r="I1160" t="s">
        <v>20</v>
      </c>
      <c r="J1160" s="2">
        <v>300</v>
      </c>
    </row>
    <row r="1161" spans="1:12" ht="19.95" customHeight="1">
      <c r="A1161" t="s">
        <v>1252</v>
      </c>
      <c r="B1161" t="s">
        <v>1217</v>
      </c>
      <c r="C1161" t="s">
        <v>78</v>
      </c>
      <c r="D1161" t="s">
        <v>89</v>
      </c>
      <c r="E1161" t="s">
        <v>16</v>
      </c>
      <c r="F1161" t="s">
        <v>17</v>
      </c>
      <c r="G1161" t="s">
        <v>32</v>
      </c>
      <c r="H1161" t="s">
        <v>19</v>
      </c>
      <c r="I1161" t="s">
        <v>20</v>
      </c>
      <c r="J1161" s="2">
        <v>300</v>
      </c>
    </row>
    <row r="1162" spans="1:12" ht="19.95" customHeight="1">
      <c r="A1162" t="s">
        <v>1253</v>
      </c>
      <c r="B1162" t="s">
        <v>1217</v>
      </c>
      <c r="C1162" t="s">
        <v>78</v>
      </c>
      <c r="D1162" t="s">
        <v>87</v>
      </c>
      <c r="E1162" t="s">
        <v>16</v>
      </c>
      <c r="F1162" t="s">
        <v>17</v>
      </c>
      <c r="G1162" t="s">
        <v>32</v>
      </c>
      <c r="H1162" t="s">
        <v>19</v>
      </c>
      <c r="I1162" t="s">
        <v>20</v>
      </c>
      <c r="J1162" s="2">
        <v>300</v>
      </c>
    </row>
    <row r="1163" spans="1:12" ht="19.95" customHeight="1">
      <c r="A1163" t="s">
        <v>1254</v>
      </c>
      <c r="B1163" t="s">
        <v>1217</v>
      </c>
      <c r="C1163" t="s">
        <v>78</v>
      </c>
      <c r="D1163" t="s">
        <v>79</v>
      </c>
      <c r="E1163" t="s">
        <v>16</v>
      </c>
      <c r="F1163" t="s">
        <v>17</v>
      </c>
      <c r="G1163" t="s">
        <v>18</v>
      </c>
      <c r="H1163" t="s">
        <v>19</v>
      </c>
      <c r="I1163" t="s">
        <v>20</v>
      </c>
      <c r="J1163" s="2">
        <v>200</v>
      </c>
    </row>
    <row r="1164" spans="1:12" ht="19.95" customHeight="1">
      <c r="A1164" t="s">
        <v>1255</v>
      </c>
      <c r="B1164" t="s">
        <v>1217</v>
      </c>
      <c r="C1164" t="s">
        <v>78</v>
      </c>
      <c r="D1164" t="s">
        <v>89</v>
      </c>
      <c r="E1164" t="s">
        <v>16</v>
      </c>
      <c r="F1164" t="s">
        <v>17</v>
      </c>
      <c r="G1164" t="s">
        <v>18</v>
      </c>
      <c r="H1164" t="s">
        <v>19</v>
      </c>
      <c r="I1164" t="s">
        <v>20</v>
      </c>
      <c r="J1164" s="2">
        <v>200</v>
      </c>
    </row>
    <row r="1165" spans="1:12" ht="19.95" customHeight="1">
      <c r="A1165" t="s">
        <v>1256</v>
      </c>
      <c r="B1165" t="s">
        <v>1217</v>
      </c>
      <c r="C1165" t="s">
        <v>78</v>
      </c>
      <c r="D1165" t="s">
        <v>79</v>
      </c>
      <c r="E1165" t="s">
        <v>16</v>
      </c>
      <c r="F1165" t="s">
        <v>35</v>
      </c>
      <c r="G1165" t="s">
        <v>32</v>
      </c>
      <c r="H1165" t="s">
        <v>19</v>
      </c>
      <c r="I1165" t="s">
        <v>20</v>
      </c>
      <c r="J1165" s="2">
        <v>300</v>
      </c>
    </row>
    <row r="1166" spans="1:12" ht="19.95" customHeight="1">
      <c r="A1166" t="s">
        <v>1257</v>
      </c>
      <c r="B1166" t="s">
        <v>1217</v>
      </c>
      <c r="C1166" t="s">
        <v>78</v>
      </c>
      <c r="D1166" t="s">
        <v>161</v>
      </c>
      <c r="E1166" t="s">
        <v>16</v>
      </c>
      <c r="F1166" t="s">
        <v>17</v>
      </c>
      <c r="G1166" t="s">
        <v>18</v>
      </c>
      <c r="H1166" t="s">
        <v>19</v>
      </c>
      <c r="I1166" t="s">
        <v>20</v>
      </c>
      <c r="J1166" s="2">
        <v>200</v>
      </c>
    </row>
    <row r="1167" spans="1:12" ht="19.95" customHeight="1">
      <c r="A1167" t="s">
        <v>1258</v>
      </c>
      <c r="B1167" t="s">
        <v>1217</v>
      </c>
      <c r="C1167" t="s">
        <v>78</v>
      </c>
      <c r="D1167" t="s">
        <v>81</v>
      </c>
      <c r="E1167" t="s">
        <v>16</v>
      </c>
      <c r="F1167" t="s">
        <v>17</v>
      </c>
      <c r="G1167" t="s">
        <v>23</v>
      </c>
      <c r="H1167" t="s">
        <v>19</v>
      </c>
      <c r="I1167" t="s">
        <v>20</v>
      </c>
      <c r="J1167" s="2">
        <v>120</v>
      </c>
    </row>
    <row r="1168" spans="1:12" ht="19.95" customHeight="1">
      <c r="A1168" t="s">
        <v>1259</v>
      </c>
      <c r="B1168" t="s">
        <v>1217</v>
      </c>
      <c r="C1168" t="s">
        <v>78</v>
      </c>
      <c r="D1168" t="s">
        <v>163</v>
      </c>
      <c r="E1168" t="s">
        <v>16</v>
      </c>
      <c r="F1168" t="s">
        <v>17</v>
      </c>
      <c r="G1168" t="s">
        <v>18</v>
      </c>
      <c r="H1168" t="s">
        <v>19</v>
      </c>
      <c r="I1168" t="s">
        <v>20</v>
      </c>
      <c r="J1168" s="2">
        <v>200</v>
      </c>
    </row>
    <row r="1169" spans="1:12" ht="19.95" customHeight="1">
      <c r="A1169" t="s">
        <v>1260</v>
      </c>
      <c r="B1169" t="s">
        <v>1217</v>
      </c>
      <c r="C1169" t="s">
        <v>78</v>
      </c>
      <c r="D1169" t="s">
        <v>102</v>
      </c>
      <c r="E1169" t="s">
        <v>16</v>
      </c>
      <c r="F1169" t="s">
        <v>35</v>
      </c>
      <c r="G1169" t="s">
        <v>23</v>
      </c>
      <c r="H1169" t="s">
        <v>19</v>
      </c>
      <c r="I1169" t="s">
        <v>20</v>
      </c>
      <c r="J1169" s="2">
        <v>120</v>
      </c>
    </row>
    <row r="1170" spans="1:12" ht="19.95" customHeight="1">
      <c r="A1170" t="s">
        <v>1261</v>
      </c>
      <c r="B1170" t="s">
        <v>1217</v>
      </c>
      <c r="C1170" t="s">
        <v>78</v>
      </c>
      <c r="D1170" t="s">
        <v>97</v>
      </c>
      <c r="E1170" t="s">
        <v>16</v>
      </c>
      <c r="F1170" t="s">
        <v>17</v>
      </c>
      <c r="G1170" t="s">
        <v>23</v>
      </c>
      <c r="H1170" t="s">
        <v>19</v>
      </c>
      <c r="I1170" t="s">
        <v>20</v>
      </c>
      <c r="J1170" s="2">
        <v>120</v>
      </c>
    </row>
    <row r="1171" spans="1:12" ht="19.95" customHeight="1">
      <c r="A1171" t="s">
        <v>1262</v>
      </c>
      <c r="B1171" t="s">
        <v>1217</v>
      </c>
      <c r="C1171" t="s">
        <v>78</v>
      </c>
      <c r="D1171" t="s">
        <v>87</v>
      </c>
      <c r="E1171" t="s">
        <v>16</v>
      </c>
      <c r="F1171" t="s">
        <v>17</v>
      </c>
      <c r="G1171" t="s">
        <v>32</v>
      </c>
      <c r="H1171" t="s">
        <v>19</v>
      </c>
      <c r="I1171" t="s">
        <v>20</v>
      </c>
      <c r="J1171" s="2">
        <v>300</v>
      </c>
    </row>
    <row r="1172" spans="1:12" ht="19.95" customHeight="1">
      <c r="A1172" t="s">
        <v>1263</v>
      </c>
      <c r="B1172" t="s">
        <v>1217</v>
      </c>
      <c r="C1172" t="s">
        <v>78</v>
      </c>
      <c r="D1172" t="s">
        <v>83</v>
      </c>
      <c r="E1172" t="s">
        <v>16</v>
      </c>
      <c r="F1172" t="s">
        <v>17</v>
      </c>
      <c r="G1172" t="s">
        <v>23</v>
      </c>
      <c r="H1172" t="s">
        <v>19</v>
      </c>
      <c r="I1172" t="s">
        <v>20</v>
      </c>
      <c r="J1172" s="2">
        <v>120</v>
      </c>
    </row>
    <row r="1173" spans="1:12" ht="19.95" customHeight="1">
      <c r="A1173" t="s">
        <v>1264</v>
      </c>
      <c r="B1173" t="s">
        <v>1217</v>
      </c>
      <c r="C1173" t="s">
        <v>78</v>
      </c>
      <c r="D1173" t="s">
        <v>161</v>
      </c>
      <c r="E1173" t="s">
        <v>16</v>
      </c>
      <c r="F1173" t="s">
        <v>17</v>
      </c>
      <c r="G1173" t="s">
        <v>32</v>
      </c>
      <c r="H1173" t="s">
        <v>19</v>
      </c>
      <c r="I1173" t="s">
        <v>20</v>
      </c>
      <c r="J1173" s="2">
        <v>300</v>
      </c>
    </row>
    <row r="1174" spans="1:12" ht="19.95" customHeight="1">
      <c r="A1174" t="s">
        <v>1265</v>
      </c>
      <c r="B1174" t="s">
        <v>1217</v>
      </c>
      <c r="C1174" t="s">
        <v>78</v>
      </c>
      <c r="D1174" t="s">
        <v>89</v>
      </c>
      <c r="E1174" t="s">
        <v>16</v>
      </c>
      <c r="F1174" t="s">
        <v>35</v>
      </c>
      <c r="G1174" t="s">
        <v>23</v>
      </c>
      <c r="H1174" t="s">
        <v>19</v>
      </c>
      <c r="I1174" t="s">
        <v>20</v>
      </c>
      <c r="J1174" s="2">
        <v>120</v>
      </c>
    </row>
    <row r="1175" spans="1:12" ht="19.95" customHeight="1">
      <c r="A1175" t="s">
        <v>1266</v>
      </c>
      <c r="B1175" t="s">
        <v>1217</v>
      </c>
      <c r="C1175" t="s">
        <v>78</v>
      </c>
      <c r="D1175" t="s">
        <v>93</v>
      </c>
      <c r="E1175" t="s">
        <v>16</v>
      </c>
      <c r="F1175" t="s">
        <v>17</v>
      </c>
      <c r="G1175" t="s">
        <v>18</v>
      </c>
      <c r="H1175" t="s">
        <v>24</v>
      </c>
      <c r="I1175" t="s">
        <v>20</v>
      </c>
      <c r="J1175" s="2">
        <v>200</v>
      </c>
    </row>
    <row r="1176" spans="1:12" ht="19.95" customHeight="1">
      <c r="A1176" t="s">
        <v>1267</v>
      </c>
      <c r="B1176" t="s">
        <v>1217</v>
      </c>
      <c r="C1176" t="s">
        <v>78</v>
      </c>
      <c r="D1176" t="s">
        <v>161</v>
      </c>
      <c r="E1176" t="s">
        <v>16</v>
      </c>
      <c r="F1176" t="s">
        <v>35</v>
      </c>
      <c r="G1176" t="s">
        <v>32</v>
      </c>
      <c r="H1176" t="s">
        <v>24</v>
      </c>
      <c r="I1176" t="s">
        <v>20</v>
      </c>
      <c r="J1176" s="2">
        <v>300</v>
      </c>
    </row>
    <row r="1177" spans="1:12" ht="19.95" customHeight="1">
      <c r="A1177" t="s">
        <v>1268</v>
      </c>
      <c r="B1177" t="s">
        <v>1217</v>
      </c>
      <c r="C1177" t="s">
        <v>78</v>
      </c>
      <c r="D1177" t="s">
        <v>93</v>
      </c>
      <c r="E1177" t="s">
        <v>16</v>
      </c>
      <c r="F1177" t="s">
        <v>35</v>
      </c>
      <c r="G1177" t="s">
        <v>23</v>
      </c>
      <c r="H1177" t="s">
        <v>19</v>
      </c>
      <c r="I1177" t="s">
        <v>20</v>
      </c>
      <c r="J1177" s="2">
        <v>120</v>
      </c>
    </row>
    <row r="1178" spans="1:12" ht="19.95" customHeight="1">
      <c r="A1178" t="s">
        <v>1269</v>
      </c>
      <c r="B1178" t="s">
        <v>1217</v>
      </c>
      <c r="C1178" t="s">
        <v>78</v>
      </c>
      <c r="D1178" t="s">
        <v>87</v>
      </c>
      <c r="E1178" t="s">
        <v>16</v>
      </c>
      <c r="F1178" t="s">
        <v>17</v>
      </c>
      <c r="G1178" t="s">
        <v>32</v>
      </c>
      <c r="H1178" t="s">
        <v>19</v>
      </c>
      <c r="I1178" t="s">
        <v>20</v>
      </c>
      <c r="J1178" s="2">
        <v>225</v>
      </c>
      <c r="L1178" t="s">
        <v>1270</v>
      </c>
    </row>
    <row r="1179" spans="1:12" ht="19.95" customHeight="1">
      <c r="A1179" t="s">
        <v>1271</v>
      </c>
      <c r="B1179" t="s">
        <v>1217</v>
      </c>
      <c r="C1179" t="s">
        <v>78</v>
      </c>
      <c r="D1179" t="s">
        <v>81</v>
      </c>
      <c r="E1179" t="s">
        <v>16</v>
      </c>
      <c r="F1179" t="s">
        <v>17</v>
      </c>
      <c r="G1179" t="s">
        <v>32</v>
      </c>
      <c r="H1179" t="s">
        <v>19</v>
      </c>
      <c r="I1179" t="s">
        <v>20</v>
      </c>
      <c r="J1179" s="2">
        <v>225</v>
      </c>
      <c r="L1179" t="s">
        <v>1270</v>
      </c>
    </row>
    <row r="1180" spans="1:12" ht="19.95" customHeight="1">
      <c r="A1180" t="s">
        <v>1272</v>
      </c>
      <c r="B1180" t="s">
        <v>1217</v>
      </c>
      <c r="C1180" t="s">
        <v>78</v>
      </c>
      <c r="D1180" t="s">
        <v>87</v>
      </c>
      <c r="E1180" t="s">
        <v>16</v>
      </c>
      <c r="F1180" t="s">
        <v>17</v>
      </c>
      <c r="G1180" t="s">
        <v>32</v>
      </c>
      <c r="H1180" t="s">
        <v>19</v>
      </c>
      <c r="I1180" t="s">
        <v>20</v>
      </c>
      <c r="J1180" s="2">
        <v>225</v>
      </c>
      <c r="L1180" t="s">
        <v>1270</v>
      </c>
    </row>
    <row r="1181" spans="1:12" ht="19.95" customHeight="1">
      <c r="A1181" t="s">
        <v>1273</v>
      </c>
      <c r="B1181" t="s">
        <v>1217</v>
      </c>
      <c r="C1181" t="s">
        <v>78</v>
      </c>
      <c r="D1181" t="s">
        <v>81</v>
      </c>
      <c r="E1181" t="s">
        <v>16</v>
      </c>
      <c r="F1181" t="s">
        <v>17</v>
      </c>
      <c r="G1181" t="s">
        <v>32</v>
      </c>
      <c r="H1181" t="s">
        <v>19</v>
      </c>
      <c r="I1181" t="s">
        <v>20</v>
      </c>
      <c r="J1181" s="2">
        <v>225</v>
      </c>
      <c r="L1181" t="s">
        <v>1270</v>
      </c>
    </row>
    <row r="1182" spans="1:12" ht="19.95" customHeight="1">
      <c r="A1182" t="s">
        <v>1274</v>
      </c>
      <c r="B1182" t="s">
        <v>1217</v>
      </c>
      <c r="C1182" t="s">
        <v>78</v>
      </c>
      <c r="D1182" t="s">
        <v>97</v>
      </c>
      <c r="E1182" t="s">
        <v>16</v>
      </c>
      <c r="F1182" t="s">
        <v>17</v>
      </c>
      <c r="G1182" t="s">
        <v>32</v>
      </c>
      <c r="H1182" t="s">
        <v>19</v>
      </c>
      <c r="I1182" t="s">
        <v>20</v>
      </c>
      <c r="J1182" s="2">
        <v>225</v>
      </c>
      <c r="L1182" t="s">
        <v>1270</v>
      </c>
    </row>
    <row r="1183" spans="1:12" ht="19.95" customHeight="1">
      <c r="A1183" t="s">
        <v>1275</v>
      </c>
      <c r="B1183" t="s">
        <v>1217</v>
      </c>
      <c r="C1183" t="s">
        <v>78</v>
      </c>
      <c r="D1183" t="s">
        <v>102</v>
      </c>
      <c r="E1183" t="s">
        <v>16</v>
      </c>
      <c r="F1183" t="s">
        <v>17</v>
      </c>
      <c r="G1183" t="s">
        <v>32</v>
      </c>
      <c r="H1183" t="s">
        <v>19</v>
      </c>
      <c r="I1183" t="s">
        <v>20</v>
      </c>
      <c r="J1183" s="2">
        <v>225</v>
      </c>
      <c r="L1183" t="s">
        <v>1270</v>
      </c>
    </row>
    <row r="1184" spans="1:12" ht="19.95" customHeight="1">
      <c r="A1184" t="s">
        <v>1276</v>
      </c>
      <c r="B1184" t="s">
        <v>1217</v>
      </c>
      <c r="C1184" t="s">
        <v>78</v>
      </c>
      <c r="D1184" t="s">
        <v>83</v>
      </c>
      <c r="E1184" t="s">
        <v>16</v>
      </c>
      <c r="F1184" t="s">
        <v>17</v>
      </c>
      <c r="G1184" t="s">
        <v>32</v>
      </c>
      <c r="H1184" t="s">
        <v>19</v>
      </c>
      <c r="I1184" t="s">
        <v>20</v>
      </c>
      <c r="J1184" s="2">
        <v>225</v>
      </c>
      <c r="L1184" t="s">
        <v>1270</v>
      </c>
    </row>
    <row r="1185" spans="1:12" ht="19.95" customHeight="1">
      <c r="A1185" t="s">
        <v>1277</v>
      </c>
      <c r="B1185" t="s">
        <v>1217</v>
      </c>
      <c r="C1185" t="s">
        <v>78</v>
      </c>
      <c r="D1185" t="s">
        <v>97</v>
      </c>
      <c r="E1185" t="s">
        <v>16</v>
      </c>
      <c r="F1185" t="s">
        <v>17</v>
      </c>
      <c r="G1185" t="s">
        <v>32</v>
      </c>
      <c r="H1185" t="s">
        <v>19</v>
      </c>
      <c r="I1185" t="s">
        <v>20</v>
      </c>
      <c r="J1185" s="2">
        <v>225</v>
      </c>
      <c r="L1185" t="s">
        <v>1270</v>
      </c>
    </row>
    <row r="1186" spans="1:12" ht="19.95" customHeight="1">
      <c r="A1186" t="s">
        <v>1278</v>
      </c>
      <c r="B1186" t="s">
        <v>1217</v>
      </c>
      <c r="C1186" t="s">
        <v>78</v>
      </c>
      <c r="D1186" t="s">
        <v>79</v>
      </c>
      <c r="E1186" t="s">
        <v>16</v>
      </c>
      <c r="F1186" t="s">
        <v>17</v>
      </c>
      <c r="G1186" t="s">
        <v>32</v>
      </c>
      <c r="H1186" t="s">
        <v>19</v>
      </c>
      <c r="I1186" t="s">
        <v>20</v>
      </c>
      <c r="J1186" s="2">
        <v>225</v>
      </c>
      <c r="L1186" t="s">
        <v>1270</v>
      </c>
    </row>
    <row r="1187" spans="1:12" ht="19.95" customHeight="1">
      <c r="A1187" t="s">
        <v>1279</v>
      </c>
      <c r="B1187" t="s">
        <v>1217</v>
      </c>
      <c r="C1187" t="s">
        <v>78</v>
      </c>
      <c r="D1187" t="s">
        <v>161</v>
      </c>
      <c r="E1187" t="s">
        <v>16</v>
      </c>
      <c r="F1187" t="s">
        <v>17</v>
      </c>
      <c r="G1187" t="s">
        <v>32</v>
      </c>
      <c r="H1187" t="s">
        <v>19</v>
      </c>
      <c r="I1187" t="s">
        <v>20</v>
      </c>
      <c r="J1187" s="2">
        <v>225</v>
      </c>
      <c r="L1187" t="s">
        <v>1270</v>
      </c>
    </row>
    <row r="1188" spans="1:12" ht="19.95" customHeight="1">
      <c r="A1188" t="s">
        <v>1280</v>
      </c>
      <c r="B1188" t="s">
        <v>1217</v>
      </c>
      <c r="C1188" t="s">
        <v>78</v>
      </c>
      <c r="D1188" t="s">
        <v>163</v>
      </c>
      <c r="E1188" t="s">
        <v>16</v>
      </c>
      <c r="F1188" t="s">
        <v>17</v>
      </c>
      <c r="G1188" t="s">
        <v>32</v>
      </c>
      <c r="H1188" t="s">
        <v>19</v>
      </c>
      <c r="I1188" t="s">
        <v>20</v>
      </c>
      <c r="J1188" s="2">
        <v>225</v>
      </c>
      <c r="L1188" t="s">
        <v>1270</v>
      </c>
    </row>
    <row r="1189" spans="1:12" ht="19.95" customHeight="1">
      <c r="A1189" t="s">
        <v>1281</v>
      </c>
      <c r="B1189" t="s">
        <v>1217</v>
      </c>
      <c r="C1189" t="s">
        <v>78</v>
      </c>
      <c r="D1189" t="s">
        <v>242</v>
      </c>
      <c r="E1189" t="s">
        <v>16</v>
      </c>
      <c r="F1189" t="s">
        <v>17</v>
      </c>
      <c r="G1189" t="s">
        <v>32</v>
      </c>
      <c r="H1189" t="s">
        <v>19</v>
      </c>
      <c r="I1189" t="s">
        <v>20</v>
      </c>
      <c r="J1189" s="2">
        <v>225</v>
      </c>
      <c r="L1189" t="s">
        <v>1270</v>
      </c>
    </row>
    <row r="1190" spans="1:12" ht="19.95" customHeight="1">
      <c r="A1190" t="s">
        <v>1282</v>
      </c>
      <c r="B1190" t="s">
        <v>1217</v>
      </c>
      <c r="C1190" t="s">
        <v>78</v>
      </c>
      <c r="D1190" t="s">
        <v>97</v>
      </c>
      <c r="E1190" t="s">
        <v>16</v>
      </c>
      <c r="F1190" t="s">
        <v>17</v>
      </c>
      <c r="G1190" t="s">
        <v>32</v>
      </c>
      <c r="H1190" t="s">
        <v>19</v>
      </c>
      <c r="I1190" t="s">
        <v>20</v>
      </c>
      <c r="J1190" s="2">
        <v>225</v>
      </c>
      <c r="L1190" t="s">
        <v>1270</v>
      </c>
    </row>
    <row r="1191" spans="1:12" ht="19.95" customHeight="1">
      <c r="A1191" t="s">
        <v>1283</v>
      </c>
      <c r="B1191" t="s">
        <v>1217</v>
      </c>
      <c r="C1191" t="s">
        <v>78</v>
      </c>
      <c r="D1191" t="s">
        <v>89</v>
      </c>
      <c r="E1191" t="s">
        <v>16</v>
      </c>
      <c r="F1191" t="s">
        <v>17</v>
      </c>
      <c r="G1191" t="s">
        <v>32</v>
      </c>
      <c r="H1191" t="s">
        <v>19</v>
      </c>
      <c r="I1191" t="s">
        <v>20</v>
      </c>
      <c r="J1191" s="2">
        <v>225</v>
      </c>
      <c r="L1191" t="s">
        <v>1270</v>
      </c>
    </row>
    <row r="1192" spans="1:12" ht="19.95" customHeight="1">
      <c r="A1192" t="s">
        <v>1284</v>
      </c>
      <c r="B1192" t="s">
        <v>1217</v>
      </c>
      <c r="C1192" t="s">
        <v>78</v>
      </c>
      <c r="D1192" t="s">
        <v>79</v>
      </c>
      <c r="E1192" t="s">
        <v>16</v>
      </c>
      <c r="F1192" t="s">
        <v>17</v>
      </c>
      <c r="G1192" t="s">
        <v>32</v>
      </c>
      <c r="H1192" t="s">
        <v>19</v>
      </c>
      <c r="I1192" t="s">
        <v>20</v>
      </c>
      <c r="J1192" s="2">
        <v>225</v>
      </c>
      <c r="L1192" t="s">
        <v>1270</v>
      </c>
    </row>
    <row r="1193" spans="1:12" ht="19.95" customHeight="1">
      <c r="A1193" t="s">
        <v>1285</v>
      </c>
      <c r="B1193" t="s">
        <v>1217</v>
      </c>
      <c r="C1193" t="s">
        <v>78</v>
      </c>
      <c r="D1193" t="s">
        <v>102</v>
      </c>
      <c r="E1193" t="s">
        <v>16</v>
      </c>
      <c r="F1193" t="s">
        <v>17</v>
      </c>
      <c r="G1193" t="s">
        <v>32</v>
      </c>
      <c r="H1193" t="s">
        <v>19</v>
      </c>
      <c r="I1193" t="s">
        <v>20</v>
      </c>
      <c r="J1193" s="2">
        <v>225</v>
      </c>
      <c r="L1193" t="s">
        <v>1270</v>
      </c>
    </row>
    <row r="1194" spans="1:12" ht="19.95" customHeight="1">
      <c r="A1194" t="s">
        <v>1286</v>
      </c>
      <c r="B1194" t="s">
        <v>1217</v>
      </c>
      <c r="C1194" t="s">
        <v>78</v>
      </c>
      <c r="D1194" t="s">
        <v>102</v>
      </c>
      <c r="E1194" t="s">
        <v>16</v>
      </c>
      <c r="F1194" t="s">
        <v>17</v>
      </c>
      <c r="G1194" t="s">
        <v>32</v>
      </c>
      <c r="H1194" t="s">
        <v>19</v>
      </c>
      <c r="I1194" t="s">
        <v>20</v>
      </c>
      <c r="J1194" s="2">
        <v>225</v>
      </c>
      <c r="L1194" t="s">
        <v>1270</v>
      </c>
    </row>
    <row r="1195" spans="1:12" ht="19.95" customHeight="1">
      <c r="A1195" t="s">
        <v>1287</v>
      </c>
      <c r="B1195" t="s">
        <v>1217</v>
      </c>
      <c r="C1195" t="s">
        <v>78</v>
      </c>
      <c r="D1195" t="s">
        <v>102</v>
      </c>
      <c r="E1195" t="s">
        <v>16</v>
      </c>
      <c r="F1195" t="s">
        <v>17</v>
      </c>
      <c r="G1195" t="s">
        <v>32</v>
      </c>
      <c r="H1195" t="s">
        <v>19</v>
      </c>
      <c r="I1195" t="s">
        <v>20</v>
      </c>
      <c r="J1195" s="2">
        <v>225</v>
      </c>
      <c r="L1195" t="s">
        <v>1270</v>
      </c>
    </row>
    <row r="1196" spans="1:12" ht="19.95" customHeight="1">
      <c r="A1196" t="s">
        <v>1288</v>
      </c>
      <c r="B1196" t="s">
        <v>1217</v>
      </c>
      <c r="C1196" t="s">
        <v>78</v>
      </c>
      <c r="D1196" t="s">
        <v>89</v>
      </c>
      <c r="E1196" t="s">
        <v>16</v>
      </c>
      <c r="F1196" t="s">
        <v>17</v>
      </c>
      <c r="G1196" t="s">
        <v>32</v>
      </c>
      <c r="H1196" t="s">
        <v>19</v>
      </c>
      <c r="I1196" t="s">
        <v>20</v>
      </c>
      <c r="J1196" s="2">
        <v>225</v>
      </c>
      <c r="L1196" t="s">
        <v>1270</v>
      </c>
    </row>
    <row r="1197" spans="1:12" ht="19.95" customHeight="1">
      <c r="A1197" t="s">
        <v>1289</v>
      </c>
      <c r="B1197" t="s">
        <v>1217</v>
      </c>
      <c r="C1197" t="s">
        <v>105</v>
      </c>
      <c r="D1197" t="s">
        <v>182</v>
      </c>
      <c r="E1197" t="s">
        <v>16</v>
      </c>
      <c r="F1197" t="s">
        <v>17</v>
      </c>
      <c r="G1197" t="s">
        <v>32</v>
      </c>
      <c r="H1197" t="s">
        <v>19</v>
      </c>
      <c r="I1197" t="s">
        <v>20</v>
      </c>
      <c r="J1197" s="2">
        <v>300</v>
      </c>
    </row>
    <row r="1198" spans="1:12" ht="19.95" customHeight="1">
      <c r="A1198" t="s">
        <v>1290</v>
      </c>
      <c r="B1198" t="s">
        <v>1217</v>
      </c>
      <c r="C1198" t="s">
        <v>105</v>
      </c>
      <c r="D1198" t="s">
        <v>110</v>
      </c>
      <c r="E1198" t="s">
        <v>16</v>
      </c>
      <c r="F1198" t="s">
        <v>17</v>
      </c>
      <c r="G1198" t="s">
        <v>32</v>
      </c>
      <c r="H1198" t="s">
        <v>19</v>
      </c>
      <c r="I1198" t="s">
        <v>20</v>
      </c>
      <c r="J1198" s="2">
        <v>255</v>
      </c>
      <c r="L1198" t="s">
        <v>29</v>
      </c>
    </row>
    <row r="1199" spans="1:12" ht="19.95" customHeight="1">
      <c r="A1199" t="s">
        <v>1291</v>
      </c>
      <c r="B1199" t="s">
        <v>1217</v>
      </c>
      <c r="C1199" t="s">
        <v>105</v>
      </c>
      <c r="D1199" t="s">
        <v>112</v>
      </c>
      <c r="E1199" t="s">
        <v>16</v>
      </c>
      <c r="F1199" t="s">
        <v>17</v>
      </c>
      <c r="G1199" t="s">
        <v>32</v>
      </c>
      <c r="H1199" t="s">
        <v>19</v>
      </c>
      <c r="I1199" t="s">
        <v>20</v>
      </c>
      <c r="J1199" s="2">
        <v>300</v>
      </c>
    </row>
    <row r="1200" spans="1:12" ht="19.95" customHeight="1">
      <c r="A1200" t="s">
        <v>1292</v>
      </c>
      <c r="B1200" t="s">
        <v>1217</v>
      </c>
      <c r="C1200" t="s">
        <v>105</v>
      </c>
      <c r="D1200" t="s">
        <v>182</v>
      </c>
      <c r="E1200" t="s">
        <v>16</v>
      </c>
      <c r="F1200" t="s">
        <v>35</v>
      </c>
      <c r="G1200" t="s">
        <v>23</v>
      </c>
      <c r="H1200" t="s">
        <v>19</v>
      </c>
      <c r="I1200" t="s">
        <v>20</v>
      </c>
      <c r="J1200" s="2">
        <v>102</v>
      </c>
      <c r="L1200" t="s">
        <v>29</v>
      </c>
    </row>
    <row r="1201" spans="1:12" ht="19.95" customHeight="1">
      <c r="A1201" t="s">
        <v>1293</v>
      </c>
      <c r="B1201" t="s">
        <v>1217</v>
      </c>
      <c r="C1201" t="s">
        <v>105</v>
      </c>
      <c r="D1201" t="s">
        <v>265</v>
      </c>
      <c r="E1201" t="s">
        <v>16</v>
      </c>
      <c r="F1201" t="s">
        <v>17</v>
      </c>
      <c r="G1201" t="s">
        <v>32</v>
      </c>
      <c r="H1201" t="s">
        <v>19</v>
      </c>
      <c r="I1201" t="s">
        <v>20</v>
      </c>
      <c r="J1201" s="2">
        <v>300</v>
      </c>
    </row>
    <row r="1202" spans="1:12" ht="19.95" customHeight="1">
      <c r="A1202" t="s">
        <v>1294</v>
      </c>
      <c r="B1202" t="s">
        <v>1217</v>
      </c>
      <c r="C1202" t="s">
        <v>105</v>
      </c>
      <c r="D1202" t="s">
        <v>116</v>
      </c>
      <c r="E1202" t="s">
        <v>16</v>
      </c>
      <c r="F1202" t="s">
        <v>17</v>
      </c>
      <c r="G1202" t="s">
        <v>32</v>
      </c>
      <c r="H1202" t="s">
        <v>19</v>
      </c>
      <c r="I1202" t="s">
        <v>20</v>
      </c>
      <c r="J1202" s="2">
        <v>300</v>
      </c>
    </row>
    <row r="1203" spans="1:12" ht="19.95" customHeight="1">
      <c r="A1203" t="s">
        <v>1295</v>
      </c>
      <c r="B1203" t="s">
        <v>1217</v>
      </c>
      <c r="C1203" t="s">
        <v>105</v>
      </c>
      <c r="D1203" t="s">
        <v>191</v>
      </c>
      <c r="E1203" t="s">
        <v>16</v>
      </c>
      <c r="F1203" t="s">
        <v>17</v>
      </c>
      <c r="G1203" t="s">
        <v>23</v>
      </c>
      <c r="H1203" t="s">
        <v>19</v>
      </c>
      <c r="I1203" t="s">
        <v>20</v>
      </c>
      <c r="J1203" s="2">
        <v>120</v>
      </c>
    </row>
    <row r="1204" spans="1:12" ht="19.95" customHeight="1">
      <c r="A1204" t="s">
        <v>1296</v>
      </c>
      <c r="B1204" t="s">
        <v>1217</v>
      </c>
      <c r="C1204" t="s">
        <v>105</v>
      </c>
      <c r="D1204" t="s">
        <v>265</v>
      </c>
      <c r="E1204" t="s">
        <v>16</v>
      </c>
      <c r="F1204" t="s">
        <v>17</v>
      </c>
      <c r="G1204" t="s">
        <v>23</v>
      </c>
      <c r="H1204" t="s">
        <v>19</v>
      </c>
      <c r="I1204" t="s">
        <v>20</v>
      </c>
      <c r="J1204" s="2">
        <v>102</v>
      </c>
      <c r="L1204" t="s">
        <v>29</v>
      </c>
    </row>
    <row r="1205" spans="1:12" ht="19.95" customHeight="1">
      <c r="A1205" t="s">
        <v>1297</v>
      </c>
      <c r="B1205" t="s">
        <v>1217</v>
      </c>
      <c r="C1205" t="s">
        <v>105</v>
      </c>
      <c r="D1205" t="s">
        <v>106</v>
      </c>
      <c r="E1205" t="s">
        <v>16</v>
      </c>
      <c r="F1205" t="s">
        <v>35</v>
      </c>
      <c r="G1205" t="s">
        <v>23</v>
      </c>
      <c r="H1205" t="s">
        <v>19</v>
      </c>
      <c r="I1205" t="s">
        <v>20</v>
      </c>
      <c r="J1205" s="2">
        <v>120</v>
      </c>
    </row>
    <row r="1206" spans="1:12" ht="19.95" customHeight="1">
      <c r="A1206" t="s">
        <v>1298</v>
      </c>
      <c r="B1206" t="s">
        <v>1217</v>
      </c>
      <c r="C1206" t="s">
        <v>105</v>
      </c>
      <c r="D1206" t="s">
        <v>116</v>
      </c>
      <c r="E1206" t="s">
        <v>16</v>
      </c>
      <c r="F1206" t="s">
        <v>17</v>
      </c>
      <c r="G1206" t="s">
        <v>18</v>
      </c>
      <c r="H1206" t="s">
        <v>19</v>
      </c>
      <c r="I1206" t="s">
        <v>53</v>
      </c>
      <c r="J1206" s="2">
        <v>170</v>
      </c>
      <c r="L1206" t="s">
        <v>29</v>
      </c>
    </row>
    <row r="1207" spans="1:12" ht="19.95" customHeight="1">
      <c r="A1207" t="s">
        <v>1299</v>
      </c>
      <c r="B1207" t="s">
        <v>1217</v>
      </c>
      <c r="C1207" t="s">
        <v>105</v>
      </c>
      <c r="D1207" t="s">
        <v>112</v>
      </c>
      <c r="E1207" t="s">
        <v>16</v>
      </c>
      <c r="F1207" t="s">
        <v>35</v>
      </c>
      <c r="G1207" t="s">
        <v>32</v>
      </c>
      <c r="H1207" t="s">
        <v>19</v>
      </c>
      <c r="I1207" t="s">
        <v>20</v>
      </c>
      <c r="J1207" s="2">
        <v>300</v>
      </c>
    </row>
    <row r="1208" spans="1:12" ht="19.95" customHeight="1">
      <c r="A1208" t="s">
        <v>1300</v>
      </c>
      <c r="B1208" t="s">
        <v>1217</v>
      </c>
      <c r="C1208" t="s">
        <v>105</v>
      </c>
      <c r="D1208" t="s">
        <v>187</v>
      </c>
      <c r="E1208" t="s">
        <v>16</v>
      </c>
      <c r="F1208" t="s">
        <v>17</v>
      </c>
      <c r="G1208" t="s">
        <v>32</v>
      </c>
      <c r="H1208" t="s">
        <v>19</v>
      </c>
      <c r="I1208" t="s">
        <v>20</v>
      </c>
      <c r="J1208" s="2">
        <v>300</v>
      </c>
    </row>
    <row r="1209" spans="1:12" ht="19.95" customHeight="1">
      <c r="A1209" t="s">
        <v>1301</v>
      </c>
      <c r="B1209" t="s">
        <v>1217</v>
      </c>
      <c r="C1209" t="s">
        <v>105</v>
      </c>
      <c r="D1209" t="s">
        <v>191</v>
      </c>
      <c r="E1209" t="s">
        <v>16</v>
      </c>
      <c r="F1209" t="s">
        <v>17</v>
      </c>
      <c r="G1209" t="s">
        <v>23</v>
      </c>
      <c r="H1209" t="s">
        <v>19</v>
      </c>
      <c r="I1209" t="s">
        <v>20</v>
      </c>
      <c r="J1209" s="2">
        <v>120</v>
      </c>
    </row>
    <row r="1210" spans="1:12" ht="19.95" customHeight="1">
      <c r="A1210" t="s">
        <v>1302</v>
      </c>
      <c r="B1210" t="s">
        <v>1217</v>
      </c>
      <c r="C1210" t="s">
        <v>105</v>
      </c>
      <c r="D1210" t="s">
        <v>118</v>
      </c>
      <c r="E1210" t="s">
        <v>16</v>
      </c>
      <c r="F1210" t="s">
        <v>17</v>
      </c>
      <c r="G1210" t="s">
        <v>18</v>
      </c>
      <c r="H1210" t="s">
        <v>19</v>
      </c>
      <c r="I1210" t="s">
        <v>20</v>
      </c>
      <c r="J1210" s="2">
        <v>200</v>
      </c>
    </row>
    <row r="1211" spans="1:12" ht="19.95" customHeight="1">
      <c r="A1211" t="s">
        <v>1303</v>
      </c>
      <c r="B1211" t="s">
        <v>1217</v>
      </c>
      <c r="C1211" t="s">
        <v>105</v>
      </c>
      <c r="D1211" t="s">
        <v>191</v>
      </c>
      <c r="E1211" t="s">
        <v>16</v>
      </c>
      <c r="F1211" t="s">
        <v>17</v>
      </c>
      <c r="G1211" t="s">
        <v>18</v>
      </c>
      <c r="H1211" t="s">
        <v>19</v>
      </c>
      <c r="I1211" t="s">
        <v>20</v>
      </c>
      <c r="J1211" s="2">
        <v>200</v>
      </c>
    </row>
    <row r="1212" spans="1:12" ht="19.95" customHeight="1">
      <c r="A1212" t="s">
        <v>1304</v>
      </c>
      <c r="B1212" t="s">
        <v>1217</v>
      </c>
      <c r="C1212" t="s">
        <v>105</v>
      </c>
      <c r="D1212" t="s">
        <v>118</v>
      </c>
      <c r="E1212" t="s">
        <v>16</v>
      </c>
      <c r="F1212" t="s">
        <v>17</v>
      </c>
      <c r="G1212" t="s">
        <v>32</v>
      </c>
      <c r="H1212" t="s">
        <v>19</v>
      </c>
      <c r="I1212" t="s">
        <v>20</v>
      </c>
      <c r="J1212" s="2">
        <v>300</v>
      </c>
    </row>
    <row r="1213" spans="1:12" ht="19.95" customHeight="1">
      <c r="A1213" t="s">
        <v>1305</v>
      </c>
      <c r="B1213" t="s">
        <v>1217</v>
      </c>
      <c r="C1213" t="s">
        <v>105</v>
      </c>
      <c r="D1213" t="s">
        <v>116</v>
      </c>
      <c r="E1213" t="s">
        <v>16</v>
      </c>
      <c r="F1213" t="s">
        <v>17</v>
      </c>
      <c r="G1213" t="s">
        <v>23</v>
      </c>
      <c r="H1213" t="s">
        <v>19</v>
      </c>
      <c r="I1213" t="s">
        <v>74</v>
      </c>
      <c r="J1213" s="2">
        <v>120</v>
      </c>
    </row>
    <row r="1214" spans="1:12" ht="19.95" customHeight="1">
      <c r="A1214" t="s">
        <v>1306</v>
      </c>
      <c r="B1214" t="s">
        <v>1217</v>
      </c>
      <c r="C1214" t="s">
        <v>105</v>
      </c>
      <c r="D1214" t="s">
        <v>191</v>
      </c>
      <c r="E1214" t="s">
        <v>16</v>
      </c>
      <c r="F1214" t="s">
        <v>17</v>
      </c>
      <c r="G1214" t="s">
        <v>32</v>
      </c>
      <c r="H1214" t="s">
        <v>19</v>
      </c>
      <c r="I1214" t="s">
        <v>20</v>
      </c>
      <c r="J1214" s="2">
        <v>300</v>
      </c>
    </row>
    <row r="1215" spans="1:12" ht="19.95" customHeight="1">
      <c r="A1215" t="s">
        <v>1307</v>
      </c>
      <c r="B1215" t="s">
        <v>1217</v>
      </c>
      <c r="C1215" t="s">
        <v>105</v>
      </c>
      <c r="D1215" t="s">
        <v>118</v>
      </c>
      <c r="E1215" t="s">
        <v>16</v>
      </c>
      <c r="F1215" t="s">
        <v>17</v>
      </c>
      <c r="G1215" t="s">
        <v>32</v>
      </c>
      <c r="H1215" t="s">
        <v>19</v>
      </c>
      <c r="I1215" t="s">
        <v>20</v>
      </c>
      <c r="J1215" s="2">
        <v>300</v>
      </c>
    </row>
    <row r="1216" spans="1:12" ht="19.95" customHeight="1">
      <c r="A1216" t="s">
        <v>1308</v>
      </c>
      <c r="B1216" t="s">
        <v>1217</v>
      </c>
      <c r="C1216" t="s">
        <v>105</v>
      </c>
      <c r="D1216" t="s">
        <v>182</v>
      </c>
      <c r="E1216" t="s">
        <v>402</v>
      </c>
      <c r="F1216" t="s">
        <v>17</v>
      </c>
      <c r="G1216" t="s">
        <v>23</v>
      </c>
      <c r="H1216" t="s">
        <v>19</v>
      </c>
      <c r="I1216" t="s">
        <v>20</v>
      </c>
      <c r="J1216" s="2">
        <v>120</v>
      </c>
      <c r="K1216" t="s">
        <v>1214</v>
      </c>
    </row>
    <row r="1217" spans="1:12" ht="19.95" customHeight="1">
      <c r="A1217" t="s">
        <v>1309</v>
      </c>
      <c r="B1217" t="s">
        <v>1217</v>
      </c>
      <c r="C1217" t="s">
        <v>47</v>
      </c>
      <c r="D1217" t="s">
        <v>55</v>
      </c>
      <c r="E1217" t="s">
        <v>402</v>
      </c>
      <c r="F1217" t="s">
        <v>17</v>
      </c>
      <c r="G1217" t="s">
        <v>32</v>
      </c>
      <c r="H1217" t="s">
        <v>19</v>
      </c>
      <c r="I1217" t="s">
        <v>20</v>
      </c>
      <c r="J1217" s="2">
        <v>300</v>
      </c>
      <c r="K1217" t="s">
        <v>1091</v>
      </c>
    </row>
    <row r="1218" spans="1:12" ht="19.95" customHeight="1">
      <c r="A1218" t="s">
        <v>1310</v>
      </c>
      <c r="B1218" t="s">
        <v>1217</v>
      </c>
      <c r="C1218" t="s">
        <v>105</v>
      </c>
      <c r="D1218" t="s">
        <v>110</v>
      </c>
      <c r="E1218" t="s">
        <v>402</v>
      </c>
      <c r="F1218" t="s">
        <v>17</v>
      </c>
      <c r="G1218" t="s">
        <v>32</v>
      </c>
      <c r="H1218" t="s">
        <v>19</v>
      </c>
      <c r="I1218" t="s">
        <v>20</v>
      </c>
      <c r="J1218" s="2">
        <v>300</v>
      </c>
      <c r="K1218" t="s">
        <v>999</v>
      </c>
    </row>
    <row r="1219" spans="1:12" ht="19.95" customHeight="1">
      <c r="A1219" t="s">
        <v>1311</v>
      </c>
      <c r="B1219" t="s">
        <v>1217</v>
      </c>
      <c r="C1219" t="s">
        <v>47</v>
      </c>
      <c r="D1219" t="s">
        <v>59</v>
      </c>
      <c r="E1219" t="s">
        <v>402</v>
      </c>
      <c r="F1219" t="s">
        <v>17</v>
      </c>
      <c r="G1219" t="s">
        <v>32</v>
      </c>
      <c r="H1219" t="s">
        <v>19</v>
      </c>
      <c r="I1219" t="s">
        <v>20</v>
      </c>
      <c r="J1219" s="2">
        <v>300</v>
      </c>
      <c r="K1219" t="s">
        <v>1170</v>
      </c>
    </row>
    <row r="1220" spans="1:12" ht="19.95" customHeight="1">
      <c r="A1220" t="s">
        <v>1312</v>
      </c>
      <c r="B1220" t="s">
        <v>1313</v>
      </c>
      <c r="C1220" t="s">
        <v>14</v>
      </c>
      <c r="D1220" t="s">
        <v>210</v>
      </c>
      <c r="E1220" t="s">
        <v>16</v>
      </c>
      <c r="F1220" t="s">
        <v>17</v>
      </c>
      <c r="G1220" t="s">
        <v>23</v>
      </c>
      <c r="H1220" t="s">
        <v>19</v>
      </c>
      <c r="I1220" t="s">
        <v>20</v>
      </c>
      <c r="J1220" s="2">
        <v>120</v>
      </c>
    </row>
    <row r="1221" spans="1:12" ht="19.95" customHeight="1">
      <c r="A1221" t="s">
        <v>1314</v>
      </c>
      <c r="B1221" t="s">
        <v>1313</v>
      </c>
      <c r="C1221" t="s">
        <v>14</v>
      </c>
      <c r="D1221" t="s">
        <v>210</v>
      </c>
      <c r="E1221" t="s">
        <v>16</v>
      </c>
      <c r="F1221" t="s">
        <v>35</v>
      </c>
      <c r="G1221" t="s">
        <v>18</v>
      </c>
      <c r="H1221" t="s">
        <v>19</v>
      </c>
      <c r="I1221" t="s">
        <v>20</v>
      </c>
      <c r="J1221" s="2">
        <v>200</v>
      </c>
    </row>
    <row r="1222" spans="1:12" ht="19.95" customHeight="1">
      <c r="A1222" t="s">
        <v>1315</v>
      </c>
      <c r="B1222" t="s">
        <v>1313</v>
      </c>
      <c r="C1222" t="s">
        <v>14</v>
      </c>
      <c r="D1222" t="s">
        <v>40</v>
      </c>
      <c r="E1222" t="s">
        <v>16</v>
      </c>
      <c r="F1222" t="s">
        <v>17</v>
      </c>
      <c r="G1222" t="s">
        <v>23</v>
      </c>
      <c r="H1222" t="s">
        <v>19</v>
      </c>
      <c r="I1222" t="s">
        <v>20</v>
      </c>
      <c r="J1222" s="2">
        <v>120</v>
      </c>
    </row>
    <row r="1223" spans="1:12" ht="19.95" customHeight="1">
      <c r="A1223" t="s">
        <v>1316</v>
      </c>
      <c r="B1223" t="s">
        <v>1313</v>
      </c>
      <c r="C1223" t="s">
        <v>14</v>
      </c>
      <c r="D1223" t="s">
        <v>26</v>
      </c>
      <c r="E1223" t="s">
        <v>16</v>
      </c>
      <c r="F1223" t="s">
        <v>17</v>
      </c>
      <c r="G1223" t="s">
        <v>32</v>
      </c>
      <c r="H1223" t="s">
        <v>19</v>
      </c>
      <c r="I1223" t="s">
        <v>53</v>
      </c>
      <c r="J1223" s="2">
        <v>300</v>
      </c>
    </row>
    <row r="1224" spans="1:12" ht="19.95" customHeight="1">
      <c r="A1224" t="s">
        <v>1317</v>
      </c>
      <c r="B1224" t="s">
        <v>1313</v>
      </c>
      <c r="C1224" t="s">
        <v>14</v>
      </c>
      <c r="D1224" t="s">
        <v>28</v>
      </c>
      <c r="E1224" t="s">
        <v>16</v>
      </c>
      <c r="F1224" t="s">
        <v>17</v>
      </c>
      <c r="G1224" t="s">
        <v>23</v>
      </c>
      <c r="H1224" t="s">
        <v>19</v>
      </c>
      <c r="I1224" t="s">
        <v>20</v>
      </c>
      <c r="J1224" s="2">
        <v>120</v>
      </c>
    </row>
    <row r="1225" spans="1:12" ht="19.95" customHeight="1">
      <c r="A1225" t="s">
        <v>1318</v>
      </c>
      <c r="B1225" t="s">
        <v>1313</v>
      </c>
      <c r="C1225" t="s">
        <v>14</v>
      </c>
      <c r="D1225" t="s">
        <v>31</v>
      </c>
      <c r="E1225" t="s">
        <v>16</v>
      </c>
      <c r="F1225" t="s">
        <v>17</v>
      </c>
      <c r="G1225" t="s">
        <v>32</v>
      </c>
      <c r="H1225" t="s">
        <v>19</v>
      </c>
      <c r="I1225" t="s">
        <v>20</v>
      </c>
      <c r="J1225" s="2">
        <v>300</v>
      </c>
    </row>
    <row r="1226" spans="1:12" ht="19.95" customHeight="1">
      <c r="A1226" t="s">
        <v>1319</v>
      </c>
      <c r="B1226" t="s">
        <v>1313</v>
      </c>
      <c r="C1226" t="s">
        <v>14</v>
      </c>
      <c r="D1226" t="s">
        <v>42</v>
      </c>
      <c r="E1226" t="s">
        <v>16</v>
      </c>
      <c r="F1226" t="s">
        <v>35</v>
      </c>
      <c r="G1226" t="s">
        <v>32</v>
      </c>
      <c r="H1226" t="s">
        <v>24</v>
      </c>
      <c r="I1226" t="s">
        <v>20</v>
      </c>
      <c r="J1226" s="2">
        <v>255</v>
      </c>
      <c r="L1226" t="s">
        <v>29</v>
      </c>
    </row>
    <row r="1227" spans="1:12" ht="19.95" customHeight="1">
      <c r="A1227" t="s">
        <v>1320</v>
      </c>
      <c r="B1227" t="s">
        <v>1313</v>
      </c>
      <c r="C1227" t="s">
        <v>14</v>
      </c>
      <c r="D1227" t="s">
        <v>22</v>
      </c>
      <c r="E1227" t="s">
        <v>16</v>
      </c>
      <c r="F1227" t="s">
        <v>17</v>
      </c>
      <c r="G1227" t="s">
        <v>23</v>
      </c>
      <c r="H1227" t="s">
        <v>19</v>
      </c>
      <c r="I1227" t="s">
        <v>20</v>
      </c>
      <c r="J1227" s="2">
        <v>90</v>
      </c>
      <c r="L1227" t="s">
        <v>29</v>
      </c>
    </row>
    <row r="1228" spans="1:12" ht="19.95" customHeight="1">
      <c r="A1228" t="s">
        <v>1321</v>
      </c>
      <c r="B1228" t="s">
        <v>1313</v>
      </c>
      <c r="C1228" t="s">
        <v>14</v>
      </c>
      <c r="D1228" t="s">
        <v>131</v>
      </c>
      <c r="E1228" t="s">
        <v>16</v>
      </c>
      <c r="F1228" t="s">
        <v>17</v>
      </c>
      <c r="G1228" t="s">
        <v>23</v>
      </c>
      <c r="H1228" t="s">
        <v>19</v>
      </c>
      <c r="I1228" t="s">
        <v>20</v>
      </c>
      <c r="J1228" s="2">
        <v>120</v>
      </c>
    </row>
    <row r="1229" spans="1:12" ht="19.95" customHeight="1">
      <c r="A1229" t="s">
        <v>1322</v>
      </c>
      <c r="B1229" t="s">
        <v>1313</v>
      </c>
      <c r="C1229" t="s">
        <v>14</v>
      </c>
      <c r="D1229" t="s">
        <v>26</v>
      </c>
      <c r="E1229" t="s">
        <v>16</v>
      </c>
      <c r="F1229" t="s">
        <v>17</v>
      </c>
      <c r="G1229" t="s">
        <v>32</v>
      </c>
      <c r="H1229" t="s">
        <v>19</v>
      </c>
      <c r="I1229" t="s">
        <v>20</v>
      </c>
      <c r="J1229" s="2">
        <v>300</v>
      </c>
    </row>
    <row r="1230" spans="1:12" ht="19.95" customHeight="1">
      <c r="A1230" t="s">
        <v>1323</v>
      </c>
      <c r="B1230" t="s">
        <v>1313</v>
      </c>
      <c r="C1230" t="s">
        <v>14</v>
      </c>
      <c r="D1230" t="s">
        <v>15</v>
      </c>
      <c r="E1230" t="s">
        <v>16</v>
      </c>
      <c r="F1230" t="s">
        <v>17</v>
      </c>
      <c r="G1230" t="s">
        <v>32</v>
      </c>
      <c r="H1230" t="s">
        <v>19</v>
      </c>
      <c r="I1230" t="s">
        <v>20</v>
      </c>
      <c r="J1230" s="2">
        <v>300</v>
      </c>
    </row>
    <row r="1231" spans="1:12" ht="19.95" customHeight="1">
      <c r="A1231" t="s">
        <v>1324</v>
      </c>
      <c r="B1231" t="s">
        <v>1313</v>
      </c>
      <c r="C1231" t="s">
        <v>14</v>
      </c>
      <c r="D1231" t="s">
        <v>42</v>
      </c>
      <c r="E1231" t="s">
        <v>16</v>
      </c>
      <c r="F1231" t="s">
        <v>35</v>
      </c>
      <c r="G1231" t="s">
        <v>18</v>
      </c>
      <c r="H1231" t="s">
        <v>19</v>
      </c>
      <c r="I1231" t="s">
        <v>20</v>
      </c>
      <c r="J1231" s="2">
        <v>200</v>
      </c>
    </row>
    <row r="1232" spans="1:12" ht="19.95" customHeight="1">
      <c r="A1232" t="s">
        <v>1325</v>
      </c>
      <c r="B1232" t="s">
        <v>1313</v>
      </c>
      <c r="C1232" t="s">
        <v>14</v>
      </c>
      <c r="D1232" t="s">
        <v>131</v>
      </c>
      <c r="E1232" t="s">
        <v>16</v>
      </c>
      <c r="F1232" t="s">
        <v>17</v>
      </c>
      <c r="G1232" t="s">
        <v>23</v>
      </c>
      <c r="H1232" t="s">
        <v>24</v>
      </c>
      <c r="I1232" t="s">
        <v>20</v>
      </c>
      <c r="J1232" s="2">
        <v>120</v>
      </c>
    </row>
    <row r="1233" spans="1:12" ht="19.95" customHeight="1">
      <c r="A1233" t="s">
        <v>1326</v>
      </c>
      <c r="B1233" t="s">
        <v>1313</v>
      </c>
      <c r="C1233" t="s">
        <v>14</v>
      </c>
      <c r="D1233" t="s">
        <v>15</v>
      </c>
      <c r="E1233" t="s">
        <v>16</v>
      </c>
      <c r="F1233" t="s">
        <v>17</v>
      </c>
      <c r="G1233" t="s">
        <v>32</v>
      </c>
      <c r="H1233" t="s">
        <v>19</v>
      </c>
      <c r="I1233" t="s">
        <v>20</v>
      </c>
      <c r="J1233" s="2">
        <v>300</v>
      </c>
    </row>
    <row r="1234" spans="1:12" ht="19.95" customHeight="1">
      <c r="A1234" t="s">
        <v>1327</v>
      </c>
      <c r="B1234" t="s">
        <v>1313</v>
      </c>
      <c r="C1234" t="s">
        <v>14</v>
      </c>
      <c r="D1234" t="s">
        <v>37</v>
      </c>
      <c r="E1234" t="s">
        <v>16</v>
      </c>
      <c r="F1234" t="s">
        <v>17</v>
      </c>
      <c r="G1234" t="s">
        <v>23</v>
      </c>
      <c r="H1234" t="s">
        <v>19</v>
      </c>
      <c r="I1234" t="s">
        <v>20</v>
      </c>
      <c r="J1234" s="2">
        <v>120</v>
      </c>
    </row>
    <row r="1235" spans="1:12" ht="19.95" customHeight="1">
      <c r="A1235" t="s">
        <v>1328</v>
      </c>
      <c r="B1235" t="s">
        <v>1313</v>
      </c>
      <c r="C1235" t="s">
        <v>14</v>
      </c>
      <c r="D1235" t="s">
        <v>37</v>
      </c>
      <c r="E1235" t="s">
        <v>16</v>
      </c>
      <c r="F1235" t="s">
        <v>17</v>
      </c>
      <c r="G1235" t="s">
        <v>23</v>
      </c>
      <c r="H1235" t="s">
        <v>19</v>
      </c>
      <c r="I1235" t="s">
        <v>20</v>
      </c>
      <c r="J1235" s="2">
        <v>120</v>
      </c>
    </row>
    <row r="1236" spans="1:12" ht="19.95" customHeight="1">
      <c r="A1236" t="s">
        <v>1329</v>
      </c>
      <c r="B1236" t="s">
        <v>1313</v>
      </c>
      <c r="C1236" t="s">
        <v>14</v>
      </c>
      <c r="D1236" t="s">
        <v>37</v>
      </c>
      <c r="E1236" t="s">
        <v>16</v>
      </c>
      <c r="F1236" t="s">
        <v>17</v>
      </c>
      <c r="G1236" t="s">
        <v>32</v>
      </c>
      <c r="H1236" t="s">
        <v>24</v>
      </c>
      <c r="I1236" t="s">
        <v>20</v>
      </c>
      <c r="J1236" s="2">
        <v>300</v>
      </c>
    </row>
    <row r="1237" spans="1:12" ht="19.95" customHeight="1">
      <c r="A1237" t="s">
        <v>1330</v>
      </c>
      <c r="B1237" t="s">
        <v>1313</v>
      </c>
      <c r="C1237" t="s">
        <v>14</v>
      </c>
      <c r="D1237" t="s">
        <v>42</v>
      </c>
      <c r="E1237" t="s">
        <v>16</v>
      </c>
      <c r="F1237" t="s">
        <v>17</v>
      </c>
      <c r="G1237" t="s">
        <v>32</v>
      </c>
      <c r="H1237" t="s">
        <v>19</v>
      </c>
      <c r="I1237" t="s">
        <v>20</v>
      </c>
      <c r="J1237" s="2">
        <v>225</v>
      </c>
      <c r="L1237" t="s">
        <v>29</v>
      </c>
    </row>
    <row r="1238" spans="1:12" ht="19.95" customHeight="1">
      <c r="A1238" t="s">
        <v>1331</v>
      </c>
      <c r="B1238" t="s">
        <v>1313</v>
      </c>
      <c r="C1238" t="s">
        <v>14</v>
      </c>
      <c r="D1238" t="s">
        <v>26</v>
      </c>
      <c r="E1238" t="s">
        <v>16</v>
      </c>
      <c r="F1238" t="s">
        <v>17</v>
      </c>
      <c r="G1238" t="s">
        <v>18</v>
      </c>
      <c r="H1238" t="s">
        <v>19</v>
      </c>
      <c r="I1238" t="s">
        <v>20</v>
      </c>
      <c r="J1238" s="2">
        <v>200</v>
      </c>
    </row>
    <row r="1239" spans="1:12" ht="19.95" customHeight="1">
      <c r="A1239" t="s">
        <v>1332</v>
      </c>
      <c r="B1239" t="s">
        <v>1313</v>
      </c>
      <c r="C1239" t="s">
        <v>47</v>
      </c>
      <c r="D1239" t="s">
        <v>64</v>
      </c>
      <c r="E1239" t="s">
        <v>16</v>
      </c>
      <c r="F1239" t="s">
        <v>17</v>
      </c>
      <c r="G1239" t="s">
        <v>18</v>
      </c>
      <c r="H1239" t="s">
        <v>19</v>
      </c>
      <c r="I1239" t="s">
        <v>20</v>
      </c>
      <c r="J1239" s="2">
        <v>200</v>
      </c>
    </row>
    <row r="1240" spans="1:12" ht="19.95" customHeight="1">
      <c r="A1240" t="s">
        <v>1333</v>
      </c>
      <c r="B1240" t="s">
        <v>1313</v>
      </c>
      <c r="C1240" t="s">
        <v>47</v>
      </c>
      <c r="D1240" t="s">
        <v>148</v>
      </c>
      <c r="E1240" t="s">
        <v>16</v>
      </c>
      <c r="F1240" t="s">
        <v>17</v>
      </c>
      <c r="G1240" t="s">
        <v>23</v>
      </c>
      <c r="H1240" t="s">
        <v>19</v>
      </c>
      <c r="I1240" t="s">
        <v>20</v>
      </c>
      <c r="J1240" s="2">
        <v>120</v>
      </c>
    </row>
    <row r="1241" spans="1:12" ht="19.95" customHeight="1">
      <c r="A1241" t="s">
        <v>1334</v>
      </c>
      <c r="B1241" t="s">
        <v>1313</v>
      </c>
      <c r="C1241" t="s">
        <v>47</v>
      </c>
      <c r="D1241" t="s">
        <v>64</v>
      </c>
      <c r="E1241" t="s">
        <v>16</v>
      </c>
      <c r="F1241" t="s">
        <v>17</v>
      </c>
      <c r="G1241" t="s">
        <v>32</v>
      </c>
      <c r="H1241" t="s">
        <v>24</v>
      </c>
      <c r="I1241" t="s">
        <v>20</v>
      </c>
      <c r="J1241" s="2">
        <v>300</v>
      </c>
    </row>
    <row r="1242" spans="1:12" ht="19.95" customHeight="1">
      <c r="A1242" t="s">
        <v>1335</v>
      </c>
      <c r="B1242" t="s">
        <v>1313</v>
      </c>
      <c r="C1242" t="s">
        <v>47</v>
      </c>
      <c r="D1242" t="s">
        <v>50</v>
      </c>
      <c r="E1242" t="s">
        <v>16</v>
      </c>
      <c r="F1242" t="s">
        <v>17</v>
      </c>
      <c r="G1242" t="s">
        <v>32</v>
      </c>
      <c r="H1242" t="s">
        <v>19</v>
      </c>
      <c r="I1242" t="s">
        <v>20</v>
      </c>
      <c r="J1242" s="2">
        <v>300</v>
      </c>
    </row>
    <row r="1243" spans="1:12" ht="19.95" customHeight="1">
      <c r="A1243" t="s">
        <v>1336</v>
      </c>
      <c r="B1243" t="s">
        <v>1313</v>
      </c>
      <c r="C1243" t="s">
        <v>47</v>
      </c>
      <c r="D1243" t="s">
        <v>152</v>
      </c>
      <c r="E1243" t="s">
        <v>16</v>
      </c>
      <c r="F1243" t="s">
        <v>17</v>
      </c>
      <c r="G1243" t="s">
        <v>18</v>
      </c>
      <c r="H1243" t="s">
        <v>19</v>
      </c>
      <c r="I1243" t="s">
        <v>20</v>
      </c>
      <c r="J1243" s="2">
        <v>170</v>
      </c>
      <c r="L1243" t="s">
        <v>29</v>
      </c>
    </row>
    <row r="1244" spans="1:12" ht="19.95" customHeight="1">
      <c r="A1244" t="s">
        <v>1337</v>
      </c>
      <c r="B1244" t="s">
        <v>1313</v>
      </c>
      <c r="C1244" t="s">
        <v>47</v>
      </c>
      <c r="D1244" t="s">
        <v>71</v>
      </c>
      <c r="E1244" t="s">
        <v>16</v>
      </c>
      <c r="F1244" t="s">
        <v>35</v>
      </c>
      <c r="G1244" t="s">
        <v>23</v>
      </c>
      <c r="H1244" t="s">
        <v>19</v>
      </c>
      <c r="I1244" t="s">
        <v>20</v>
      </c>
      <c r="J1244" s="2">
        <v>102</v>
      </c>
      <c r="L1244" t="s">
        <v>29</v>
      </c>
    </row>
    <row r="1245" spans="1:12" ht="19.95" customHeight="1">
      <c r="A1245" t="s">
        <v>1338</v>
      </c>
      <c r="B1245" t="s">
        <v>1313</v>
      </c>
      <c r="C1245" t="s">
        <v>47</v>
      </c>
      <c r="D1245" t="s">
        <v>52</v>
      </c>
      <c r="E1245" t="s">
        <v>16</v>
      </c>
      <c r="F1245" t="s">
        <v>17</v>
      </c>
      <c r="G1245" t="s">
        <v>18</v>
      </c>
      <c r="H1245" t="s">
        <v>19</v>
      </c>
      <c r="I1245" t="s">
        <v>20</v>
      </c>
      <c r="J1245" s="2">
        <v>200</v>
      </c>
    </row>
    <row r="1246" spans="1:12" ht="19.95" customHeight="1">
      <c r="A1246" t="s">
        <v>1339</v>
      </c>
      <c r="B1246" t="s">
        <v>1313</v>
      </c>
      <c r="C1246" t="s">
        <v>47</v>
      </c>
      <c r="D1246" t="s">
        <v>73</v>
      </c>
      <c r="E1246" t="s">
        <v>16</v>
      </c>
      <c r="F1246" t="s">
        <v>17</v>
      </c>
      <c r="G1246" t="s">
        <v>32</v>
      </c>
      <c r="H1246" t="s">
        <v>24</v>
      </c>
      <c r="I1246" t="s">
        <v>20</v>
      </c>
      <c r="J1246" s="2">
        <v>300</v>
      </c>
    </row>
    <row r="1247" spans="1:12" ht="19.95" customHeight="1">
      <c r="A1247" t="s">
        <v>1340</v>
      </c>
      <c r="B1247" t="s">
        <v>1313</v>
      </c>
      <c r="C1247" t="s">
        <v>47</v>
      </c>
      <c r="D1247" t="s">
        <v>59</v>
      </c>
      <c r="E1247" t="s">
        <v>16</v>
      </c>
      <c r="F1247" t="s">
        <v>35</v>
      </c>
      <c r="G1247" t="s">
        <v>23</v>
      </c>
      <c r="H1247" t="s">
        <v>19</v>
      </c>
      <c r="I1247" t="s">
        <v>20</v>
      </c>
      <c r="J1247" s="2">
        <v>120</v>
      </c>
    </row>
    <row r="1248" spans="1:12" ht="19.95" customHeight="1">
      <c r="A1248" t="s">
        <v>1341</v>
      </c>
      <c r="B1248" t="s">
        <v>1313</v>
      </c>
      <c r="C1248" t="s">
        <v>47</v>
      </c>
      <c r="D1248" t="s">
        <v>64</v>
      </c>
      <c r="E1248" t="s">
        <v>16</v>
      </c>
      <c r="F1248" t="s">
        <v>17</v>
      </c>
      <c r="G1248" t="s">
        <v>32</v>
      </c>
      <c r="H1248" t="s">
        <v>19</v>
      </c>
      <c r="I1248" t="s">
        <v>20</v>
      </c>
      <c r="J1248" s="2">
        <v>300</v>
      </c>
    </row>
    <row r="1249" spans="1:12" ht="19.95" customHeight="1">
      <c r="A1249" t="s">
        <v>1342</v>
      </c>
      <c r="B1249" t="s">
        <v>1313</v>
      </c>
      <c r="C1249" t="s">
        <v>47</v>
      </c>
      <c r="D1249" t="s">
        <v>59</v>
      </c>
      <c r="E1249" t="s">
        <v>16</v>
      </c>
      <c r="F1249" t="s">
        <v>17</v>
      </c>
      <c r="G1249" t="s">
        <v>23</v>
      </c>
      <c r="H1249" t="s">
        <v>19</v>
      </c>
      <c r="I1249" t="s">
        <v>20</v>
      </c>
      <c r="J1249" s="2">
        <v>120</v>
      </c>
    </row>
    <row r="1250" spans="1:12" ht="19.95" customHeight="1">
      <c r="A1250" t="s">
        <v>1343</v>
      </c>
      <c r="B1250" t="s">
        <v>1313</v>
      </c>
      <c r="C1250" t="s">
        <v>47</v>
      </c>
      <c r="D1250" t="s">
        <v>71</v>
      </c>
      <c r="E1250" t="s">
        <v>16</v>
      </c>
      <c r="F1250" t="s">
        <v>17</v>
      </c>
      <c r="G1250" t="s">
        <v>23</v>
      </c>
      <c r="H1250" t="s">
        <v>19</v>
      </c>
      <c r="I1250" t="s">
        <v>53</v>
      </c>
      <c r="J1250" s="2">
        <v>120</v>
      </c>
    </row>
    <row r="1251" spans="1:12" ht="19.95" customHeight="1">
      <c r="A1251" t="s">
        <v>1344</v>
      </c>
      <c r="B1251" t="s">
        <v>1313</v>
      </c>
      <c r="C1251" t="s">
        <v>47</v>
      </c>
      <c r="D1251" t="s">
        <v>59</v>
      </c>
      <c r="E1251" t="s">
        <v>16</v>
      </c>
      <c r="F1251" t="s">
        <v>17</v>
      </c>
      <c r="G1251" t="s">
        <v>32</v>
      </c>
      <c r="H1251" t="s">
        <v>19</v>
      </c>
      <c r="I1251" t="s">
        <v>20</v>
      </c>
      <c r="J1251" s="2">
        <v>300</v>
      </c>
    </row>
    <row r="1252" spans="1:12" ht="19.95" customHeight="1">
      <c r="A1252" t="s">
        <v>1345</v>
      </c>
      <c r="B1252" t="s">
        <v>1313</v>
      </c>
      <c r="C1252" t="s">
        <v>47</v>
      </c>
      <c r="D1252" t="s">
        <v>62</v>
      </c>
      <c r="E1252" t="s">
        <v>16</v>
      </c>
      <c r="F1252" t="s">
        <v>35</v>
      </c>
      <c r="G1252" t="s">
        <v>23</v>
      </c>
      <c r="H1252" t="s">
        <v>19</v>
      </c>
      <c r="I1252" t="s">
        <v>20</v>
      </c>
      <c r="J1252" s="2">
        <v>120</v>
      </c>
    </row>
    <row r="1253" spans="1:12" ht="19.95" customHeight="1">
      <c r="A1253" t="s">
        <v>1346</v>
      </c>
      <c r="B1253" t="s">
        <v>1313</v>
      </c>
      <c r="C1253" t="s">
        <v>78</v>
      </c>
      <c r="D1253" t="s">
        <v>242</v>
      </c>
      <c r="E1253" t="s">
        <v>16</v>
      </c>
      <c r="F1253" t="s">
        <v>17</v>
      </c>
      <c r="G1253" t="s">
        <v>32</v>
      </c>
      <c r="H1253" t="s">
        <v>19</v>
      </c>
      <c r="I1253" t="s">
        <v>20</v>
      </c>
      <c r="J1253" s="2">
        <v>300</v>
      </c>
    </row>
    <row r="1254" spans="1:12" ht="19.95" customHeight="1">
      <c r="A1254" t="s">
        <v>1347</v>
      </c>
      <c r="B1254" t="s">
        <v>1313</v>
      </c>
      <c r="C1254" t="s">
        <v>78</v>
      </c>
      <c r="D1254" t="s">
        <v>102</v>
      </c>
      <c r="E1254" t="s">
        <v>16</v>
      </c>
      <c r="F1254" t="s">
        <v>17</v>
      </c>
      <c r="G1254" t="s">
        <v>23</v>
      </c>
      <c r="H1254" t="s">
        <v>19</v>
      </c>
      <c r="I1254" t="s">
        <v>20</v>
      </c>
      <c r="J1254" s="2">
        <v>120</v>
      </c>
    </row>
    <row r="1255" spans="1:12" ht="19.95" customHeight="1">
      <c r="A1255" t="s">
        <v>1348</v>
      </c>
      <c r="B1255" t="s">
        <v>1313</v>
      </c>
      <c r="C1255" t="s">
        <v>78</v>
      </c>
      <c r="D1255" t="s">
        <v>79</v>
      </c>
      <c r="E1255" t="s">
        <v>16</v>
      </c>
      <c r="F1255" t="s">
        <v>17</v>
      </c>
      <c r="G1255" t="s">
        <v>23</v>
      </c>
      <c r="H1255" t="s">
        <v>19</v>
      </c>
      <c r="I1255" t="s">
        <v>20</v>
      </c>
      <c r="J1255" s="2">
        <v>120</v>
      </c>
    </row>
    <row r="1256" spans="1:12" ht="19.95" customHeight="1">
      <c r="A1256" t="s">
        <v>1349</v>
      </c>
      <c r="B1256" t="s">
        <v>1313</v>
      </c>
      <c r="C1256" t="s">
        <v>78</v>
      </c>
      <c r="D1256" t="s">
        <v>87</v>
      </c>
      <c r="E1256" t="s">
        <v>16</v>
      </c>
      <c r="F1256" t="s">
        <v>17</v>
      </c>
      <c r="G1256" t="s">
        <v>23</v>
      </c>
      <c r="H1256" t="s">
        <v>19</v>
      </c>
      <c r="I1256" t="s">
        <v>20</v>
      </c>
      <c r="J1256" s="2">
        <v>90</v>
      </c>
      <c r="L1256" t="s">
        <v>29</v>
      </c>
    </row>
    <row r="1257" spans="1:12" ht="19.95" customHeight="1">
      <c r="A1257" t="s">
        <v>1350</v>
      </c>
      <c r="B1257" t="s">
        <v>1313</v>
      </c>
      <c r="C1257" t="s">
        <v>78</v>
      </c>
      <c r="D1257" t="s">
        <v>242</v>
      </c>
      <c r="E1257" t="s">
        <v>16</v>
      </c>
      <c r="F1257" t="s">
        <v>17</v>
      </c>
      <c r="G1257" t="s">
        <v>32</v>
      </c>
      <c r="H1257" t="s">
        <v>19</v>
      </c>
      <c r="I1257" t="s">
        <v>20</v>
      </c>
      <c r="J1257" s="2">
        <v>225</v>
      </c>
      <c r="L1257" t="s">
        <v>29</v>
      </c>
    </row>
    <row r="1258" spans="1:12" ht="19.95" customHeight="1">
      <c r="A1258" t="s">
        <v>1351</v>
      </c>
      <c r="B1258" t="s">
        <v>1313</v>
      </c>
      <c r="C1258" t="s">
        <v>78</v>
      </c>
      <c r="D1258" t="s">
        <v>163</v>
      </c>
      <c r="E1258" t="s">
        <v>16</v>
      </c>
      <c r="F1258" t="s">
        <v>17</v>
      </c>
      <c r="G1258" t="s">
        <v>32</v>
      </c>
      <c r="H1258" t="s">
        <v>19</v>
      </c>
      <c r="I1258" t="s">
        <v>20</v>
      </c>
      <c r="J1258" s="2">
        <v>300</v>
      </c>
    </row>
    <row r="1259" spans="1:12" ht="19.95" customHeight="1">
      <c r="A1259" t="s">
        <v>1352</v>
      </c>
      <c r="B1259" t="s">
        <v>1313</v>
      </c>
      <c r="C1259" t="s">
        <v>78</v>
      </c>
      <c r="D1259" t="s">
        <v>102</v>
      </c>
      <c r="E1259" t="s">
        <v>16</v>
      </c>
      <c r="F1259" t="s">
        <v>17</v>
      </c>
      <c r="G1259" t="s">
        <v>32</v>
      </c>
      <c r="H1259" t="s">
        <v>19</v>
      </c>
      <c r="I1259" t="s">
        <v>20</v>
      </c>
      <c r="J1259" s="2">
        <v>300</v>
      </c>
    </row>
    <row r="1260" spans="1:12" ht="19.95" customHeight="1">
      <c r="A1260" t="s">
        <v>1353</v>
      </c>
      <c r="B1260" t="s">
        <v>1313</v>
      </c>
      <c r="C1260" t="s">
        <v>78</v>
      </c>
      <c r="D1260" t="s">
        <v>81</v>
      </c>
      <c r="E1260" t="s">
        <v>16</v>
      </c>
      <c r="F1260" t="s">
        <v>35</v>
      </c>
      <c r="G1260" t="s">
        <v>18</v>
      </c>
      <c r="H1260" t="s">
        <v>19</v>
      </c>
      <c r="I1260" t="s">
        <v>20</v>
      </c>
      <c r="J1260" s="2">
        <v>200</v>
      </c>
    </row>
    <row r="1261" spans="1:12" ht="19.95" customHeight="1">
      <c r="A1261" t="s">
        <v>1354</v>
      </c>
      <c r="B1261" t="s">
        <v>1313</v>
      </c>
      <c r="C1261" t="s">
        <v>78</v>
      </c>
      <c r="D1261" t="s">
        <v>83</v>
      </c>
      <c r="E1261" t="s">
        <v>16</v>
      </c>
      <c r="F1261" t="s">
        <v>17</v>
      </c>
      <c r="G1261" t="s">
        <v>18</v>
      </c>
      <c r="H1261" t="s">
        <v>19</v>
      </c>
      <c r="I1261" t="s">
        <v>20</v>
      </c>
      <c r="J1261" s="2">
        <v>200</v>
      </c>
    </row>
    <row r="1262" spans="1:12" ht="19.95" customHeight="1">
      <c r="A1262" t="s">
        <v>1355</v>
      </c>
      <c r="B1262" t="s">
        <v>1313</v>
      </c>
      <c r="C1262" t="s">
        <v>78</v>
      </c>
      <c r="D1262" t="s">
        <v>87</v>
      </c>
      <c r="E1262" t="s">
        <v>16</v>
      </c>
      <c r="F1262" t="s">
        <v>35</v>
      </c>
      <c r="G1262" t="s">
        <v>18</v>
      </c>
      <c r="H1262" t="s">
        <v>19</v>
      </c>
      <c r="I1262" t="s">
        <v>53</v>
      </c>
      <c r="J1262" s="2">
        <v>200</v>
      </c>
    </row>
    <row r="1263" spans="1:12" ht="19.95" customHeight="1">
      <c r="A1263" t="s">
        <v>1356</v>
      </c>
      <c r="B1263" t="s">
        <v>1313</v>
      </c>
      <c r="C1263" t="s">
        <v>78</v>
      </c>
      <c r="D1263" t="s">
        <v>161</v>
      </c>
      <c r="E1263" t="s">
        <v>16</v>
      </c>
      <c r="F1263" t="s">
        <v>17</v>
      </c>
      <c r="G1263" t="s">
        <v>18</v>
      </c>
      <c r="H1263" t="s">
        <v>19</v>
      </c>
      <c r="I1263" t="s">
        <v>20</v>
      </c>
      <c r="J1263" s="2">
        <v>200</v>
      </c>
    </row>
    <row r="1264" spans="1:12" ht="19.95" customHeight="1">
      <c r="A1264" t="s">
        <v>1357</v>
      </c>
      <c r="B1264" t="s">
        <v>1313</v>
      </c>
      <c r="C1264" t="s">
        <v>78</v>
      </c>
      <c r="D1264" t="s">
        <v>97</v>
      </c>
      <c r="E1264" t="s">
        <v>16</v>
      </c>
      <c r="F1264" t="s">
        <v>35</v>
      </c>
      <c r="G1264" t="s">
        <v>18</v>
      </c>
      <c r="H1264" t="s">
        <v>24</v>
      </c>
      <c r="I1264" t="s">
        <v>20</v>
      </c>
      <c r="J1264" s="2">
        <v>200</v>
      </c>
    </row>
    <row r="1265" spans="1:12" ht="19.95" customHeight="1">
      <c r="A1265" t="s">
        <v>1358</v>
      </c>
      <c r="B1265" t="s">
        <v>1313</v>
      </c>
      <c r="C1265" t="s">
        <v>78</v>
      </c>
      <c r="D1265" t="s">
        <v>242</v>
      </c>
      <c r="E1265" t="s">
        <v>16</v>
      </c>
      <c r="F1265" t="s">
        <v>17</v>
      </c>
      <c r="G1265" t="s">
        <v>23</v>
      </c>
      <c r="H1265" t="s">
        <v>19</v>
      </c>
      <c r="I1265" t="s">
        <v>20</v>
      </c>
      <c r="J1265" s="2">
        <v>120</v>
      </c>
    </row>
    <row r="1266" spans="1:12" ht="19.95" customHeight="1">
      <c r="A1266" t="s">
        <v>1359</v>
      </c>
      <c r="B1266" t="s">
        <v>1313</v>
      </c>
      <c r="C1266" t="s">
        <v>78</v>
      </c>
      <c r="D1266" t="s">
        <v>81</v>
      </c>
      <c r="E1266" t="s">
        <v>16</v>
      </c>
      <c r="F1266" t="s">
        <v>17</v>
      </c>
      <c r="G1266" t="s">
        <v>23</v>
      </c>
      <c r="H1266" t="s">
        <v>19</v>
      </c>
      <c r="I1266" t="s">
        <v>20</v>
      </c>
      <c r="J1266" s="2">
        <v>120</v>
      </c>
    </row>
    <row r="1267" spans="1:12" ht="19.95" customHeight="1">
      <c r="A1267" t="s">
        <v>1360</v>
      </c>
      <c r="B1267" t="s">
        <v>1313</v>
      </c>
      <c r="C1267" t="s">
        <v>78</v>
      </c>
      <c r="D1267" t="s">
        <v>89</v>
      </c>
      <c r="E1267" t="s">
        <v>16</v>
      </c>
      <c r="F1267" t="s">
        <v>17</v>
      </c>
      <c r="G1267" t="s">
        <v>32</v>
      </c>
      <c r="H1267" t="s">
        <v>19</v>
      </c>
      <c r="I1267" t="s">
        <v>20</v>
      </c>
      <c r="J1267" s="2">
        <v>225</v>
      </c>
      <c r="L1267" t="s">
        <v>1270</v>
      </c>
    </row>
    <row r="1268" spans="1:12" ht="19.95" customHeight="1">
      <c r="A1268" t="s">
        <v>1361</v>
      </c>
      <c r="B1268" t="s">
        <v>1313</v>
      </c>
      <c r="C1268" t="s">
        <v>78</v>
      </c>
      <c r="D1268" t="s">
        <v>242</v>
      </c>
      <c r="E1268" t="s">
        <v>16</v>
      </c>
      <c r="F1268" t="s">
        <v>17</v>
      </c>
      <c r="G1268" t="s">
        <v>32</v>
      </c>
      <c r="H1268" t="s">
        <v>19</v>
      </c>
      <c r="I1268" t="s">
        <v>20</v>
      </c>
      <c r="J1268" s="2">
        <v>225</v>
      </c>
      <c r="L1268" t="s">
        <v>1270</v>
      </c>
    </row>
    <row r="1269" spans="1:12" ht="19.95" customHeight="1">
      <c r="A1269" t="s">
        <v>1362</v>
      </c>
      <c r="B1269" t="s">
        <v>1313</v>
      </c>
      <c r="C1269" t="s">
        <v>78</v>
      </c>
      <c r="D1269" t="s">
        <v>79</v>
      </c>
      <c r="E1269" t="s">
        <v>16</v>
      </c>
      <c r="F1269" t="s">
        <v>17</v>
      </c>
      <c r="G1269" t="s">
        <v>32</v>
      </c>
      <c r="H1269" t="s">
        <v>19</v>
      </c>
      <c r="I1269" t="s">
        <v>20</v>
      </c>
      <c r="J1269" s="2">
        <v>225</v>
      </c>
      <c r="L1269" t="s">
        <v>1270</v>
      </c>
    </row>
    <row r="1270" spans="1:12" ht="19.95" customHeight="1">
      <c r="A1270" t="s">
        <v>1363</v>
      </c>
      <c r="B1270" t="s">
        <v>1313</v>
      </c>
      <c r="C1270" t="s">
        <v>78</v>
      </c>
      <c r="D1270" t="s">
        <v>83</v>
      </c>
      <c r="E1270" t="s">
        <v>16</v>
      </c>
      <c r="F1270" t="s">
        <v>17</v>
      </c>
      <c r="G1270" t="s">
        <v>32</v>
      </c>
      <c r="H1270" t="s">
        <v>19</v>
      </c>
      <c r="I1270" t="s">
        <v>20</v>
      </c>
      <c r="J1270" s="2">
        <v>225</v>
      </c>
      <c r="L1270" t="s">
        <v>1270</v>
      </c>
    </row>
    <row r="1271" spans="1:12" ht="19.95" customHeight="1">
      <c r="A1271" t="s">
        <v>1364</v>
      </c>
      <c r="B1271" t="s">
        <v>1313</v>
      </c>
      <c r="C1271" t="s">
        <v>78</v>
      </c>
      <c r="D1271" t="s">
        <v>89</v>
      </c>
      <c r="E1271" t="s">
        <v>16</v>
      </c>
      <c r="F1271" t="s">
        <v>17</v>
      </c>
      <c r="G1271" t="s">
        <v>32</v>
      </c>
      <c r="H1271" t="s">
        <v>19</v>
      </c>
      <c r="I1271" t="s">
        <v>20</v>
      </c>
      <c r="J1271" s="2">
        <v>225</v>
      </c>
      <c r="L1271" t="s">
        <v>1270</v>
      </c>
    </row>
    <row r="1272" spans="1:12" ht="19.95" customHeight="1">
      <c r="A1272" t="s">
        <v>1365</v>
      </c>
      <c r="B1272" t="s">
        <v>1313</v>
      </c>
      <c r="C1272" t="s">
        <v>78</v>
      </c>
      <c r="D1272" t="s">
        <v>163</v>
      </c>
      <c r="E1272" t="s">
        <v>16</v>
      </c>
      <c r="F1272" t="s">
        <v>17</v>
      </c>
      <c r="G1272" t="s">
        <v>32</v>
      </c>
      <c r="H1272" t="s">
        <v>19</v>
      </c>
      <c r="I1272" t="s">
        <v>20</v>
      </c>
      <c r="J1272" s="2">
        <v>225</v>
      </c>
      <c r="L1272" t="s">
        <v>1270</v>
      </c>
    </row>
    <row r="1273" spans="1:12" ht="19.95" customHeight="1">
      <c r="A1273" t="s">
        <v>1366</v>
      </c>
      <c r="B1273" t="s">
        <v>1313</v>
      </c>
      <c r="C1273" t="s">
        <v>78</v>
      </c>
      <c r="D1273" t="s">
        <v>81</v>
      </c>
      <c r="E1273" t="s">
        <v>16</v>
      </c>
      <c r="F1273" t="s">
        <v>17</v>
      </c>
      <c r="G1273" t="s">
        <v>32</v>
      </c>
      <c r="H1273" t="s">
        <v>19</v>
      </c>
      <c r="I1273" t="s">
        <v>20</v>
      </c>
      <c r="J1273" s="2">
        <v>225</v>
      </c>
      <c r="L1273" t="s">
        <v>1270</v>
      </c>
    </row>
    <row r="1274" spans="1:12" ht="19.95" customHeight="1">
      <c r="A1274" t="s">
        <v>1367</v>
      </c>
      <c r="B1274" t="s">
        <v>1313</v>
      </c>
      <c r="C1274" t="s">
        <v>78</v>
      </c>
      <c r="D1274" t="s">
        <v>93</v>
      </c>
      <c r="E1274" t="s">
        <v>16</v>
      </c>
      <c r="F1274" t="s">
        <v>17</v>
      </c>
      <c r="G1274" t="s">
        <v>32</v>
      </c>
      <c r="H1274" t="s">
        <v>19</v>
      </c>
      <c r="I1274" t="s">
        <v>20</v>
      </c>
      <c r="J1274" s="2">
        <v>225</v>
      </c>
      <c r="L1274" t="s">
        <v>1270</v>
      </c>
    </row>
    <row r="1275" spans="1:12" ht="19.95" customHeight="1">
      <c r="A1275" t="s">
        <v>1368</v>
      </c>
      <c r="B1275" t="s">
        <v>1313</v>
      </c>
      <c r="C1275" t="s">
        <v>78</v>
      </c>
      <c r="D1275" t="s">
        <v>87</v>
      </c>
      <c r="E1275" t="s">
        <v>16</v>
      </c>
      <c r="F1275" t="s">
        <v>17</v>
      </c>
      <c r="G1275" t="s">
        <v>32</v>
      </c>
      <c r="H1275" t="s">
        <v>19</v>
      </c>
      <c r="I1275" t="s">
        <v>20</v>
      </c>
      <c r="J1275" s="2">
        <v>225</v>
      </c>
      <c r="L1275" t="s">
        <v>1270</v>
      </c>
    </row>
    <row r="1276" spans="1:12" ht="19.95" customHeight="1">
      <c r="A1276" t="s">
        <v>1369</v>
      </c>
      <c r="B1276" t="s">
        <v>1313</v>
      </c>
      <c r="C1276" t="s">
        <v>78</v>
      </c>
      <c r="D1276" t="s">
        <v>83</v>
      </c>
      <c r="E1276" t="s">
        <v>16</v>
      </c>
      <c r="F1276" t="s">
        <v>17</v>
      </c>
      <c r="G1276" t="s">
        <v>32</v>
      </c>
      <c r="H1276" t="s">
        <v>19</v>
      </c>
      <c r="I1276" t="s">
        <v>20</v>
      </c>
      <c r="J1276" s="2">
        <v>225</v>
      </c>
      <c r="L1276" t="s">
        <v>1270</v>
      </c>
    </row>
    <row r="1277" spans="1:12" ht="19.95" customHeight="1">
      <c r="A1277" t="s">
        <v>1370</v>
      </c>
      <c r="B1277" t="s">
        <v>1313</v>
      </c>
      <c r="C1277" t="s">
        <v>78</v>
      </c>
      <c r="D1277" t="s">
        <v>161</v>
      </c>
      <c r="E1277" t="s">
        <v>16</v>
      </c>
      <c r="F1277" t="s">
        <v>17</v>
      </c>
      <c r="G1277" t="s">
        <v>32</v>
      </c>
      <c r="H1277" t="s">
        <v>19</v>
      </c>
      <c r="I1277" t="s">
        <v>20</v>
      </c>
      <c r="J1277" s="2">
        <v>225</v>
      </c>
      <c r="L1277" t="s">
        <v>1270</v>
      </c>
    </row>
    <row r="1278" spans="1:12" ht="19.95" customHeight="1">
      <c r="A1278" t="s">
        <v>1371</v>
      </c>
      <c r="B1278" t="s">
        <v>1313</v>
      </c>
      <c r="C1278" t="s">
        <v>78</v>
      </c>
      <c r="D1278" t="s">
        <v>81</v>
      </c>
      <c r="E1278" t="s">
        <v>16</v>
      </c>
      <c r="F1278" t="s">
        <v>17</v>
      </c>
      <c r="G1278" t="s">
        <v>32</v>
      </c>
      <c r="H1278" t="s">
        <v>19</v>
      </c>
      <c r="I1278" t="s">
        <v>20</v>
      </c>
      <c r="J1278" s="2">
        <v>225</v>
      </c>
      <c r="L1278" t="s">
        <v>1270</v>
      </c>
    </row>
    <row r="1279" spans="1:12" ht="19.95" customHeight="1">
      <c r="A1279" t="s">
        <v>1372</v>
      </c>
      <c r="B1279" t="s">
        <v>1313</v>
      </c>
      <c r="C1279" t="s">
        <v>78</v>
      </c>
      <c r="D1279" t="s">
        <v>93</v>
      </c>
      <c r="E1279" t="s">
        <v>16</v>
      </c>
      <c r="F1279" t="s">
        <v>17</v>
      </c>
      <c r="G1279" t="s">
        <v>32</v>
      </c>
      <c r="H1279" t="s">
        <v>19</v>
      </c>
      <c r="I1279" t="s">
        <v>20</v>
      </c>
      <c r="J1279" s="2">
        <v>225</v>
      </c>
      <c r="L1279" t="s">
        <v>1270</v>
      </c>
    </row>
    <row r="1280" spans="1:12" ht="19.95" customHeight="1">
      <c r="A1280" t="s">
        <v>1373</v>
      </c>
      <c r="B1280" t="s">
        <v>1313</v>
      </c>
      <c r="C1280" t="s">
        <v>78</v>
      </c>
      <c r="D1280" t="s">
        <v>97</v>
      </c>
      <c r="E1280" t="s">
        <v>16</v>
      </c>
      <c r="F1280" t="s">
        <v>17</v>
      </c>
      <c r="G1280" t="s">
        <v>32</v>
      </c>
      <c r="H1280" t="s">
        <v>19</v>
      </c>
      <c r="I1280" t="s">
        <v>20</v>
      </c>
      <c r="J1280" s="2">
        <v>225</v>
      </c>
      <c r="L1280" t="s">
        <v>1270</v>
      </c>
    </row>
    <row r="1281" spans="1:12" ht="19.95" customHeight="1">
      <c r="A1281" t="s">
        <v>1374</v>
      </c>
      <c r="B1281" t="s">
        <v>1313</v>
      </c>
      <c r="C1281" t="s">
        <v>78</v>
      </c>
      <c r="D1281" t="s">
        <v>161</v>
      </c>
      <c r="E1281" t="s">
        <v>16</v>
      </c>
      <c r="F1281" t="s">
        <v>17</v>
      </c>
      <c r="G1281" t="s">
        <v>32</v>
      </c>
      <c r="H1281" t="s">
        <v>19</v>
      </c>
      <c r="I1281" t="s">
        <v>20</v>
      </c>
      <c r="J1281" s="2">
        <v>225</v>
      </c>
      <c r="L1281" t="s">
        <v>1270</v>
      </c>
    </row>
    <row r="1282" spans="1:12" ht="19.95" customHeight="1">
      <c r="A1282" t="s">
        <v>1375</v>
      </c>
      <c r="B1282" t="s">
        <v>1313</v>
      </c>
      <c r="C1282" t="s">
        <v>78</v>
      </c>
      <c r="D1282" t="s">
        <v>79</v>
      </c>
      <c r="E1282" t="s">
        <v>16</v>
      </c>
      <c r="F1282" t="s">
        <v>17</v>
      </c>
      <c r="G1282" t="s">
        <v>32</v>
      </c>
      <c r="H1282" t="s">
        <v>19</v>
      </c>
      <c r="I1282" t="s">
        <v>20</v>
      </c>
      <c r="J1282" s="2">
        <v>225</v>
      </c>
      <c r="L1282" t="s">
        <v>1270</v>
      </c>
    </row>
    <row r="1283" spans="1:12" ht="19.95" customHeight="1">
      <c r="A1283" t="s">
        <v>1376</v>
      </c>
      <c r="B1283" t="s">
        <v>1313</v>
      </c>
      <c r="C1283" t="s">
        <v>78</v>
      </c>
      <c r="D1283" t="s">
        <v>93</v>
      </c>
      <c r="E1283" t="s">
        <v>16</v>
      </c>
      <c r="F1283" t="s">
        <v>17</v>
      </c>
      <c r="G1283" t="s">
        <v>32</v>
      </c>
      <c r="H1283" t="s">
        <v>19</v>
      </c>
      <c r="I1283" t="s">
        <v>20</v>
      </c>
      <c r="J1283" s="2">
        <v>225</v>
      </c>
      <c r="L1283" t="s">
        <v>1270</v>
      </c>
    </row>
    <row r="1284" spans="1:12" ht="19.95" customHeight="1">
      <c r="A1284" t="s">
        <v>1377</v>
      </c>
      <c r="B1284" t="s">
        <v>1313</v>
      </c>
      <c r="C1284" t="s">
        <v>78</v>
      </c>
      <c r="D1284" t="s">
        <v>161</v>
      </c>
      <c r="E1284" t="s">
        <v>16</v>
      </c>
      <c r="F1284" t="s">
        <v>17</v>
      </c>
      <c r="G1284" t="s">
        <v>32</v>
      </c>
      <c r="H1284" t="s">
        <v>19</v>
      </c>
      <c r="I1284" t="s">
        <v>20</v>
      </c>
      <c r="J1284" s="2">
        <v>225</v>
      </c>
      <c r="L1284" t="s">
        <v>1270</v>
      </c>
    </row>
    <row r="1285" spans="1:12" ht="19.95" customHeight="1">
      <c r="A1285" t="s">
        <v>1378</v>
      </c>
      <c r="B1285" t="s">
        <v>1313</v>
      </c>
      <c r="C1285" t="s">
        <v>78</v>
      </c>
      <c r="D1285" t="s">
        <v>79</v>
      </c>
      <c r="E1285" t="s">
        <v>16</v>
      </c>
      <c r="F1285" t="s">
        <v>17</v>
      </c>
      <c r="G1285" t="s">
        <v>32</v>
      </c>
      <c r="H1285" t="s">
        <v>19</v>
      </c>
      <c r="I1285" t="s">
        <v>20</v>
      </c>
      <c r="J1285" s="2">
        <v>225</v>
      </c>
      <c r="L1285" t="s">
        <v>1270</v>
      </c>
    </row>
    <row r="1286" spans="1:12" ht="19.95" customHeight="1">
      <c r="A1286" t="s">
        <v>1379</v>
      </c>
      <c r="B1286" t="s">
        <v>1313</v>
      </c>
      <c r="C1286" t="s">
        <v>105</v>
      </c>
      <c r="D1286" t="s">
        <v>106</v>
      </c>
      <c r="E1286" t="s">
        <v>16</v>
      </c>
      <c r="F1286" t="s">
        <v>35</v>
      </c>
      <c r="G1286" t="s">
        <v>23</v>
      </c>
      <c r="H1286" t="s">
        <v>19</v>
      </c>
      <c r="I1286" t="s">
        <v>20</v>
      </c>
      <c r="J1286" s="2">
        <v>120</v>
      </c>
    </row>
    <row r="1287" spans="1:12" ht="19.95" customHeight="1">
      <c r="A1287" t="s">
        <v>1380</v>
      </c>
      <c r="B1287" t="s">
        <v>1313</v>
      </c>
      <c r="C1287" t="s">
        <v>105</v>
      </c>
      <c r="D1287" t="s">
        <v>120</v>
      </c>
      <c r="E1287" t="s">
        <v>16</v>
      </c>
      <c r="F1287" t="s">
        <v>17</v>
      </c>
      <c r="G1287" t="s">
        <v>32</v>
      </c>
      <c r="H1287" t="s">
        <v>19</v>
      </c>
      <c r="I1287" t="s">
        <v>20</v>
      </c>
      <c r="J1287" s="2">
        <v>300</v>
      </c>
    </row>
    <row r="1288" spans="1:12" ht="19.95" customHeight="1">
      <c r="A1288" t="s">
        <v>1381</v>
      </c>
      <c r="B1288" t="s">
        <v>1313</v>
      </c>
      <c r="C1288" t="s">
        <v>105</v>
      </c>
      <c r="D1288" t="s">
        <v>187</v>
      </c>
      <c r="E1288" t="s">
        <v>16</v>
      </c>
      <c r="F1288" t="s">
        <v>35</v>
      </c>
      <c r="G1288" t="s">
        <v>23</v>
      </c>
      <c r="H1288" t="s">
        <v>19</v>
      </c>
      <c r="I1288" t="s">
        <v>20</v>
      </c>
      <c r="J1288" s="2">
        <v>120</v>
      </c>
    </row>
    <row r="1289" spans="1:12" ht="19.95" customHeight="1">
      <c r="A1289" t="s">
        <v>1382</v>
      </c>
      <c r="B1289" t="s">
        <v>1313</v>
      </c>
      <c r="C1289" t="s">
        <v>105</v>
      </c>
      <c r="D1289" t="s">
        <v>120</v>
      </c>
      <c r="E1289" t="s">
        <v>16</v>
      </c>
      <c r="F1289" t="s">
        <v>35</v>
      </c>
      <c r="G1289" t="s">
        <v>18</v>
      </c>
      <c r="H1289" t="s">
        <v>19</v>
      </c>
      <c r="I1289" t="s">
        <v>20</v>
      </c>
      <c r="J1289" s="2">
        <v>150</v>
      </c>
      <c r="L1289" t="s">
        <v>29</v>
      </c>
    </row>
    <row r="1290" spans="1:12" ht="19.95" customHeight="1">
      <c r="A1290" t="s">
        <v>1383</v>
      </c>
      <c r="B1290" t="s">
        <v>1313</v>
      </c>
      <c r="C1290" t="s">
        <v>105</v>
      </c>
      <c r="D1290" t="s">
        <v>194</v>
      </c>
      <c r="E1290" t="s">
        <v>16</v>
      </c>
      <c r="F1290" t="s">
        <v>17</v>
      </c>
      <c r="G1290" t="s">
        <v>18</v>
      </c>
      <c r="H1290" t="s">
        <v>19</v>
      </c>
      <c r="I1290" t="s">
        <v>20</v>
      </c>
      <c r="J1290" s="2">
        <v>200</v>
      </c>
    </row>
    <row r="1291" spans="1:12" ht="19.95" customHeight="1">
      <c r="A1291" t="s">
        <v>1384</v>
      </c>
      <c r="B1291" t="s">
        <v>1313</v>
      </c>
      <c r="C1291" t="s">
        <v>105</v>
      </c>
      <c r="D1291" t="s">
        <v>265</v>
      </c>
      <c r="E1291" t="s">
        <v>16</v>
      </c>
      <c r="F1291" t="s">
        <v>35</v>
      </c>
      <c r="G1291" t="s">
        <v>23</v>
      </c>
      <c r="H1291" t="s">
        <v>19</v>
      </c>
      <c r="I1291" t="s">
        <v>20</v>
      </c>
      <c r="J1291" s="2">
        <v>120</v>
      </c>
    </row>
    <row r="1292" spans="1:12" ht="19.95" customHeight="1">
      <c r="A1292" t="s">
        <v>1385</v>
      </c>
      <c r="B1292" t="s">
        <v>1313</v>
      </c>
      <c r="C1292" t="s">
        <v>105</v>
      </c>
      <c r="D1292" t="s">
        <v>112</v>
      </c>
      <c r="E1292" t="s">
        <v>16</v>
      </c>
      <c r="F1292" t="s">
        <v>17</v>
      </c>
      <c r="G1292" t="s">
        <v>18</v>
      </c>
      <c r="H1292" t="s">
        <v>19</v>
      </c>
      <c r="I1292" t="s">
        <v>20</v>
      </c>
      <c r="J1292" s="2">
        <v>200</v>
      </c>
    </row>
    <row r="1293" spans="1:12" ht="19.95" customHeight="1">
      <c r="A1293" t="s">
        <v>1386</v>
      </c>
      <c r="B1293" t="s">
        <v>1313</v>
      </c>
      <c r="C1293" t="s">
        <v>105</v>
      </c>
      <c r="D1293" t="s">
        <v>187</v>
      </c>
      <c r="E1293" t="s">
        <v>16</v>
      </c>
      <c r="F1293" t="s">
        <v>17</v>
      </c>
      <c r="G1293" t="s">
        <v>32</v>
      </c>
      <c r="H1293" t="s">
        <v>24</v>
      </c>
      <c r="I1293" t="s">
        <v>20</v>
      </c>
      <c r="J1293" s="2">
        <v>300</v>
      </c>
    </row>
    <row r="1294" spans="1:12" ht="19.95" customHeight="1">
      <c r="A1294" t="s">
        <v>1387</v>
      </c>
      <c r="B1294" t="s">
        <v>1313</v>
      </c>
      <c r="C1294" t="s">
        <v>105</v>
      </c>
      <c r="D1294" t="s">
        <v>106</v>
      </c>
      <c r="E1294" t="s">
        <v>16</v>
      </c>
      <c r="F1294" t="s">
        <v>17</v>
      </c>
      <c r="G1294" t="s">
        <v>23</v>
      </c>
      <c r="H1294" t="s">
        <v>24</v>
      </c>
      <c r="I1294" t="s">
        <v>20</v>
      </c>
      <c r="J1294" s="2">
        <v>120</v>
      </c>
    </row>
    <row r="1295" spans="1:12" ht="19.95" customHeight="1">
      <c r="A1295" t="s">
        <v>1388</v>
      </c>
      <c r="B1295" t="s">
        <v>1313</v>
      </c>
      <c r="C1295" t="s">
        <v>105</v>
      </c>
      <c r="D1295" t="s">
        <v>187</v>
      </c>
      <c r="E1295" t="s">
        <v>16</v>
      </c>
      <c r="F1295" t="s">
        <v>17</v>
      </c>
      <c r="G1295" t="s">
        <v>32</v>
      </c>
      <c r="H1295" t="s">
        <v>19</v>
      </c>
      <c r="I1295" t="s">
        <v>20</v>
      </c>
      <c r="J1295" s="2">
        <v>300</v>
      </c>
    </row>
    <row r="1296" spans="1:12" ht="19.95" customHeight="1">
      <c r="A1296" t="s">
        <v>1389</v>
      </c>
      <c r="B1296" t="s">
        <v>1313</v>
      </c>
      <c r="C1296" t="s">
        <v>105</v>
      </c>
      <c r="D1296" t="s">
        <v>187</v>
      </c>
      <c r="E1296" t="s">
        <v>16</v>
      </c>
      <c r="F1296" t="s">
        <v>17</v>
      </c>
      <c r="G1296" t="s">
        <v>32</v>
      </c>
      <c r="H1296" t="s">
        <v>19</v>
      </c>
      <c r="I1296" t="s">
        <v>20</v>
      </c>
      <c r="J1296" s="2">
        <v>300</v>
      </c>
    </row>
    <row r="1297" spans="1:12" ht="19.95" customHeight="1">
      <c r="A1297" t="s">
        <v>1390</v>
      </c>
      <c r="B1297" t="s">
        <v>1313</v>
      </c>
      <c r="C1297" t="s">
        <v>105</v>
      </c>
      <c r="D1297" t="s">
        <v>116</v>
      </c>
      <c r="E1297" t="s">
        <v>16</v>
      </c>
      <c r="F1297" t="s">
        <v>17</v>
      </c>
      <c r="G1297" t="s">
        <v>32</v>
      </c>
      <c r="H1297" t="s">
        <v>19</v>
      </c>
      <c r="I1297" t="s">
        <v>20</v>
      </c>
      <c r="J1297" s="2">
        <v>225</v>
      </c>
      <c r="L1297" t="s">
        <v>29</v>
      </c>
    </row>
    <row r="1298" spans="1:12" ht="19.95" customHeight="1">
      <c r="A1298" t="s">
        <v>1391</v>
      </c>
      <c r="B1298" t="s">
        <v>1313</v>
      </c>
      <c r="C1298" t="s">
        <v>105</v>
      </c>
      <c r="D1298" t="s">
        <v>118</v>
      </c>
      <c r="E1298" t="s">
        <v>16</v>
      </c>
      <c r="F1298" t="s">
        <v>35</v>
      </c>
      <c r="G1298" t="s">
        <v>23</v>
      </c>
      <c r="H1298" t="s">
        <v>19</v>
      </c>
      <c r="I1298" t="s">
        <v>20</v>
      </c>
      <c r="J1298" s="2">
        <v>120</v>
      </c>
    </row>
    <row r="1299" spans="1:12" ht="19.95" customHeight="1">
      <c r="A1299" t="s">
        <v>1392</v>
      </c>
      <c r="B1299" t="s">
        <v>1313</v>
      </c>
      <c r="C1299" t="s">
        <v>105</v>
      </c>
      <c r="D1299" t="s">
        <v>108</v>
      </c>
      <c r="E1299" t="s">
        <v>16</v>
      </c>
      <c r="F1299" t="s">
        <v>17</v>
      </c>
      <c r="G1299" t="s">
        <v>18</v>
      </c>
      <c r="H1299" t="s">
        <v>19</v>
      </c>
      <c r="I1299" t="s">
        <v>20</v>
      </c>
      <c r="J1299" s="2">
        <v>200</v>
      </c>
    </row>
    <row r="1300" spans="1:12" ht="19.95" customHeight="1">
      <c r="A1300" t="s">
        <v>1393</v>
      </c>
      <c r="B1300" t="s">
        <v>1313</v>
      </c>
      <c r="C1300" t="s">
        <v>105</v>
      </c>
      <c r="D1300" t="s">
        <v>108</v>
      </c>
      <c r="E1300" t="s">
        <v>16</v>
      </c>
      <c r="F1300" t="s">
        <v>17</v>
      </c>
      <c r="G1300" t="s">
        <v>23</v>
      </c>
      <c r="H1300" t="s">
        <v>19</v>
      </c>
      <c r="I1300" t="s">
        <v>20</v>
      </c>
      <c r="J1300" s="2">
        <v>120</v>
      </c>
    </row>
    <row r="1301" spans="1:12" ht="19.95" customHeight="1">
      <c r="A1301" t="s">
        <v>1394</v>
      </c>
      <c r="B1301" t="s">
        <v>1313</v>
      </c>
      <c r="C1301" t="s">
        <v>105</v>
      </c>
      <c r="D1301" t="s">
        <v>106</v>
      </c>
      <c r="E1301" t="s">
        <v>16</v>
      </c>
      <c r="F1301" t="s">
        <v>17</v>
      </c>
      <c r="G1301" t="s">
        <v>23</v>
      </c>
      <c r="H1301" t="s">
        <v>19</v>
      </c>
      <c r="I1301" t="s">
        <v>20</v>
      </c>
      <c r="J1301" s="2">
        <v>120</v>
      </c>
    </row>
    <row r="1302" spans="1:12" ht="19.95" customHeight="1">
      <c r="A1302" t="s">
        <v>1395</v>
      </c>
      <c r="B1302" t="s">
        <v>1313</v>
      </c>
      <c r="C1302" t="s">
        <v>105</v>
      </c>
      <c r="D1302" t="s">
        <v>187</v>
      </c>
      <c r="E1302" t="s">
        <v>16</v>
      </c>
      <c r="F1302" t="s">
        <v>35</v>
      </c>
      <c r="G1302" t="s">
        <v>23</v>
      </c>
      <c r="H1302" t="s">
        <v>24</v>
      </c>
      <c r="I1302" t="s">
        <v>20</v>
      </c>
      <c r="J1302" s="2">
        <v>120</v>
      </c>
    </row>
    <row r="1303" spans="1:12" ht="19.95" customHeight="1">
      <c r="A1303" t="s">
        <v>1396</v>
      </c>
      <c r="B1303" t="s">
        <v>1313</v>
      </c>
      <c r="C1303" t="s">
        <v>105</v>
      </c>
      <c r="D1303" t="s">
        <v>182</v>
      </c>
      <c r="E1303" t="s">
        <v>16</v>
      </c>
      <c r="F1303" t="s">
        <v>17</v>
      </c>
      <c r="G1303" t="s">
        <v>32</v>
      </c>
      <c r="H1303" t="s">
        <v>19</v>
      </c>
      <c r="I1303" t="s">
        <v>20</v>
      </c>
      <c r="J1303" s="2">
        <v>300</v>
      </c>
    </row>
    <row r="1304" spans="1:12" ht="19.95" customHeight="1">
      <c r="A1304" t="s">
        <v>1397</v>
      </c>
      <c r="B1304" t="s">
        <v>1313</v>
      </c>
      <c r="C1304" t="s">
        <v>47</v>
      </c>
      <c r="D1304" t="s">
        <v>66</v>
      </c>
      <c r="E1304" t="s">
        <v>402</v>
      </c>
      <c r="F1304" t="s">
        <v>17</v>
      </c>
      <c r="G1304" t="s">
        <v>23</v>
      </c>
      <c r="H1304" t="s">
        <v>19</v>
      </c>
      <c r="I1304" t="s">
        <v>20</v>
      </c>
      <c r="J1304" s="2">
        <v>120</v>
      </c>
      <c r="K1304" t="s">
        <v>1165</v>
      </c>
    </row>
    <row r="1305" spans="1:12" ht="19.95" customHeight="1">
      <c r="A1305" t="s">
        <v>1398</v>
      </c>
      <c r="B1305" t="s">
        <v>1399</v>
      </c>
      <c r="C1305" t="s">
        <v>14</v>
      </c>
      <c r="D1305" t="s">
        <v>131</v>
      </c>
      <c r="E1305" t="s">
        <v>16</v>
      </c>
      <c r="F1305" t="s">
        <v>17</v>
      </c>
      <c r="G1305" t="s">
        <v>32</v>
      </c>
      <c r="H1305" t="s">
        <v>19</v>
      </c>
      <c r="I1305" t="s">
        <v>20</v>
      </c>
      <c r="J1305" s="2">
        <v>300</v>
      </c>
    </row>
    <row r="1306" spans="1:12" ht="19.95" customHeight="1">
      <c r="A1306" t="s">
        <v>1400</v>
      </c>
      <c r="B1306" t="s">
        <v>1399</v>
      </c>
      <c r="C1306" t="s">
        <v>14</v>
      </c>
      <c r="D1306" t="s">
        <v>210</v>
      </c>
      <c r="E1306" t="s">
        <v>16</v>
      </c>
      <c r="F1306" t="s">
        <v>17</v>
      </c>
      <c r="G1306" t="s">
        <v>23</v>
      </c>
      <c r="H1306" t="s">
        <v>19</v>
      </c>
      <c r="I1306" t="s">
        <v>20</v>
      </c>
      <c r="J1306" s="2">
        <v>120</v>
      </c>
    </row>
    <row r="1307" spans="1:12" ht="19.95" customHeight="1">
      <c r="A1307" t="s">
        <v>1401</v>
      </c>
      <c r="B1307" t="s">
        <v>1399</v>
      </c>
      <c r="C1307" t="s">
        <v>14</v>
      </c>
      <c r="D1307" t="s">
        <v>34</v>
      </c>
      <c r="E1307" t="s">
        <v>16</v>
      </c>
      <c r="F1307" t="s">
        <v>17</v>
      </c>
      <c r="G1307" t="s">
        <v>23</v>
      </c>
      <c r="H1307" t="s">
        <v>19</v>
      </c>
      <c r="I1307" t="s">
        <v>20</v>
      </c>
      <c r="J1307" s="2">
        <v>120</v>
      </c>
    </row>
    <row r="1308" spans="1:12" ht="19.95" customHeight="1">
      <c r="A1308" t="s">
        <v>1402</v>
      </c>
      <c r="B1308" t="s">
        <v>1399</v>
      </c>
      <c r="C1308" t="s">
        <v>14</v>
      </c>
      <c r="D1308" t="s">
        <v>26</v>
      </c>
      <c r="E1308" t="s">
        <v>16</v>
      </c>
      <c r="F1308" t="s">
        <v>17</v>
      </c>
      <c r="G1308" t="s">
        <v>18</v>
      </c>
      <c r="H1308" t="s">
        <v>19</v>
      </c>
      <c r="I1308" t="s">
        <v>20</v>
      </c>
      <c r="J1308" s="2">
        <v>200</v>
      </c>
    </row>
    <row r="1309" spans="1:12" ht="19.95" customHeight="1">
      <c r="A1309" t="s">
        <v>1403</v>
      </c>
      <c r="B1309" t="s">
        <v>1399</v>
      </c>
      <c r="C1309" t="s">
        <v>14</v>
      </c>
      <c r="D1309" t="s">
        <v>31</v>
      </c>
      <c r="E1309" t="s">
        <v>16</v>
      </c>
      <c r="F1309" t="s">
        <v>17</v>
      </c>
      <c r="G1309" t="s">
        <v>23</v>
      </c>
      <c r="H1309" t="s">
        <v>19</v>
      </c>
      <c r="I1309" t="s">
        <v>20</v>
      </c>
      <c r="J1309" s="2">
        <v>120</v>
      </c>
    </row>
    <row r="1310" spans="1:12" ht="19.95" customHeight="1">
      <c r="A1310" t="s">
        <v>1404</v>
      </c>
      <c r="B1310" t="s">
        <v>1399</v>
      </c>
      <c r="C1310" t="s">
        <v>14</v>
      </c>
      <c r="D1310" t="s">
        <v>210</v>
      </c>
      <c r="E1310" t="s">
        <v>16</v>
      </c>
      <c r="F1310" t="s">
        <v>17</v>
      </c>
      <c r="G1310" t="s">
        <v>32</v>
      </c>
      <c r="H1310" t="s">
        <v>19</v>
      </c>
      <c r="I1310" t="s">
        <v>20</v>
      </c>
      <c r="J1310" s="2">
        <v>300</v>
      </c>
    </row>
    <row r="1311" spans="1:12" ht="19.95" customHeight="1">
      <c r="A1311" t="s">
        <v>1405</v>
      </c>
      <c r="B1311" t="s">
        <v>1399</v>
      </c>
      <c r="C1311" t="s">
        <v>14</v>
      </c>
      <c r="D1311" t="s">
        <v>31</v>
      </c>
      <c r="E1311" t="s">
        <v>16</v>
      </c>
      <c r="F1311" t="s">
        <v>17</v>
      </c>
      <c r="G1311" t="s">
        <v>32</v>
      </c>
      <c r="H1311" t="s">
        <v>19</v>
      </c>
      <c r="I1311" t="s">
        <v>20</v>
      </c>
      <c r="J1311" s="2">
        <v>300</v>
      </c>
    </row>
    <row r="1312" spans="1:12" ht="19.95" customHeight="1">
      <c r="A1312" t="s">
        <v>1406</v>
      </c>
      <c r="B1312" t="s">
        <v>1399</v>
      </c>
      <c r="C1312" t="s">
        <v>14</v>
      </c>
      <c r="D1312" t="s">
        <v>22</v>
      </c>
      <c r="E1312" t="s">
        <v>16</v>
      </c>
      <c r="F1312" t="s">
        <v>17</v>
      </c>
      <c r="G1312" t="s">
        <v>32</v>
      </c>
      <c r="H1312" t="s">
        <v>19</v>
      </c>
      <c r="I1312" t="s">
        <v>20</v>
      </c>
      <c r="J1312" s="2">
        <v>300</v>
      </c>
    </row>
    <row r="1313" spans="1:12" ht="19.95" customHeight="1">
      <c r="A1313" t="s">
        <v>1407</v>
      </c>
      <c r="B1313" t="s">
        <v>1399</v>
      </c>
      <c r="C1313" t="s">
        <v>14</v>
      </c>
      <c r="D1313" t="s">
        <v>40</v>
      </c>
      <c r="E1313" t="s">
        <v>16</v>
      </c>
      <c r="F1313" t="s">
        <v>17</v>
      </c>
      <c r="G1313" t="s">
        <v>23</v>
      </c>
      <c r="H1313" t="s">
        <v>19</v>
      </c>
      <c r="I1313" t="s">
        <v>20</v>
      </c>
      <c r="J1313" s="2">
        <v>120</v>
      </c>
    </row>
    <row r="1314" spans="1:12" ht="19.95" customHeight="1">
      <c r="A1314" t="s">
        <v>1408</v>
      </c>
      <c r="B1314" t="s">
        <v>1399</v>
      </c>
      <c r="C1314" t="s">
        <v>14</v>
      </c>
      <c r="D1314" t="s">
        <v>28</v>
      </c>
      <c r="E1314" t="s">
        <v>16</v>
      </c>
      <c r="F1314" t="s">
        <v>17</v>
      </c>
      <c r="G1314" t="s">
        <v>32</v>
      </c>
      <c r="H1314" t="s">
        <v>19</v>
      </c>
      <c r="I1314" t="s">
        <v>20</v>
      </c>
      <c r="J1314" s="2">
        <v>300</v>
      </c>
    </row>
    <row r="1315" spans="1:12" ht="19.95" customHeight="1">
      <c r="A1315" t="s">
        <v>1409</v>
      </c>
      <c r="B1315" t="s">
        <v>1399</v>
      </c>
      <c r="C1315" t="s">
        <v>14</v>
      </c>
      <c r="D1315" t="s">
        <v>37</v>
      </c>
      <c r="E1315" t="s">
        <v>16</v>
      </c>
      <c r="F1315" t="s">
        <v>17</v>
      </c>
      <c r="G1315" t="s">
        <v>23</v>
      </c>
      <c r="H1315" t="s">
        <v>19</v>
      </c>
      <c r="I1315" t="s">
        <v>20</v>
      </c>
      <c r="J1315" s="2">
        <v>102</v>
      </c>
      <c r="L1315" t="s">
        <v>29</v>
      </c>
    </row>
    <row r="1316" spans="1:12" ht="19.95" customHeight="1">
      <c r="A1316" t="s">
        <v>1410</v>
      </c>
      <c r="B1316" t="s">
        <v>1399</v>
      </c>
      <c r="C1316" t="s">
        <v>14</v>
      </c>
      <c r="D1316" t="s">
        <v>131</v>
      </c>
      <c r="E1316" t="s">
        <v>16</v>
      </c>
      <c r="F1316" t="s">
        <v>17</v>
      </c>
      <c r="G1316" t="s">
        <v>32</v>
      </c>
      <c r="H1316" t="s">
        <v>19</v>
      </c>
      <c r="I1316" t="s">
        <v>20</v>
      </c>
      <c r="J1316" s="2">
        <v>300</v>
      </c>
    </row>
    <row r="1317" spans="1:12" ht="19.95" customHeight="1">
      <c r="A1317" t="s">
        <v>1411</v>
      </c>
      <c r="B1317" t="s">
        <v>1399</v>
      </c>
      <c r="C1317" t="s">
        <v>14</v>
      </c>
      <c r="D1317" t="s">
        <v>40</v>
      </c>
      <c r="E1317" t="s">
        <v>16</v>
      </c>
      <c r="F1317" t="s">
        <v>17</v>
      </c>
      <c r="G1317" t="s">
        <v>32</v>
      </c>
      <c r="H1317" t="s">
        <v>19</v>
      </c>
      <c r="I1317" t="s">
        <v>20</v>
      </c>
      <c r="J1317" s="2">
        <v>300</v>
      </c>
    </row>
    <row r="1318" spans="1:12" ht="19.95" customHeight="1">
      <c r="A1318" t="s">
        <v>1412</v>
      </c>
      <c r="B1318" t="s">
        <v>1399</v>
      </c>
      <c r="C1318" t="s">
        <v>14</v>
      </c>
      <c r="D1318" t="s">
        <v>26</v>
      </c>
      <c r="E1318" t="s">
        <v>16</v>
      </c>
      <c r="F1318" t="s">
        <v>35</v>
      </c>
      <c r="G1318" t="s">
        <v>23</v>
      </c>
      <c r="H1318" t="s">
        <v>19</v>
      </c>
      <c r="I1318" t="s">
        <v>20</v>
      </c>
      <c r="J1318" s="2">
        <v>120</v>
      </c>
    </row>
    <row r="1319" spans="1:12" ht="19.95" customHeight="1">
      <c r="A1319" t="s">
        <v>1413</v>
      </c>
      <c r="B1319" t="s">
        <v>1399</v>
      </c>
      <c r="C1319" t="s">
        <v>14</v>
      </c>
      <c r="D1319" t="s">
        <v>37</v>
      </c>
      <c r="E1319" t="s">
        <v>16</v>
      </c>
      <c r="F1319" t="s">
        <v>17</v>
      </c>
      <c r="G1319" t="s">
        <v>32</v>
      </c>
      <c r="H1319" t="s">
        <v>19</v>
      </c>
      <c r="I1319" t="s">
        <v>20</v>
      </c>
      <c r="J1319" s="2">
        <v>300</v>
      </c>
    </row>
    <row r="1320" spans="1:12" ht="19.95" customHeight="1">
      <c r="A1320" t="s">
        <v>1414</v>
      </c>
      <c r="B1320" t="s">
        <v>1399</v>
      </c>
      <c r="C1320" t="s">
        <v>14</v>
      </c>
      <c r="D1320" t="s">
        <v>131</v>
      </c>
      <c r="E1320" t="s">
        <v>16</v>
      </c>
      <c r="F1320" t="s">
        <v>17</v>
      </c>
      <c r="G1320" t="s">
        <v>23</v>
      </c>
      <c r="H1320" t="s">
        <v>19</v>
      </c>
      <c r="I1320" t="s">
        <v>20</v>
      </c>
      <c r="J1320" s="2">
        <v>120</v>
      </c>
    </row>
    <row r="1321" spans="1:12" ht="19.95" customHeight="1">
      <c r="A1321" t="s">
        <v>1415</v>
      </c>
      <c r="B1321" t="s">
        <v>1399</v>
      </c>
      <c r="C1321" t="s">
        <v>14</v>
      </c>
      <c r="D1321" t="s">
        <v>15</v>
      </c>
      <c r="E1321" t="s">
        <v>16</v>
      </c>
      <c r="F1321" t="s">
        <v>17</v>
      </c>
      <c r="G1321" t="s">
        <v>23</v>
      </c>
      <c r="H1321" t="s">
        <v>19</v>
      </c>
      <c r="I1321" t="s">
        <v>20</v>
      </c>
      <c r="J1321" s="2">
        <v>120</v>
      </c>
    </row>
    <row r="1322" spans="1:12" ht="19.95" customHeight="1">
      <c r="A1322" t="s">
        <v>1416</v>
      </c>
      <c r="B1322" t="s">
        <v>1399</v>
      </c>
      <c r="C1322" t="s">
        <v>47</v>
      </c>
      <c r="D1322" t="s">
        <v>62</v>
      </c>
      <c r="E1322" t="s">
        <v>16</v>
      </c>
      <c r="F1322" t="s">
        <v>17</v>
      </c>
      <c r="G1322" t="s">
        <v>18</v>
      </c>
      <c r="H1322" t="s">
        <v>19</v>
      </c>
      <c r="I1322" t="s">
        <v>20</v>
      </c>
      <c r="J1322" s="2">
        <v>200</v>
      </c>
    </row>
    <row r="1323" spans="1:12" ht="19.95" customHeight="1">
      <c r="A1323" t="s">
        <v>1417</v>
      </c>
      <c r="B1323" t="s">
        <v>1399</v>
      </c>
      <c r="C1323" t="s">
        <v>47</v>
      </c>
      <c r="D1323" t="s">
        <v>152</v>
      </c>
      <c r="E1323" t="s">
        <v>16</v>
      </c>
      <c r="F1323" t="s">
        <v>17</v>
      </c>
      <c r="G1323" t="s">
        <v>32</v>
      </c>
      <c r="H1323" t="s">
        <v>19</v>
      </c>
      <c r="I1323" t="s">
        <v>20</v>
      </c>
      <c r="J1323" s="2">
        <v>300</v>
      </c>
    </row>
    <row r="1324" spans="1:12" ht="19.95" customHeight="1">
      <c r="A1324" t="s">
        <v>1418</v>
      </c>
      <c r="B1324" t="s">
        <v>1399</v>
      </c>
      <c r="C1324" t="s">
        <v>47</v>
      </c>
      <c r="D1324" t="s">
        <v>59</v>
      </c>
      <c r="E1324" t="s">
        <v>16</v>
      </c>
      <c r="F1324" t="s">
        <v>17</v>
      </c>
      <c r="G1324" t="s">
        <v>32</v>
      </c>
      <c r="H1324" t="s">
        <v>19</v>
      </c>
      <c r="I1324" t="s">
        <v>20</v>
      </c>
      <c r="J1324" s="2">
        <v>225</v>
      </c>
      <c r="L1324" t="s">
        <v>29</v>
      </c>
    </row>
    <row r="1325" spans="1:12" ht="19.95" customHeight="1">
      <c r="A1325" t="s">
        <v>1419</v>
      </c>
      <c r="B1325" t="s">
        <v>1399</v>
      </c>
      <c r="C1325" t="s">
        <v>47</v>
      </c>
      <c r="D1325" t="s">
        <v>50</v>
      </c>
      <c r="E1325" t="s">
        <v>16</v>
      </c>
      <c r="F1325" t="s">
        <v>17</v>
      </c>
      <c r="G1325" t="s">
        <v>18</v>
      </c>
      <c r="H1325" t="s">
        <v>19</v>
      </c>
      <c r="I1325" t="s">
        <v>20</v>
      </c>
      <c r="J1325" s="2">
        <v>200</v>
      </c>
    </row>
    <row r="1326" spans="1:12" ht="19.95" customHeight="1">
      <c r="A1326" t="s">
        <v>1420</v>
      </c>
      <c r="B1326" t="s">
        <v>1399</v>
      </c>
      <c r="C1326" t="s">
        <v>47</v>
      </c>
      <c r="D1326" t="s">
        <v>59</v>
      </c>
      <c r="E1326" t="s">
        <v>16</v>
      </c>
      <c r="F1326" t="s">
        <v>17</v>
      </c>
      <c r="G1326" t="s">
        <v>23</v>
      </c>
      <c r="H1326" t="s">
        <v>19</v>
      </c>
      <c r="I1326" t="s">
        <v>20</v>
      </c>
      <c r="J1326" s="2">
        <v>120</v>
      </c>
    </row>
    <row r="1327" spans="1:12" ht="19.95" customHeight="1">
      <c r="A1327" t="s">
        <v>1421</v>
      </c>
      <c r="B1327" t="s">
        <v>1399</v>
      </c>
      <c r="C1327" t="s">
        <v>47</v>
      </c>
      <c r="D1327" t="s">
        <v>55</v>
      </c>
      <c r="E1327" t="s">
        <v>16</v>
      </c>
      <c r="F1327" t="s">
        <v>17</v>
      </c>
      <c r="G1327" t="s">
        <v>32</v>
      </c>
      <c r="H1327" t="s">
        <v>19</v>
      </c>
      <c r="I1327" t="s">
        <v>20</v>
      </c>
      <c r="J1327" s="2">
        <v>300</v>
      </c>
    </row>
    <row r="1328" spans="1:12" ht="19.95" customHeight="1">
      <c r="A1328" t="s">
        <v>1422</v>
      </c>
      <c r="B1328" t="s">
        <v>1399</v>
      </c>
      <c r="C1328" t="s">
        <v>47</v>
      </c>
      <c r="D1328" t="s">
        <v>66</v>
      </c>
      <c r="E1328" t="s">
        <v>16</v>
      </c>
      <c r="F1328" t="s">
        <v>17</v>
      </c>
      <c r="G1328" t="s">
        <v>32</v>
      </c>
      <c r="H1328" t="s">
        <v>19</v>
      </c>
      <c r="I1328" t="s">
        <v>20</v>
      </c>
      <c r="J1328" s="2">
        <v>300</v>
      </c>
    </row>
    <row r="1329" spans="1:12" ht="19.95" customHeight="1">
      <c r="A1329" t="s">
        <v>1423</v>
      </c>
      <c r="B1329" t="s">
        <v>1399</v>
      </c>
      <c r="C1329" t="s">
        <v>47</v>
      </c>
      <c r="D1329" t="s">
        <v>64</v>
      </c>
      <c r="E1329" t="s">
        <v>16</v>
      </c>
      <c r="F1329" t="s">
        <v>17</v>
      </c>
      <c r="G1329" t="s">
        <v>18</v>
      </c>
      <c r="H1329" t="s">
        <v>19</v>
      </c>
      <c r="I1329" t="s">
        <v>20</v>
      </c>
      <c r="J1329" s="2">
        <v>200</v>
      </c>
    </row>
    <row r="1330" spans="1:12" ht="19.95" customHeight="1">
      <c r="A1330" t="s">
        <v>1424</v>
      </c>
      <c r="B1330" t="s">
        <v>1399</v>
      </c>
      <c r="C1330" t="s">
        <v>47</v>
      </c>
      <c r="D1330" t="s">
        <v>71</v>
      </c>
      <c r="E1330" t="s">
        <v>16</v>
      </c>
      <c r="F1330" t="s">
        <v>17</v>
      </c>
      <c r="G1330" t="s">
        <v>23</v>
      </c>
      <c r="H1330" t="s">
        <v>19</v>
      </c>
      <c r="I1330" t="s">
        <v>20</v>
      </c>
      <c r="J1330" s="2">
        <v>120</v>
      </c>
    </row>
    <row r="1331" spans="1:12" ht="19.95" customHeight="1">
      <c r="A1331" t="s">
        <v>1425</v>
      </c>
      <c r="B1331" t="s">
        <v>1399</v>
      </c>
      <c r="C1331" t="s">
        <v>47</v>
      </c>
      <c r="D1331" t="s">
        <v>73</v>
      </c>
      <c r="E1331" t="s">
        <v>16</v>
      </c>
      <c r="F1331" t="s">
        <v>17</v>
      </c>
      <c r="G1331" t="s">
        <v>32</v>
      </c>
      <c r="H1331" t="s">
        <v>19</v>
      </c>
      <c r="I1331" t="s">
        <v>20</v>
      </c>
      <c r="J1331" s="2">
        <v>300</v>
      </c>
    </row>
    <row r="1332" spans="1:12" ht="19.95" customHeight="1">
      <c r="A1332" t="s">
        <v>1426</v>
      </c>
      <c r="B1332" t="s">
        <v>1399</v>
      </c>
      <c r="C1332" t="s">
        <v>47</v>
      </c>
      <c r="D1332" t="s">
        <v>59</v>
      </c>
      <c r="E1332" t="s">
        <v>16</v>
      </c>
      <c r="F1332" t="s">
        <v>17</v>
      </c>
      <c r="G1332" t="s">
        <v>32</v>
      </c>
      <c r="H1332" t="s">
        <v>24</v>
      </c>
      <c r="I1332" t="s">
        <v>20</v>
      </c>
      <c r="J1332" s="2">
        <v>300</v>
      </c>
    </row>
    <row r="1333" spans="1:12" ht="19.95" customHeight="1">
      <c r="A1333" t="s">
        <v>1427</v>
      </c>
      <c r="B1333" t="s">
        <v>1399</v>
      </c>
      <c r="C1333" t="s">
        <v>47</v>
      </c>
      <c r="D1333" t="s">
        <v>152</v>
      </c>
      <c r="E1333" t="s">
        <v>16</v>
      </c>
      <c r="F1333" t="s">
        <v>17</v>
      </c>
      <c r="G1333" t="s">
        <v>32</v>
      </c>
      <c r="H1333" t="s">
        <v>19</v>
      </c>
      <c r="I1333" t="s">
        <v>20</v>
      </c>
      <c r="J1333" s="2">
        <v>300</v>
      </c>
    </row>
    <row r="1334" spans="1:12" ht="19.95" customHeight="1">
      <c r="A1334" t="s">
        <v>1428</v>
      </c>
      <c r="B1334" t="s">
        <v>1399</v>
      </c>
      <c r="C1334" t="s">
        <v>47</v>
      </c>
      <c r="D1334" t="s">
        <v>50</v>
      </c>
      <c r="E1334" t="s">
        <v>16</v>
      </c>
      <c r="F1334" t="s">
        <v>17</v>
      </c>
      <c r="G1334" t="s">
        <v>18</v>
      </c>
      <c r="H1334" t="s">
        <v>19</v>
      </c>
      <c r="I1334" t="s">
        <v>20</v>
      </c>
      <c r="J1334" s="2">
        <v>200</v>
      </c>
    </row>
    <row r="1335" spans="1:12" ht="19.95" customHeight="1">
      <c r="A1335" t="s">
        <v>1429</v>
      </c>
      <c r="B1335" t="s">
        <v>1399</v>
      </c>
      <c r="C1335" t="s">
        <v>47</v>
      </c>
      <c r="D1335" t="s">
        <v>48</v>
      </c>
      <c r="E1335" t="s">
        <v>16</v>
      </c>
      <c r="F1335" t="s">
        <v>17</v>
      </c>
      <c r="G1335" t="s">
        <v>18</v>
      </c>
      <c r="H1335" t="s">
        <v>19</v>
      </c>
      <c r="I1335" t="s">
        <v>20</v>
      </c>
      <c r="J1335" s="2">
        <v>200</v>
      </c>
    </row>
    <row r="1336" spans="1:12" ht="19.95" customHeight="1">
      <c r="A1336" t="s">
        <v>1430</v>
      </c>
      <c r="B1336" t="s">
        <v>1399</v>
      </c>
      <c r="C1336" t="s">
        <v>47</v>
      </c>
      <c r="D1336" t="s">
        <v>55</v>
      </c>
      <c r="E1336" t="s">
        <v>16</v>
      </c>
      <c r="F1336" t="s">
        <v>17</v>
      </c>
      <c r="G1336" t="s">
        <v>18</v>
      </c>
      <c r="H1336" t="s">
        <v>19</v>
      </c>
      <c r="I1336" t="s">
        <v>20</v>
      </c>
      <c r="J1336" s="2">
        <v>200</v>
      </c>
    </row>
    <row r="1337" spans="1:12" ht="19.95" customHeight="1">
      <c r="A1337" t="s">
        <v>1431</v>
      </c>
      <c r="B1337" t="s">
        <v>1399</v>
      </c>
      <c r="C1337" t="s">
        <v>78</v>
      </c>
      <c r="D1337" t="s">
        <v>85</v>
      </c>
      <c r="E1337" t="s">
        <v>16</v>
      </c>
      <c r="F1337" t="s">
        <v>17</v>
      </c>
      <c r="G1337" t="s">
        <v>23</v>
      </c>
      <c r="H1337" t="s">
        <v>19</v>
      </c>
      <c r="I1337" t="s">
        <v>20</v>
      </c>
      <c r="J1337" s="2">
        <v>102</v>
      </c>
      <c r="L1337" t="s">
        <v>29</v>
      </c>
    </row>
    <row r="1338" spans="1:12" ht="19.95" customHeight="1">
      <c r="A1338" t="s">
        <v>1432</v>
      </c>
      <c r="B1338" t="s">
        <v>1399</v>
      </c>
      <c r="C1338" t="s">
        <v>78</v>
      </c>
      <c r="D1338" t="s">
        <v>79</v>
      </c>
      <c r="E1338" t="s">
        <v>16</v>
      </c>
      <c r="F1338" t="s">
        <v>17</v>
      </c>
      <c r="G1338" t="s">
        <v>23</v>
      </c>
      <c r="H1338" t="s">
        <v>19</v>
      </c>
      <c r="I1338" t="s">
        <v>20</v>
      </c>
      <c r="J1338" s="2">
        <v>120</v>
      </c>
    </row>
    <row r="1339" spans="1:12" ht="19.95" customHeight="1">
      <c r="A1339" t="s">
        <v>1433</v>
      </c>
      <c r="B1339" t="s">
        <v>1399</v>
      </c>
      <c r="C1339" t="s">
        <v>78</v>
      </c>
      <c r="D1339" t="s">
        <v>97</v>
      </c>
      <c r="E1339" t="s">
        <v>16</v>
      </c>
      <c r="F1339" t="s">
        <v>17</v>
      </c>
      <c r="G1339" t="s">
        <v>23</v>
      </c>
      <c r="H1339" t="s">
        <v>19</v>
      </c>
      <c r="I1339" t="s">
        <v>20</v>
      </c>
      <c r="J1339" s="2">
        <v>120</v>
      </c>
    </row>
    <row r="1340" spans="1:12" ht="19.95" customHeight="1">
      <c r="A1340" t="s">
        <v>1434</v>
      </c>
      <c r="B1340" t="s">
        <v>1399</v>
      </c>
      <c r="C1340" t="s">
        <v>78</v>
      </c>
      <c r="D1340" t="s">
        <v>87</v>
      </c>
      <c r="E1340" t="s">
        <v>16</v>
      </c>
      <c r="F1340" t="s">
        <v>17</v>
      </c>
      <c r="G1340" t="s">
        <v>18</v>
      </c>
      <c r="H1340" t="s">
        <v>19</v>
      </c>
      <c r="I1340" t="s">
        <v>20</v>
      </c>
      <c r="J1340" s="2">
        <v>200</v>
      </c>
    </row>
    <row r="1341" spans="1:12" ht="19.95" customHeight="1">
      <c r="A1341" t="s">
        <v>1435</v>
      </c>
      <c r="B1341" t="s">
        <v>1399</v>
      </c>
      <c r="C1341" t="s">
        <v>78</v>
      </c>
      <c r="D1341" t="s">
        <v>102</v>
      </c>
      <c r="E1341" t="s">
        <v>16</v>
      </c>
      <c r="F1341" t="s">
        <v>17</v>
      </c>
      <c r="G1341" t="s">
        <v>32</v>
      </c>
      <c r="H1341" t="s">
        <v>19</v>
      </c>
      <c r="I1341" t="s">
        <v>53</v>
      </c>
      <c r="J1341" s="2">
        <v>300</v>
      </c>
    </row>
    <row r="1342" spans="1:12" ht="19.95" customHeight="1">
      <c r="A1342" t="s">
        <v>1436</v>
      </c>
      <c r="B1342" t="s">
        <v>1399</v>
      </c>
      <c r="C1342" t="s">
        <v>78</v>
      </c>
      <c r="D1342" t="s">
        <v>83</v>
      </c>
      <c r="E1342" t="s">
        <v>16</v>
      </c>
      <c r="F1342" t="s">
        <v>17</v>
      </c>
      <c r="G1342" t="s">
        <v>18</v>
      </c>
      <c r="H1342" t="s">
        <v>19</v>
      </c>
      <c r="I1342" t="s">
        <v>20</v>
      </c>
      <c r="J1342" s="2">
        <v>200</v>
      </c>
    </row>
    <row r="1343" spans="1:12" ht="19.95" customHeight="1">
      <c r="A1343" t="s">
        <v>1437</v>
      </c>
      <c r="B1343" t="s">
        <v>1399</v>
      </c>
      <c r="C1343" t="s">
        <v>78</v>
      </c>
      <c r="D1343" t="s">
        <v>89</v>
      </c>
      <c r="E1343" t="s">
        <v>16</v>
      </c>
      <c r="F1343" t="s">
        <v>17</v>
      </c>
      <c r="G1343" t="s">
        <v>32</v>
      </c>
      <c r="H1343" t="s">
        <v>19</v>
      </c>
      <c r="I1343" t="s">
        <v>20</v>
      </c>
      <c r="J1343" s="2">
        <v>300</v>
      </c>
    </row>
    <row r="1344" spans="1:12" ht="19.95" customHeight="1">
      <c r="A1344" t="s">
        <v>1438</v>
      </c>
      <c r="B1344" t="s">
        <v>1399</v>
      </c>
      <c r="C1344" t="s">
        <v>78</v>
      </c>
      <c r="D1344" t="s">
        <v>89</v>
      </c>
      <c r="E1344" t="s">
        <v>16</v>
      </c>
      <c r="F1344" t="s">
        <v>17</v>
      </c>
      <c r="G1344" t="s">
        <v>32</v>
      </c>
      <c r="H1344" t="s">
        <v>24</v>
      </c>
      <c r="I1344" t="s">
        <v>20</v>
      </c>
      <c r="J1344" s="2">
        <v>300</v>
      </c>
    </row>
    <row r="1345" spans="1:12" ht="19.95" customHeight="1">
      <c r="A1345" t="s">
        <v>1439</v>
      </c>
      <c r="B1345" t="s">
        <v>1399</v>
      </c>
      <c r="C1345" t="s">
        <v>78</v>
      </c>
      <c r="D1345" t="s">
        <v>97</v>
      </c>
      <c r="E1345" t="s">
        <v>16</v>
      </c>
      <c r="F1345" t="s">
        <v>17</v>
      </c>
      <c r="G1345" t="s">
        <v>18</v>
      </c>
      <c r="H1345" t="s">
        <v>19</v>
      </c>
      <c r="I1345" t="s">
        <v>20</v>
      </c>
      <c r="J1345" s="2">
        <v>200</v>
      </c>
    </row>
    <row r="1346" spans="1:12" ht="19.95" customHeight="1">
      <c r="A1346" t="s">
        <v>1440</v>
      </c>
      <c r="B1346" t="s">
        <v>1399</v>
      </c>
      <c r="C1346" t="s">
        <v>78</v>
      </c>
      <c r="D1346" t="s">
        <v>87</v>
      </c>
      <c r="E1346" t="s">
        <v>16</v>
      </c>
      <c r="F1346" t="s">
        <v>35</v>
      </c>
      <c r="G1346" t="s">
        <v>23</v>
      </c>
      <c r="H1346" t="s">
        <v>19</v>
      </c>
      <c r="I1346" t="s">
        <v>20</v>
      </c>
      <c r="J1346" s="2">
        <v>120</v>
      </c>
    </row>
    <row r="1347" spans="1:12" ht="19.95" customHeight="1">
      <c r="A1347" t="s">
        <v>1441</v>
      </c>
      <c r="B1347" t="s">
        <v>1399</v>
      </c>
      <c r="C1347" t="s">
        <v>78</v>
      </c>
      <c r="D1347" t="s">
        <v>102</v>
      </c>
      <c r="E1347" t="s">
        <v>16</v>
      </c>
      <c r="F1347" t="s">
        <v>17</v>
      </c>
      <c r="G1347" t="s">
        <v>32</v>
      </c>
      <c r="H1347" t="s">
        <v>19</v>
      </c>
      <c r="I1347" t="s">
        <v>20</v>
      </c>
      <c r="J1347" s="2">
        <v>300</v>
      </c>
    </row>
    <row r="1348" spans="1:12" ht="19.95" customHeight="1">
      <c r="A1348" t="s">
        <v>1442</v>
      </c>
      <c r="B1348" t="s">
        <v>1399</v>
      </c>
      <c r="C1348" t="s">
        <v>78</v>
      </c>
      <c r="D1348" t="s">
        <v>161</v>
      </c>
      <c r="E1348" t="s">
        <v>16</v>
      </c>
      <c r="F1348" t="s">
        <v>17</v>
      </c>
      <c r="G1348" t="s">
        <v>23</v>
      </c>
      <c r="H1348" t="s">
        <v>19</v>
      </c>
      <c r="I1348" t="s">
        <v>20</v>
      </c>
      <c r="J1348" s="2">
        <v>120</v>
      </c>
    </row>
    <row r="1349" spans="1:12" ht="19.95" customHeight="1">
      <c r="A1349" t="s">
        <v>1443</v>
      </c>
      <c r="B1349" t="s">
        <v>1399</v>
      </c>
      <c r="C1349" t="s">
        <v>78</v>
      </c>
      <c r="D1349" t="s">
        <v>83</v>
      </c>
      <c r="E1349" t="s">
        <v>16</v>
      </c>
      <c r="F1349" t="s">
        <v>17</v>
      </c>
      <c r="G1349" t="s">
        <v>18</v>
      </c>
      <c r="H1349" t="s">
        <v>19</v>
      </c>
      <c r="I1349" t="s">
        <v>20</v>
      </c>
      <c r="J1349" s="2">
        <v>150</v>
      </c>
      <c r="L1349" t="s">
        <v>29</v>
      </c>
    </row>
    <row r="1350" spans="1:12" ht="19.95" customHeight="1">
      <c r="A1350" t="s">
        <v>1444</v>
      </c>
      <c r="B1350" t="s">
        <v>1399</v>
      </c>
      <c r="C1350" t="s">
        <v>78</v>
      </c>
      <c r="D1350" t="s">
        <v>97</v>
      </c>
      <c r="E1350" t="s">
        <v>16</v>
      </c>
      <c r="F1350" t="s">
        <v>17</v>
      </c>
      <c r="G1350" t="s">
        <v>32</v>
      </c>
      <c r="H1350" t="s">
        <v>19</v>
      </c>
      <c r="I1350" t="s">
        <v>20</v>
      </c>
      <c r="J1350" s="2">
        <v>225</v>
      </c>
      <c r="L1350" t="s">
        <v>29</v>
      </c>
    </row>
    <row r="1351" spans="1:12" ht="19.95" customHeight="1">
      <c r="A1351" t="s">
        <v>1445</v>
      </c>
      <c r="B1351" t="s">
        <v>1399</v>
      </c>
      <c r="C1351" t="s">
        <v>78</v>
      </c>
      <c r="D1351" t="s">
        <v>79</v>
      </c>
      <c r="E1351" t="s">
        <v>16</v>
      </c>
      <c r="F1351" t="s">
        <v>17</v>
      </c>
      <c r="G1351" t="s">
        <v>32</v>
      </c>
      <c r="H1351" t="s">
        <v>19</v>
      </c>
      <c r="I1351" t="s">
        <v>20</v>
      </c>
      <c r="J1351" s="2">
        <v>300</v>
      </c>
    </row>
    <row r="1352" spans="1:12" ht="19.95" customHeight="1">
      <c r="A1352" t="s">
        <v>1446</v>
      </c>
      <c r="B1352" t="s">
        <v>1399</v>
      </c>
      <c r="C1352" t="s">
        <v>78</v>
      </c>
      <c r="D1352" t="s">
        <v>163</v>
      </c>
      <c r="E1352" t="s">
        <v>16</v>
      </c>
      <c r="F1352" t="s">
        <v>17</v>
      </c>
      <c r="G1352" t="s">
        <v>32</v>
      </c>
      <c r="H1352" t="s">
        <v>19</v>
      </c>
      <c r="I1352" t="s">
        <v>20</v>
      </c>
      <c r="J1352" s="2">
        <v>225</v>
      </c>
      <c r="L1352" t="s">
        <v>1270</v>
      </c>
    </row>
    <row r="1353" spans="1:12" ht="19.95" customHeight="1">
      <c r="A1353" t="s">
        <v>1447</v>
      </c>
      <c r="B1353" t="s">
        <v>1399</v>
      </c>
      <c r="C1353" t="s">
        <v>78</v>
      </c>
      <c r="D1353" t="s">
        <v>89</v>
      </c>
      <c r="E1353" t="s">
        <v>16</v>
      </c>
      <c r="F1353" t="s">
        <v>17</v>
      </c>
      <c r="G1353" t="s">
        <v>32</v>
      </c>
      <c r="H1353" t="s">
        <v>19</v>
      </c>
      <c r="I1353" t="s">
        <v>20</v>
      </c>
      <c r="J1353" s="2">
        <v>225</v>
      </c>
      <c r="L1353" t="s">
        <v>1270</v>
      </c>
    </row>
    <row r="1354" spans="1:12" ht="19.95" customHeight="1">
      <c r="A1354" t="s">
        <v>1448</v>
      </c>
      <c r="B1354" t="s">
        <v>1399</v>
      </c>
      <c r="C1354" t="s">
        <v>78</v>
      </c>
      <c r="D1354" t="s">
        <v>93</v>
      </c>
      <c r="E1354" t="s">
        <v>16</v>
      </c>
      <c r="F1354" t="s">
        <v>17</v>
      </c>
      <c r="G1354" t="s">
        <v>32</v>
      </c>
      <c r="H1354" t="s">
        <v>19</v>
      </c>
      <c r="I1354" t="s">
        <v>20</v>
      </c>
      <c r="J1354" s="2">
        <v>225</v>
      </c>
      <c r="L1354" t="s">
        <v>1270</v>
      </c>
    </row>
    <row r="1355" spans="1:12" ht="19.95" customHeight="1">
      <c r="A1355" t="s">
        <v>1449</v>
      </c>
      <c r="B1355" t="s">
        <v>1399</v>
      </c>
      <c r="C1355" t="s">
        <v>78</v>
      </c>
      <c r="D1355" t="s">
        <v>87</v>
      </c>
      <c r="E1355" t="s">
        <v>16</v>
      </c>
      <c r="F1355" t="s">
        <v>17</v>
      </c>
      <c r="G1355" t="s">
        <v>32</v>
      </c>
      <c r="H1355" t="s">
        <v>19</v>
      </c>
      <c r="I1355" t="s">
        <v>20</v>
      </c>
      <c r="J1355" s="2">
        <v>225</v>
      </c>
      <c r="L1355" t="s">
        <v>1270</v>
      </c>
    </row>
    <row r="1356" spans="1:12" ht="19.95" customHeight="1">
      <c r="A1356" t="s">
        <v>1450</v>
      </c>
      <c r="B1356" t="s">
        <v>1399</v>
      </c>
      <c r="C1356" t="s">
        <v>78</v>
      </c>
      <c r="D1356" t="s">
        <v>89</v>
      </c>
      <c r="E1356" t="s">
        <v>16</v>
      </c>
      <c r="F1356" t="s">
        <v>17</v>
      </c>
      <c r="G1356" t="s">
        <v>32</v>
      </c>
      <c r="H1356" t="s">
        <v>19</v>
      </c>
      <c r="I1356" t="s">
        <v>20</v>
      </c>
      <c r="J1356" s="2">
        <v>225</v>
      </c>
      <c r="L1356" t="s">
        <v>1270</v>
      </c>
    </row>
    <row r="1357" spans="1:12" ht="19.95" customHeight="1">
      <c r="A1357" t="s">
        <v>1451</v>
      </c>
      <c r="B1357" t="s">
        <v>1399</v>
      </c>
      <c r="C1357" t="s">
        <v>78</v>
      </c>
      <c r="D1357" t="s">
        <v>79</v>
      </c>
      <c r="E1357" t="s">
        <v>16</v>
      </c>
      <c r="F1357" t="s">
        <v>17</v>
      </c>
      <c r="G1357" t="s">
        <v>32</v>
      </c>
      <c r="H1357" t="s">
        <v>19</v>
      </c>
      <c r="I1357" t="s">
        <v>20</v>
      </c>
      <c r="J1357" s="2">
        <v>225</v>
      </c>
      <c r="L1357" t="s">
        <v>1270</v>
      </c>
    </row>
    <row r="1358" spans="1:12" ht="19.95" customHeight="1">
      <c r="A1358" t="s">
        <v>1452</v>
      </c>
      <c r="B1358" t="s">
        <v>1399</v>
      </c>
      <c r="C1358" t="s">
        <v>78</v>
      </c>
      <c r="D1358" t="s">
        <v>79</v>
      </c>
      <c r="E1358" t="s">
        <v>16</v>
      </c>
      <c r="F1358" t="s">
        <v>17</v>
      </c>
      <c r="G1358" t="s">
        <v>32</v>
      </c>
      <c r="H1358" t="s">
        <v>19</v>
      </c>
      <c r="I1358" t="s">
        <v>20</v>
      </c>
      <c r="J1358" s="2">
        <v>225</v>
      </c>
      <c r="L1358" t="s">
        <v>1270</v>
      </c>
    </row>
    <row r="1359" spans="1:12" ht="19.95" customHeight="1">
      <c r="A1359" t="s">
        <v>1453</v>
      </c>
      <c r="B1359" t="s">
        <v>1399</v>
      </c>
      <c r="C1359" t="s">
        <v>78</v>
      </c>
      <c r="D1359" t="s">
        <v>79</v>
      </c>
      <c r="E1359" t="s">
        <v>16</v>
      </c>
      <c r="F1359" t="s">
        <v>17</v>
      </c>
      <c r="G1359" t="s">
        <v>32</v>
      </c>
      <c r="H1359" t="s">
        <v>19</v>
      </c>
      <c r="I1359" t="s">
        <v>20</v>
      </c>
      <c r="J1359" s="2">
        <v>225</v>
      </c>
      <c r="L1359" t="s">
        <v>1270</v>
      </c>
    </row>
    <row r="1360" spans="1:12" ht="19.95" customHeight="1">
      <c r="A1360" t="s">
        <v>1454</v>
      </c>
      <c r="B1360" t="s">
        <v>1399</v>
      </c>
      <c r="C1360" t="s">
        <v>78</v>
      </c>
      <c r="D1360" t="s">
        <v>102</v>
      </c>
      <c r="E1360" t="s">
        <v>16</v>
      </c>
      <c r="F1360" t="s">
        <v>17</v>
      </c>
      <c r="G1360" t="s">
        <v>32</v>
      </c>
      <c r="H1360" t="s">
        <v>19</v>
      </c>
      <c r="I1360" t="s">
        <v>20</v>
      </c>
      <c r="J1360" s="2">
        <v>225</v>
      </c>
      <c r="L1360" t="s">
        <v>1270</v>
      </c>
    </row>
    <row r="1361" spans="1:12" ht="19.95" customHeight="1">
      <c r="A1361" t="s">
        <v>1455</v>
      </c>
      <c r="B1361" t="s">
        <v>1399</v>
      </c>
      <c r="C1361" t="s">
        <v>78</v>
      </c>
      <c r="D1361" t="s">
        <v>163</v>
      </c>
      <c r="E1361" t="s">
        <v>16</v>
      </c>
      <c r="F1361" t="s">
        <v>17</v>
      </c>
      <c r="G1361" t="s">
        <v>32</v>
      </c>
      <c r="H1361" t="s">
        <v>19</v>
      </c>
      <c r="I1361" t="s">
        <v>20</v>
      </c>
      <c r="J1361" s="2">
        <v>225</v>
      </c>
      <c r="L1361" t="s">
        <v>1270</v>
      </c>
    </row>
    <row r="1362" spans="1:12" ht="19.95" customHeight="1">
      <c r="A1362" t="s">
        <v>1456</v>
      </c>
      <c r="B1362" t="s">
        <v>1399</v>
      </c>
      <c r="C1362" t="s">
        <v>78</v>
      </c>
      <c r="D1362" t="s">
        <v>85</v>
      </c>
      <c r="E1362" t="s">
        <v>16</v>
      </c>
      <c r="F1362" t="s">
        <v>17</v>
      </c>
      <c r="G1362" t="s">
        <v>32</v>
      </c>
      <c r="H1362" t="s">
        <v>19</v>
      </c>
      <c r="I1362" t="s">
        <v>20</v>
      </c>
      <c r="J1362" s="2">
        <v>225</v>
      </c>
      <c r="L1362" t="s">
        <v>1270</v>
      </c>
    </row>
    <row r="1363" spans="1:12" ht="19.95" customHeight="1">
      <c r="A1363" t="s">
        <v>1457</v>
      </c>
      <c r="B1363" t="s">
        <v>1399</v>
      </c>
      <c r="C1363" t="s">
        <v>78</v>
      </c>
      <c r="D1363" t="s">
        <v>81</v>
      </c>
      <c r="E1363" t="s">
        <v>16</v>
      </c>
      <c r="F1363" t="s">
        <v>17</v>
      </c>
      <c r="G1363" t="s">
        <v>32</v>
      </c>
      <c r="H1363" t="s">
        <v>19</v>
      </c>
      <c r="I1363" t="s">
        <v>20</v>
      </c>
      <c r="J1363" s="2">
        <v>225</v>
      </c>
      <c r="L1363" t="s">
        <v>1270</v>
      </c>
    </row>
    <row r="1364" spans="1:12" ht="19.95" customHeight="1">
      <c r="A1364" t="s">
        <v>1458</v>
      </c>
      <c r="B1364" t="s">
        <v>1399</v>
      </c>
      <c r="C1364" t="s">
        <v>78</v>
      </c>
      <c r="D1364" t="s">
        <v>89</v>
      </c>
      <c r="E1364" t="s">
        <v>16</v>
      </c>
      <c r="F1364" t="s">
        <v>17</v>
      </c>
      <c r="G1364" t="s">
        <v>32</v>
      </c>
      <c r="H1364" t="s">
        <v>19</v>
      </c>
      <c r="I1364" t="s">
        <v>20</v>
      </c>
      <c r="J1364" s="2">
        <v>225</v>
      </c>
      <c r="L1364" t="s">
        <v>1270</v>
      </c>
    </row>
    <row r="1365" spans="1:12" ht="19.95" customHeight="1">
      <c r="A1365" t="s">
        <v>1459</v>
      </c>
      <c r="B1365" t="s">
        <v>1399</v>
      </c>
      <c r="C1365" t="s">
        <v>78</v>
      </c>
      <c r="D1365" t="s">
        <v>102</v>
      </c>
      <c r="E1365" t="s">
        <v>16</v>
      </c>
      <c r="F1365" t="s">
        <v>17</v>
      </c>
      <c r="G1365" t="s">
        <v>32</v>
      </c>
      <c r="H1365" t="s">
        <v>19</v>
      </c>
      <c r="I1365" t="s">
        <v>20</v>
      </c>
      <c r="J1365" s="2">
        <v>225</v>
      </c>
      <c r="L1365" t="s">
        <v>1270</v>
      </c>
    </row>
    <row r="1366" spans="1:12" ht="19.95" customHeight="1">
      <c r="A1366" t="s">
        <v>1460</v>
      </c>
      <c r="B1366" t="s">
        <v>1399</v>
      </c>
      <c r="C1366" t="s">
        <v>78</v>
      </c>
      <c r="D1366" t="s">
        <v>93</v>
      </c>
      <c r="E1366" t="s">
        <v>16</v>
      </c>
      <c r="F1366" t="s">
        <v>17</v>
      </c>
      <c r="G1366" t="s">
        <v>32</v>
      </c>
      <c r="H1366" t="s">
        <v>19</v>
      </c>
      <c r="I1366" t="s">
        <v>20</v>
      </c>
      <c r="J1366" s="2">
        <v>225</v>
      </c>
      <c r="L1366" t="s">
        <v>1270</v>
      </c>
    </row>
    <row r="1367" spans="1:12" ht="19.95" customHeight="1">
      <c r="A1367" t="s">
        <v>1461</v>
      </c>
      <c r="B1367" t="s">
        <v>1399</v>
      </c>
      <c r="C1367" t="s">
        <v>78</v>
      </c>
      <c r="D1367" t="s">
        <v>93</v>
      </c>
      <c r="E1367" t="s">
        <v>16</v>
      </c>
      <c r="F1367" t="s">
        <v>17</v>
      </c>
      <c r="G1367" t="s">
        <v>32</v>
      </c>
      <c r="H1367" t="s">
        <v>19</v>
      </c>
      <c r="I1367" t="s">
        <v>20</v>
      </c>
      <c r="J1367" s="2">
        <v>225</v>
      </c>
      <c r="L1367" t="s">
        <v>1270</v>
      </c>
    </row>
    <row r="1368" spans="1:12" ht="19.95" customHeight="1">
      <c r="A1368" t="s">
        <v>1462</v>
      </c>
      <c r="B1368" t="s">
        <v>1399</v>
      </c>
      <c r="C1368" t="s">
        <v>78</v>
      </c>
      <c r="D1368" t="s">
        <v>161</v>
      </c>
      <c r="E1368" t="s">
        <v>16</v>
      </c>
      <c r="F1368" t="s">
        <v>17</v>
      </c>
      <c r="G1368" t="s">
        <v>32</v>
      </c>
      <c r="H1368" t="s">
        <v>19</v>
      </c>
      <c r="I1368" t="s">
        <v>20</v>
      </c>
      <c r="J1368" s="2">
        <v>225</v>
      </c>
      <c r="L1368" t="s">
        <v>1270</v>
      </c>
    </row>
    <row r="1369" spans="1:12" ht="19.95" customHeight="1">
      <c r="A1369" t="s">
        <v>1463</v>
      </c>
      <c r="B1369" t="s">
        <v>1399</v>
      </c>
      <c r="C1369" t="s">
        <v>78</v>
      </c>
      <c r="D1369" t="s">
        <v>242</v>
      </c>
      <c r="E1369" t="s">
        <v>16</v>
      </c>
      <c r="F1369" t="s">
        <v>17</v>
      </c>
      <c r="G1369" t="s">
        <v>32</v>
      </c>
      <c r="H1369" t="s">
        <v>19</v>
      </c>
      <c r="I1369" t="s">
        <v>20</v>
      </c>
      <c r="J1369" s="2">
        <v>225</v>
      </c>
      <c r="L1369" t="s">
        <v>1270</v>
      </c>
    </row>
    <row r="1370" spans="1:12" ht="19.95" customHeight="1">
      <c r="A1370" t="s">
        <v>1464</v>
      </c>
      <c r="B1370" t="s">
        <v>1399</v>
      </c>
      <c r="C1370" t="s">
        <v>78</v>
      </c>
      <c r="D1370" t="s">
        <v>161</v>
      </c>
      <c r="E1370" t="s">
        <v>16</v>
      </c>
      <c r="F1370" t="s">
        <v>17</v>
      </c>
      <c r="G1370" t="s">
        <v>32</v>
      </c>
      <c r="H1370" t="s">
        <v>19</v>
      </c>
      <c r="I1370" t="s">
        <v>20</v>
      </c>
      <c r="J1370" s="2">
        <v>225</v>
      </c>
      <c r="L1370" t="s">
        <v>1270</v>
      </c>
    </row>
    <row r="1371" spans="1:12" ht="19.95" customHeight="1">
      <c r="A1371" t="s">
        <v>1465</v>
      </c>
      <c r="B1371" t="s">
        <v>1399</v>
      </c>
      <c r="C1371" t="s">
        <v>105</v>
      </c>
      <c r="D1371" t="s">
        <v>118</v>
      </c>
      <c r="E1371" t="s">
        <v>16</v>
      </c>
      <c r="F1371" t="s">
        <v>35</v>
      </c>
      <c r="G1371" t="s">
        <v>18</v>
      </c>
      <c r="H1371" t="s">
        <v>19</v>
      </c>
      <c r="I1371" t="s">
        <v>20</v>
      </c>
      <c r="J1371" s="2">
        <v>200</v>
      </c>
    </row>
    <row r="1372" spans="1:12" ht="19.95" customHeight="1">
      <c r="A1372" t="s">
        <v>1466</v>
      </c>
      <c r="B1372" t="s">
        <v>1399</v>
      </c>
      <c r="C1372" t="s">
        <v>105</v>
      </c>
      <c r="D1372" t="s">
        <v>194</v>
      </c>
      <c r="E1372" t="s">
        <v>16</v>
      </c>
      <c r="F1372" t="s">
        <v>17</v>
      </c>
      <c r="G1372" t="s">
        <v>18</v>
      </c>
      <c r="H1372" t="s">
        <v>24</v>
      </c>
      <c r="I1372" t="s">
        <v>20</v>
      </c>
      <c r="J1372" s="2">
        <v>200</v>
      </c>
    </row>
    <row r="1373" spans="1:12" ht="19.95" customHeight="1">
      <c r="A1373" t="s">
        <v>1467</v>
      </c>
      <c r="B1373" t="s">
        <v>1399</v>
      </c>
      <c r="C1373" t="s">
        <v>105</v>
      </c>
      <c r="D1373" t="s">
        <v>187</v>
      </c>
      <c r="E1373" t="s">
        <v>16</v>
      </c>
      <c r="F1373" t="s">
        <v>17</v>
      </c>
      <c r="G1373" t="s">
        <v>18</v>
      </c>
      <c r="H1373" t="s">
        <v>19</v>
      </c>
      <c r="I1373" t="s">
        <v>20</v>
      </c>
      <c r="J1373" s="2">
        <v>200</v>
      </c>
    </row>
    <row r="1374" spans="1:12" ht="19.95" customHeight="1">
      <c r="A1374" t="s">
        <v>1468</v>
      </c>
      <c r="B1374" t="s">
        <v>1399</v>
      </c>
      <c r="C1374" t="s">
        <v>105</v>
      </c>
      <c r="D1374" t="s">
        <v>120</v>
      </c>
      <c r="E1374" t="s">
        <v>16</v>
      </c>
      <c r="F1374" t="s">
        <v>17</v>
      </c>
      <c r="G1374" t="s">
        <v>23</v>
      </c>
      <c r="H1374" t="s">
        <v>19</v>
      </c>
      <c r="I1374" t="s">
        <v>20</v>
      </c>
      <c r="J1374" s="2">
        <v>120</v>
      </c>
    </row>
    <row r="1375" spans="1:12" ht="19.95" customHeight="1">
      <c r="A1375" t="s">
        <v>1469</v>
      </c>
      <c r="B1375" t="s">
        <v>1399</v>
      </c>
      <c r="C1375" t="s">
        <v>105</v>
      </c>
      <c r="D1375" t="s">
        <v>191</v>
      </c>
      <c r="E1375" t="s">
        <v>16</v>
      </c>
      <c r="F1375" t="s">
        <v>17</v>
      </c>
      <c r="G1375" t="s">
        <v>32</v>
      </c>
      <c r="H1375" t="s">
        <v>19</v>
      </c>
      <c r="I1375" t="s">
        <v>20</v>
      </c>
      <c r="J1375" s="2">
        <v>300</v>
      </c>
    </row>
    <row r="1376" spans="1:12" ht="19.95" customHeight="1">
      <c r="A1376" t="s">
        <v>1470</v>
      </c>
      <c r="B1376" t="s">
        <v>1399</v>
      </c>
      <c r="C1376" t="s">
        <v>105</v>
      </c>
      <c r="D1376" t="s">
        <v>191</v>
      </c>
      <c r="E1376" t="s">
        <v>16</v>
      </c>
      <c r="F1376" t="s">
        <v>35</v>
      </c>
      <c r="G1376" t="s">
        <v>23</v>
      </c>
      <c r="H1376" t="s">
        <v>19</v>
      </c>
      <c r="I1376" t="s">
        <v>20</v>
      </c>
      <c r="J1376" s="2">
        <v>120</v>
      </c>
    </row>
    <row r="1377" spans="1:12" ht="19.95" customHeight="1">
      <c r="A1377" t="s">
        <v>1471</v>
      </c>
      <c r="B1377" t="s">
        <v>1399</v>
      </c>
      <c r="C1377" t="s">
        <v>105</v>
      </c>
      <c r="D1377" t="s">
        <v>106</v>
      </c>
      <c r="E1377" t="s">
        <v>16</v>
      </c>
      <c r="F1377" t="s">
        <v>17</v>
      </c>
      <c r="G1377" t="s">
        <v>18</v>
      </c>
      <c r="H1377" t="s">
        <v>19</v>
      </c>
      <c r="I1377" t="s">
        <v>20</v>
      </c>
      <c r="J1377" s="2">
        <v>200</v>
      </c>
    </row>
    <row r="1378" spans="1:12" ht="19.95" customHeight="1">
      <c r="A1378" t="s">
        <v>1472</v>
      </c>
      <c r="B1378" t="s">
        <v>1399</v>
      </c>
      <c r="C1378" t="s">
        <v>105</v>
      </c>
      <c r="D1378" t="s">
        <v>110</v>
      </c>
      <c r="E1378" t="s">
        <v>16</v>
      </c>
      <c r="F1378" t="s">
        <v>35</v>
      </c>
      <c r="G1378" t="s">
        <v>18</v>
      </c>
      <c r="H1378" t="s">
        <v>24</v>
      </c>
      <c r="I1378" t="s">
        <v>20</v>
      </c>
      <c r="J1378" s="2">
        <v>200</v>
      </c>
    </row>
    <row r="1379" spans="1:12" ht="19.95" customHeight="1">
      <c r="A1379" t="s">
        <v>1473</v>
      </c>
      <c r="B1379" t="s">
        <v>1399</v>
      </c>
      <c r="C1379" t="s">
        <v>105</v>
      </c>
      <c r="D1379" t="s">
        <v>112</v>
      </c>
      <c r="E1379" t="s">
        <v>16</v>
      </c>
      <c r="F1379" t="s">
        <v>17</v>
      </c>
      <c r="G1379" t="s">
        <v>32</v>
      </c>
      <c r="H1379" t="s">
        <v>19</v>
      </c>
      <c r="I1379" t="s">
        <v>20</v>
      </c>
      <c r="J1379" s="2">
        <v>300</v>
      </c>
    </row>
    <row r="1380" spans="1:12" ht="19.95" customHeight="1">
      <c r="A1380" t="s">
        <v>1474</v>
      </c>
      <c r="B1380" t="s">
        <v>1399</v>
      </c>
      <c r="C1380" t="s">
        <v>105</v>
      </c>
      <c r="D1380" t="s">
        <v>191</v>
      </c>
      <c r="E1380" t="s">
        <v>16</v>
      </c>
      <c r="F1380" t="s">
        <v>17</v>
      </c>
      <c r="G1380" t="s">
        <v>23</v>
      </c>
      <c r="H1380" t="s">
        <v>19</v>
      </c>
      <c r="I1380" t="s">
        <v>20</v>
      </c>
      <c r="J1380" s="2">
        <v>120</v>
      </c>
    </row>
    <row r="1381" spans="1:12" ht="19.95" customHeight="1">
      <c r="A1381" t="s">
        <v>1475</v>
      </c>
      <c r="B1381" t="s">
        <v>1399</v>
      </c>
      <c r="C1381" t="s">
        <v>105</v>
      </c>
      <c r="D1381" t="s">
        <v>194</v>
      </c>
      <c r="E1381" t="s">
        <v>16</v>
      </c>
      <c r="F1381" t="s">
        <v>17</v>
      </c>
      <c r="G1381" t="s">
        <v>18</v>
      </c>
      <c r="H1381" t="s">
        <v>19</v>
      </c>
      <c r="I1381" t="s">
        <v>20</v>
      </c>
      <c r="J1381" s="2">
        <v>200</v>
      </c>
    </row>
    <row r="1382" spans="1:12" ht="19.95" customHeight="1">
      <c r="A1382" t="s">
        <v>1476</v>
      </c>
      <c r="B1382" t="s">
        <v>1399</v>
      </c>
      <c r="C1382" t="s">
        <v>105</v>
      </c>
      <c r="D1382" t="s">
        <v>194</v>
      </c>
      <c r="E1382" t="s">
        <v>16</v>
      </c>
      <c r="F1382" t="s">
        <v>17</v>
      </c>
      <c r="G1382" t="s">
        <v>32</v>
      </c>
      <c r="H1382" t="s">
        <v>19</v>
      </c>
      <c r="I1382" t="s">
        <v>20</v>
      </c>
      <c r="J1382" s="2">
        <v>300</v>
      </c>
    </row>
    <row r="1383" spans="1:12" ht="19.95" customHeight="1">
      <c r="A1383" t="s">
        <v>1477</v>
      </c>
      <c r="B1383" t="s">
        <v>1399</v>
      </c>
      <c r="C1383" t="s">
        <v>105</v>
      </c>
      <c r="D1383" t="s">
        <v>265</v>
      </c>
      <c r="E1383" t="s">
        <v>16</v>
      </c>
      <c r="F1383" t="s">
        <v>17</v>
      </c>
      <c r="G1383" t="s">
        <v>23</v>
      </c>
      <c r="H1383" t="s">
        <v>19</v>
      </c>
      <c r="I1383" t="s">
        <v>20</v>
      </c>
      <c r="J1383" s="2">
        <v>102</v>
      </c>
      <c r="L1383" t="s">
        <v>29</v>
      </c>
    </row>
    <row r="1384" spans="1:12" ht="19.95" customHeight="1">
      <c r="A1384" t="s">
        <v>1478</v>
      </c>
      <c r="B1384" t="s">
        <v>1399</v>
      </c>
      <c r="C1384" t="s">
        <v>105</v>
      </c>
      <c r="D1384" t="s">
        <v>191</v>
      </c>
      <c r="E1384" t="s">
        <v>16</v>
      </c>
      <c r="F1384" t="s">
        <v>17</v>
      </c>
      <c r="G1384" t="s">
        <v>18</v>
      </c>
      <c r="H1384" t="s">
        <v>19</v>
      </c>
      <c r="I1384" t="s">
        <v>20</v>
      </c>
      <c r="J1384" s="2">
        <v>200</v>
      </c>
    </row>
    <row r="1385" spans="1:12" ht="19.95" customHeight="1">
      <c r="A1385" t="s">
        <v>1479</v>
      </c>
      <c r="B1385" t="s">
        <v>1399</v>
      </c>
      <c r="C1385" t="s">
        <v>78</v>
      </c>
      <c r="D1385" t="s">
        <v>161</v>
      </c>
      <c r="E1385" t="s">
        <v>402</v>
      </c>
      <c r="F1385" t="s">
        <v>17</v>
      </c>
      <c r="G1385" t="s">
        <v>18</v>
      </c>
      <c r="H1385" t="s">
        <v>19</v>
      </c>
      <c r="I1385" t="s">
        <v>20</v>
      </c>
      <c r="J1385" s="2">
        <v>200</v>
      </c>
      <c r="K1385" t="s">
        <v>914</v>
      </c>
    </row>
    <row r="1386" spans="1:12" ht="19.95" customHeight="1">
      <c r="A1386" t="s">
        <v>1480</v>
      </c>
      <c r="B1386" t="s">
        <v>1399</v>
      </c>
      <c r="C1386" t="s">
        <v>105</v>
      </c>
      <c r="D1386" t="s">
        <v>116</v>
      </c>
      <c r="E1386" t="s">
        <v>402</v>
      </c>
      <c r="F1386" t="s">
        <v>17</v>
      </c>
      <c r="G1386" t="s">
        <v>23</v>
      </c>
      <c r="H1386" t="s">
        <v>19</v>
      </c>
      <c r="I1386" t="s">
        <v>20</v>
      </c>
      <c r="J1386" s="2">
        <v>120</v>
      </c>
      <c r="K1386" t="s">
        <v>933</v>
      </c>
    </row>
    <row r="1387" spans="1:12" ht="19.95" customHeight="1">
      <c r="A1387" t="s">
        <v>1481</v>
      </c>
      <c r="B1387" t="s">
        <v>1399</v>
      </c>
      <c r="C1387" t="s">
        <v>78</v>
      </c>
      <c r="D1387" t="s">
        <v>163</v>
      </c>
      <c r="E1387" t="s">
        <v>402</v>
      </c>
      <c r="F1387" t="s">
        <v>17</v>
      </c>
      <c r="G1387" t="s">
        <v>23</v>
      </c>
      <c r="H1387" t="s">
        <v>19</v>
      </c>
      <c r="I1387" t="s">
        <v>20</v>
      </c>
      <c r="J1387" s="2">
        <v>120</v>
      </c>
      <c r="K1387" t="s">
        <v>924</v>
      </c>
    </row>
    <row r="1388" spans="1:12" ht="19.95" customHeight="1">
      <c r="A1388" t="s">
        <v>1482</v>
      </c>
      <c r="B1388" t="s">
        <v>1483</v>
      </c>
      <c r="C1388" t="s">
        <v>14</v>
      </c>
      <c r="D1388" t="s">
        <v>34</v>
      </c>
      <c r="E1388" t="s">
        <v>16</v>
      </c>
      <c r="F1388" t="s">
        <v>17</v>
      </c>
      <c r="G1388" t="s">
        <v>32</v>
      </c>
      <c r="H1388" t="s">
        <v>19</v>
      </c>
      <c r="I1388" t="s">
        <v>20</v>
      </c>
      <c r="J1388" s="2">
        <v>225</v>
      </c>
      <c r="L1388" t="s">
        <v>29</v>
      </c>
    </row>
    <row r="1389" spans="1:12" ht="19.95" customHeight="1">
      <c r="A1389" t="s">
        <v>1484</v>
      </c>
      <c r="B1389" t="s">
        <v>1483</v>
      </c>
      <c r="C1389" t="s">
        <v>14</v>
      </c>
      <c r="D1389" t="s">
        <v>131</v>
      </c>
      <c r="E1389" t="s">
        <v>16</v>
      </c>
      <c r="F1389" t="s">
        <v>17</v>
      </c>
      <c r="G1389" t="s">
        <v>32</v>
      </c>
      <c r="H1389" t="s">
        <v>19</v>
      </c>
      <c r="I1389" t="s">
        <v>20</v>
      </c>
      <c r="J1389" s="2">
        <v>300</v>
      </c>
    </row>
    <row r="1390" spans="1:12" ht="19.95" customHeight="1">
      <c r="A1390" t="s">
        <v>1485</v>
      </c>
      <c r="B1390" t="s">
        <v>1483</v>
      </c>
      <c r="C1390" t="s">
        <v>14</v>
      </c>
      <c r="D1390" t="s">
        <v>34</v>
      </c>
      <c r="E1390" t="s">
        <v>16</v>
      </c>
      <c r="F1390" t="s">
        <v>17</v>
      </c>
      <c r="G1390" t="s">
        <v>32</v>
      </c>
      <c r="H1390" t="s">
        <v>19</v>
      </c>
      <c r="I1390" t="s">
        <v>20</v>
      </c>
      <c r="J1390" s="2">
        <v>300</v>
      </c>
    </row>
    <row r="1391" spans="1:12" ht="19.95" customHeight="1">
      <c r="A1391" t="s">
        <v>1486</v>
      </c>
      <c r="B1391" t="s">
        <v>1483</v>
      </c>
      <c r="C1391" t="s">
        <v>14</v>
      </c>
      <c r="D1391" t="s">
        <v>34</v>
      </c>
      <c r="E1391" t="s">
        <v>16</v>
      </c>
      <c r="F1391" t="s">
        <v>17</v>
      </c>
      <c r="G1391" t="s">
        <v>18</v>
      </c>
      <c r="H1391" t="s">
        <v>19</v>
      </c>
      <c r="I1391" t="s">
        <v>20</v>
      </c>
      <c r="J1391" s="2">
        <v>200</v>
      </c>
    </row>
    <row r="1392" spans="1:12" ht="19.95" customHeight="1">
      <c r="A1392" t="s">
        <v>1487</v>
      </c>
      <c r="B1392" t="s">
        <v>1483</v>
      </c>
      <c r="C1392" t="s">
        <v>14</v>
      </c>
      <c r="D1392" t="s">
        <v>137</v>
      </c>
      <c r="E1392" t="s">
        <v>16</v>
      </c>
      <c r="F1392" t="s">
        <v>17</v>
      </c>
      <c r="G1392" t="s">
        <v>23</v>
      </c>
      <c r="H1392" t="s">
        <v>24</v>
      </c>
      <c r="I1392" t="s">
        <v>20</v>
      </c>
      <c r="J1392" s="2">
        <v>120</v>
      </c>
    </row>
    <row r="1393" spans="1:12" ht="19.95" customHeight="1">
      <c r="A1393" t="s">
        <v>1488</v>
      </c>
      <c r="B1393" t="s">
        <v>1483</v>
      </c>
      <c r="C1393" t="s">
        <v>14</v>
      </c>
      <c r="D1393" t="s">
        <v>40</v>
      </c>
      <c r="E1393" t="s">
        <v>16</v>
      </c>
      <c r="F1393" t="s">
        <v>35</v>
      </c>
      <c r="G1393" t="s">
        <v>32</v>
      </c>
      <c r="H1393" t="s">
        <v>24</v>
      </c>
      <c r="I1393" t="s">
        <v>20</v>
      </c>
      <c r="J1393" s="2">
        <v>300</v>
      </c>
    </row>
    <row r="1394" spans="1:12" ht="19.95" customHeight="1">
      <c r="A1394" t="s">
        <v>1489</v>
      </c>
      <c r="B1394" t="s">
        <v>1483</v>
      </c>
      <c r="C1394" t="s">
        <v>14</v>
      </c>
      <c r="D1394" t="s">
        <v>28</v>
      </c>
      <c r="E1394" t="s">
        <v>16</v>
      </c>
      <c r="F1394" t="s">
        <v>17</v>
      </c>
      <c r="G1394" t="s">
        <v>23</v>
      </c>
      <c r="H1394" t="s">
        <v>19</v>
      </c>
      <c r="I1394" t="s">
        <v>20</v>
      </c>
      <c r="J1394" s="2">
        <v>120</v>
      </c>
    </row>
    <row r="1395" spans="1:12" ht="19.95" customHeight="1">
      <c r="A1395" t="s">
        <v>1490</v>
      </c>
      <c r="B1395" t="s">
        <v>1483</v>
      </c>
      <c r="C1395" t="s">
        <v>14</v>
      </c>
      <c r="D1395" t="s">
        <v>210</v>
      </c>
      <c r="E1395" t="s">
        <v>16</v>
      </c>
      <c r="F1395" t="s">
        <v>17</v>
      </c>
      <c r="G1395" t="s">
        <v>18</v>
      </c>
      <c r="H1395" t="s">
        <v>19</v>
      </c>
      <c r="I1395" t="s">
        <v>20</v>
      </c>
      <c r="J1395" s="2">
        <v>200</v>
      </c>
    </row>
    <row r="1396" spans="1:12" ht="19.95" customHeight="1">
      <c r="A1396" t="s">
        <v>1491</v>
      </c>
      <c r="B1396" t="s">
        <v>1483</v>
      </c>
      <c r="C1396" t="s">
        <v>14</v>
      </c>
      <c r="D1396" t="s">
        <v>40</v>
      </c>
      <c r="E1396" t="s">
        <v>16</v>
      </c>
      <c r="F1396" t="s">
        <v>17</v>
      </c>
      <c r="G1396" t="s">
        <v>32</v>
      </c>
      <c r="H1396" t="s">
        <v>19</v>
      </c>
      <c r="I1396" t="s">
        <v>20</v>
      </c>
      <c r="J1396" s="2">
        <v>300</v>
      </c>
    </row>
    <row r="1397" spans="1:12" ht="19.95" customHeight="1">
      <c r="A1397" t="s">
        <v>1492</v>
      </c>
      <c r="B1397" t="s">
        <v>1483</v>
      </c>
      <c r="C1397" t="s">
        <v>14</v>
      </c>
      <c r="D1397" t="s">
        <v>34</v>
      </c>
      <c r="E1397" t="s">
        <v>16</v>
      </c>
      <c r="F1397" t="s">
        <v>17</v>
      </c>
      <c r="G1397" t="s">
        <v>32</v>
      </c>
      <c r="H1397" t="s">
        <v>19</v>
      </c>
      <c r="I1397" t="s">
        <v>20</v>
      </c>
      <c r="J1397" s="2">
        <v>255</v>
      </c>
      <c r="L1397" t="s">
        <v>29</v>
      </c>
    </row>
    <row r="1398" spans="1:12" ht="19.95" customHeight="1">
      <c r="A1398" t="s">
        <v>1493</v>
      </c>
      <c r="B1398" t="s">
        <v>1483</v>
      </c>
      <c r="C1398" t="s">
        <v>14</v>
      </c>
      <c r="D1398" t="s">
        <v>34</v>
      </c>
      <c r="E1398" t="s">
        <v>16</v>
      </c>
      <c r="F1398" t="s">
        <v>35</v>
      </c>
      <c r="G1398" t="s">
        <v>23</v>
      </c>
      <c r="H1398" t="s">
        <v>19</v>
      </c>
      <c r="I1398" t="s">
        <v>53</v>
      </c>
      <c r="J1398" s="2">
        <v>120</v>
      </c>
    </row>
    <row r="1399" spans="1:12" ht="19.95" customHeight="1">
      <c r="A1399" t="s">
        <v>1494</v>
      </c>
      <c r="B1399" t="s">
        <v>1483</v>
      </c>
      <c r="C1399" t="s">
        <v>14</v>
      </c>
      <c r="D1399" t="s">
        <v>22</v>
      </c>
      <c r="E1399" t="s">
        <v>16</v>
      </c>
      <c r="F1399" t="s">
        <v>35</v>
      </c>
      <c r="G1399" t="s">
        <v>23</v>
      </c>
      <c r="H1399" t="s">
        <v>19</v>
      </c>
      <c r="I1399" t="s">
        <v>20</v>
      </c>
      <c r="J1399" s="2">
        <v>120</v>
      </c>
    </row>
    <row r="1400" spans="1:12" ht="19.95" customHeight="1">
      <c r="A1400" t="s">
        <v>1495</v>
      </c>
      <c r="B1400" t="s">
        <v>1483</v>
      </c>
      <c r="C1400" t="s">
        <v>14</v>
      </c>
      <c r="D1400" t="s">
        <v>31</v>
      </c>
      <c r="E1400" t="s">
        <v>16</v>
      </c>
      <c r="F1400" t="s">
        <v>35</v>
      </c>
      <c r="G1400" t="s">
        <v>23</v>
      </c>
      <c r="H1400" t="s">
        <v>19</v>
      </c>
      <c r="I1400" t="s">
        <v>20</v>
      </c>
      <c r="J1400" s="2">
        <v>120</v>
      </c>
    </row>
    <row r="1401" spans="1:12" ht="19.95" customHeight="1">
      <c r="A1401" t="s">
        <v>1496</v>
      </c>
      <c r="B1401" t="s">
        <v>1483</v>
      </c>
      <c r="C1401" t="s">
        <v>14</v>
      </c>
      <c r="D1401" t="s">
        <v>28</v>
      </c>
      <c r="E1401" t="s">
        <v>16</v>
      </c>
      <c r="F1401" t="s">
        <v>17</v>
      </c>
      <c r="G1401" t="s">
        <v>18</v>
      </c>
      <c r="H1401" t="s">
        <v>19</v>
      </c>
      <c r="I1401" t="s">
        <v>20</v>
      </c>
      <c r="J1401" s="2">
        <v>200</v>
      </c>
    </row>
    <row r="1402" spans="1:12" ht="19.95" customHeight="1">
      <c r="A1402" t="s">
        <v>1497</v>
      </c>
      <c r="B1402" t="s">
        <v>1483</v>
      </c>
      <c r="C1402" t="s">
        <v>14</v>
      </c>
      <c r="D1402" t="s">
        <v>137</v>
      </c>
      <c r="E1402" t="s">
        <v>16</v>
      </c>
      <c r="F1402" t="s">
        <v>17</v>
      </c>
      <c r="G1402" t="s">
        <v>18</v>
      </c>
      <c r="H1402" t="s">
        <v>24</v>
      </c>
      <c r="I1402" t="s">
        <v>20</v>
      </c>
      <c r="J1402" s="2">
        <v>200</v>
      </c>
    </row>
    <row r="1403" spans="1:12" ht="19.95" customHeight="1">
      <c r="A1403" t="s">
        <v>1498</v>
      </c>
      <c r="B1403" t="s">
        <v>1483</v>
      </c>
      <c r="C1403" t="s">
        <v>14</v>
      </c>
      <c r="D1403" t="s">
        <v>131</v>
      </c>
      <c r="E1403" t="s">
        <v>16</v>
      </c>
      <c r="F1403" t="s">
        <v>17</v>
      </c>
      <c r="G1403" t="s">
        <v>18</v>
      </c>
      <c r="H1403" t="s">
        <v>19</v>
      </c>
      <c r="I1403" t="s">
        <v>20</v>
      </c>
      <c r="J1403" s="2">
        <v>200</v>
      </c>
    </row>
    <row r="1404" spans="1:12" ht="19.95" customHeight="1">
      <c r="A1404" t="s">
        <v>1499</v>
      </c>
      <c r="B1404" t="s">
        <v>1483</v>
      </c>
      <c r="C1404" t="s">
        <v>14</v>
      </c>
      <c r="D1404" t="s">
        <v>40</v>
      </c>
      <c r="E1404" t="s">
        <v>16</v>
      </c>
      <c r="F1404" t="s">
        <v>17</v>
      </c>
      <c r="G1404" t="s">
        <v>23</v>
      </c>
      <c r="H1404" t="s">
        <v>24</v>
      </c>
      <c r="I1404" t="s">
        <v>20</v>
      </c>
      <c r="J1404" s="2">
        <v>120</v>
      </c>
    </row>
    <row r="1405" spans="1:12" ht="19.95" customHeight="1">
      <c r="A1405" t="s">
        <v>1500</v>
      </c>
      <c r="B1405" t="s">
        <v>1483</v>
      </c>
      <c r="C1405" t="s">
        <v>14</v>
      </c>
      <c r="D1405" t="s">
        <v>137</v>
      </c>
      <c r="E1405" t="s">
        <v>16</v>
      </c>
      <c r="F1405" t="s">
        <v>17</v>
      </c>
      <c r="G1405" t="s">
        <v>32</v>
      </c>
      <c r="H1405" t="s">
        <v>19</v>
      </c>
      <c r="I1405" t="s">
        <v>74</v>
      </c>
      <c r="J1405" s="2">
        <v>300</v>
      </c>
    </row>
    <row r="1406" spans="1:12" ht="19.95" customHeight="1">
      <c r="A1406" t="s">
        <v>1501</v>
      </c>
      <c r="B1406" t="s">
        <v>1483</v>
      </c>
      <c r="C1406" t="s">
        <v>14</v>
      </c>
      <c r="D1406" t="s">
        <v>15</v>
      </c>
      <c r="E1406" t="s">
        <v>16</v>
      </c>
      <c r="F1406" t="s">
        <v>35</v>
      </c>
      <c r="G1406" t="s">
        <v>32</v>
      </c>
      <c r="H1406" t="s">
        <v>19</v>
      </c>
      <c r="I1406" t="s">
        <v>20</v>
      </c>
      <c r="J1406" s="2">
        <v>300</v>
      </c>
    </row>
    <row r="1407" spans="1:12" ht="19.95" customHeight="1">
      <c r="A1407" t="s">
        <v>1502</v>
      </c>
      <c r="B1407" t="s">
        <v>1483</v>
      </c>
      <c r="C1407" t="s">
        <v>47</v>
      </c>
      <c r="D1407" t="s">
        <v>62</v>
      </c>
      <c r="E1407" t="s">
        <v>16</v>
      </c>
      <c r="F1407" t="s">
        <v>17</v>
      </c>
      <c r="G1407" t="s">
        <v>23</v>
      </c>
      <c r="H1407" t="s">
        <v>24</v>
      </c>
      <c r="I1407" t="s">
        <v>20</v>
      </c>
      <c r="J1407" s="2">
        <v>120</v>
      </c>
    </row>
    <row r="1408" spans="1:12" ht="19.95" customHeight="1">
      <c r="A1408" t="s">
        <v>1503</v>
      </c>
      <c r="B1408" t="s">
        <v>1483</v>
      </c>
      <c r="C1408" t="s">
        <v>47</v>
      </c>
      <c r="D1408" t="s">
        <v>52</v>
      </c>
      <c r="E1408" t="s">
        <v>16</v>
      </c>
      <c r="F1408" t="s">
        <v>17</v>
      </c>
      <c r="G1408" t="s">
        <v>32</v>
      </c>
      <c r="H1408" t="s">
        <v>19</v>
      </c>
      <c r="I1408" t="s">
        <v>20</v>
      </c>
      <c r="J1408" s="2">
        <v>255</v>
      </c>
      <c r="L1408" t="s">
        <v>29</v>
      </c>
    </row>
    <row r="1409" spans="1:12" ht="19.95" customHeight="1">
      <c r="A1409" t="s">
        <v>1504</v>
      </c>
      <c r="B1409" t="s">
        <v>1483</v>
      </c>
      <c r="C1409" t="s">
        <v>47</v>
      </c>
      <c r="D1409" t="s">
        <v>152</v>
      </c>
      <c r="E1409" t="s">
        <v>16</v>
      </c>
      <c r="F1409" t="s">
        <v>17</v>
      </c>
      <c r="G1409" t="s">
        <v>32</v>
      </c>
      <c r="H1409" t="s">
        <v>19</v>
      </c>
      <c r="I1409" t="s">
        <v>20</v>
      </c>
      <c r="J1409" s="2">
        <v>300</v>
      </c>
    </row>
    <row r="1410" spans="1:12" ht="19.95" customHeight="1">
      <c r="A1410" t="s">
        <v>1505</v>
      </c>
      <c r="B1410" t="s">
        <v>1483</v>
      </c>
      <c r="C1410" t="s">
        <v>47</v>
      </c>
      <c r="D1410" t="s">
        <v>55</v>
      </c>
      <c r="E1410" t="s">
        <v>16</v>
      </c>
      <c r="F1410" t="s">
        <v>17</v>
      </c>
      <c r="G1410" t="s">
        <v>23</v>
      </c>
      <c r="H1410" t="s">
        <v>19</v>
      </c>
      <c r="I1410" t="s">
        <v>20</v>
      </c>
      <c r="J1410" s="2">
        <v>120</v>
      </c>
    </row>
    <row r="1411" spans="1:12" ht="19.95" customHeight="1">
      <c r="A1411" t="s">
        <v>1506</v>
      </c>
      <c r="B1411" t="s">
        <v>1483</v>
      </c>
      <c r="C1411" t="s">
        <v>47</v>
      </c>
      <c r="D1411" t="s">
        <v>52</v>
      </c>
      <c r="E1411" t="s">
        <v>16</v>
      </c>
      <c r="F1411" t="s">
        <v>17</v>
      </c>
      <c r="G1411" t="s">
        <v>18</v>
      </c>
      <c r="H1411" t="s">
        <v>19</v>
      </c>
      <c r="I1411" t="s">
        <v>20</v>
      </c>
      <c r="J1411" s="2">
        <v>200</v>
      </c>
    </row>
    <row r="1412" spans="1:12" ht="19.95" customHeight="1">
      <c r="A1412" t="s">
        <v>1507</v>
      </c>
      <c r="B1412" t="s">
        <v>1483</v>
      </c>
      <c r="C1412" t="s">
        <v>47</v>
      </c>
      <c r="D1412" t="s">
        <v>64</v>
      </c>
      <c r="E1412" t="s">
        <v>16</v>
      </c>
      <c r="F1412" t="s">
        <v>17</v>
      </c>
      <c r="G1412" t="s">
        <v>18</v>
      </c>
      <c r="H1412" t="s">
        <v>19</v>
      </c>
      <c r="I1412" t="s">
        <v>20</v>
      </c>
      <c r="J1412" s="2">
        <v>200</v>
      </c>
    </row>
    <row r="1413" spans="1:12" ht="19.95" customHeight="1">
      <c r="A1413" t="s">
        <v>1508</v>
      </c>
      <c r="B1413" t="s">
        <v>1483</v>
      </c>
      <c r="C1413" t="s">
        <v>47</v>
      </c>
      <c r="D1413" t="s">
        <v>66</v>
      </c>
      <c r="E1413" t="s">
        <v>16</v>
      </c>
      <c r="F1413" t="s">
        <v>17</v>
      </c>
      <c r="G1413" t="s">
        <v>18</v>
      </c>
      <c r="H1413" t="s">
        <v>19</v>
      </c>
      <c r="I1413" t="s">
        <v>20</v>
      </c>
      <c r="J1413" s="2">
        <v>200</v>
      </c>
    </row>
    <row r="1414" spans="1:12" ht="19.95" customHeight="1">
      <c r="A1414" t="s">
        <v>1509</v>
      </c>
      <c r="B1414" t="s">
        <v>1483</v>
      </c>
      <c r="C1414" t="s">
        <v>47</v>
      </c>
      <c r="D1414" t="s">
        <v>59</v>
      </c>
      <c r="E1414" t="s">
        <v>16</v>
      </c>
      <c r="F1414" t="s">
        <v>17</v>
      </c>
      <c r="G1414" t="s">
        <v>32</v>
      </c>
      <c r="H1414" t="s">
        <v>19</v>
      </c>
      <c r="I1414" t="s">
        <v>20</v>
      </c>
      <c r="J1414" s="2">
        <v>300</v>
      </c>
    </row>
    <row r="1415" spans="1:12" ht="19.95" customHeight="1">
      <c r="A1415" t="s">
        <v>1510</v>
      </c>
      <c r="B1415" t="s">
        <v>1483</v>
      </c>
      <c r="C1415" t="s">
        <v>47</v>
      </c>
      <c r="D1415" t="s">
        <v>62</v>
      </c>
      <c r="E1415" t="s">
        <v>16</v>
      </c>
      <c r="F1415" t="s">
        <v>17</v>
      </c>
      <c r="G1415" t="s">
        <v>23</v>
      </c>
      <c r="H1415" t="s">
        <v>19</v>
      </c>
      <c r="I1415" t="s">
        <v>20</v>
      </c>
      <c r="J1415" s="2">
        <v>120</v>
      </c>
    </row>
    <row r="1416" spans="1:12" ht="19.95" customHeight="1">
      <c r="A1416" t="s">
        <v>1511</v>
      </c>
      <c r="B1416" t="s">
        <v>1483</v>
      </c>
      <c r="C1416" t="s">
        <v>47</v>
      </c>
      <c r="D1416" t="s">
        <v>52</v>
      </c>
      <c r="E1416" t="s">
        <v>16</v>
      </c>
      <c r="F1416" t="s">
        <v>17</v>
      </c>
      <c r="G1416" t="s">
        <v>18</v>
      </c>
      <c r="H1416" t="s">
        <v>24</v>
      </c>
      <c r="I1416" t="s">
        <v>20</v>
      </c>
      <c r="J1416" s="2">
        <v>200</v>
      </c>
    </row>
    <row r="1417" spans="1:12" ht="19.95" customHeight="1">
      <c r="A1417" t="s">
        <v>1512</v>
      </c>
      <c r="B1417" t="s">
        <v>1483</v>
      </c>
      <c r="C1417" t="s">
        <v>47</v>
      </c>
      <c r="D1417" t="s">
        <v>55</v>
      </c>
      <c r="E1417" t="s">
        <v>16</v>
      </c>
      <c r="F1417" t="s">
        <v>17</v>
      </c>
      <c r="G1417" t="s">
        <v>23</v>
      </c>
      <c r="H1417" t="s">
        <v>19</v>
      </c>
      <c r="I1417" t="s">
        <v>20</v>
      </c>
      <c r="J1417" s="2">
        <v>120</v>
      </c>
    </row>
    <row r="1418" spans="1:12" ht="19.95" customHeight="1">
      <c r="A1418" t="s">
        <v>1513</v>
      </c>
      <c r="B1418" t="s">
        <v>1483</v>
      </c>
      <c r="C1418" t="s">
        <v>47</v>
      </c>
      <c r="D1418" t="s">
        <v>66</v>
      </c>
      <c r="E1418" t="s">
        <v>16</v>
      </c>
      <c r="F1418" t="s">
        <v>17</v>
      </c>
      <c r="G1418" t="s">
        <v>23</v>
      </c>
      <c r="H1418" t="s">
        <v>19</v>
      </c>
      <c r="I1418" t="s">
        <v>20</v>
      </c>
      <c r="J1418" s="2">
        <v>120</v>
      </c>
    </row>
    <row r="1419" spans="1:12" ht="19.95" customHeight="1">
      <c r="A1419" t="s">
        <v>1514</v>
      </c>
      <c r="B1419" t="s">
        <v>1483</v>
      </c>
      <c r="C1419" t="s">
        <v>47</v>
      </c>
      <c r="D1419" t="s">
        <v>66</v>
      </c>
      <c r="E1419" t="s">
        <v>16</v>
      </c>
      <c r="F1419" t="s">
        <v>17</v>
      </c>
      <c r="G1419" t="s">
        <v>18</v>
      </c>
      <c r="H1419" t="s">
        <v>19</v>
      </c>
      <c r="I1419" t="s">
        <v>20</v>
      </c>
      <c r="J1419" s="2">
        <v>150</v>
      </c>
      <c r="L1419" t="s">
        <v>29</v>
      </c>
    </row>
    <row r="1420" spans="1:12" ht="19.95" customHeight="1">
      <c r="A1420" t="s">
        <v>1515</v>
      </c>
      <c r="B1420" t="s">
        <v>1483</v>
      </c>
      <c r="C1420" t="s">
        <v>78</v>
      </c>
      <c r="D1420" t="s">
        <v>83</v>
      </c>
      <c r="E1420" t="s">
        <v>16</v>
      </c>
      <c r="F1420" t="s">
        <v>35</v>
      </c>
      <c r="G1420" t="s">
        <v>32</v>
      </c>
      <c r="H1420" t="s">
        <v>24</v>
      </c>
      <c r="I1420" t="s">
        <v>20</v>
      </c>
      <c r="J1420" s="2">
        <v>300</v>
      </c>
    </row>
    <row r="1421" spans="1:12" ht="19.95" customHeight="1">
      <c r="A1421" t="s">
        <v>1516</v>
      </c>
      <c r="B1421" t="s">
        <v>1483</v>
      </c>
      <c r="C1421" t="s">
        <v>78</v>
      </c>
      <c r="D1421" t="s">
        <v>87</v>
      </c>
      <c r="E1421" t="s">
        <v>16</v>
      </c>
      <c r="F1421" t="s">
        <v>17</v>
      </c>
      <c r="G1421" t="s">
        <v>23</v>
      </c>
      <c r="H1421" t="s">
        <v>19</v>
      </c>
      <c r="I1421" t="s">
        <v>20</v>
      </c>
      <c r="J1421" s="2">
        <v>120</v>
      </c>
    </row>
    <row r="1422" spans="1:12" ht="19.95" customHeight="1">
      <c r="A1422" t="s">
        <v>1517</v>
      </c>
      <c r="B1422" t="s">
        <v>1483</v>
      </c>
      <c r="C1422" t="s">
        <v>78</v>
      </c>
      <c r="D1422" t="s">
        <v>102</v>
      </c>
      <c r="E1422" t="s">
        <v>16</v>
      </c>
      <c r="F1422" t="s">
        <v>17</v>
      </c>
      <c r="G1422" t="s">
        <v>23</v>
      </c>
      <c r="H1422" t="s">
        <v>19</v>
      </c>
      <c r="I1422" t="s">
        <v>53</v>
      </c>
      <c r="J1422" s="2">
        <v>120</v>
      </c>
    </row>
    <row r="1423" spans="1:12" ht="19.95" customHeight="1">
      <c r="A1423" t="s">
        <v>1518</v>
      </c>
      <c r="B1423" t="s">
        <v>1483</v>
      </c>
      <c r="C1423" t="s">
        <v>78</v>
      </c>
      <c r="D1423" t="s">
        <v>79</v>
      </c>
      <c r="E1423" t="s">
        <v>16</v>
      </c>
      <c r="F1423" t="s">
        <v>17</v>
      </c>
      <c r="G1423" t="s">
        <v>18</v>
      </c>
      <c r="H1423" t="s">
        <v>19</v>
      </c>
      <c r="I1423" t="s">
        <v>20</v>
      </c>
      <c r="J1423" s="2">
        <v>200</v>
      </c>
    </row>
    <row r="1424" spans="1:12" ht="19.95" customHeight="1">
      <c r="A1424" t="s">
        <v>1519</v>
      </c>
      <c r="B1424" t="s">
        <v>1483</v>
      </c>
      <c r="C1424" t="s">
        <v>78</v>
      </c>
      <c r="D1424" t="s">
        <v>89</v>
      </c>
      <c r="E1424" t="s">
        <v>16</v>
      </c>
      <c r="F1424" t="s">
        <v>17</v>
      </c>
      <c r="G1424" t="s">
        <v>18</v>
      </c>
      <c r="H1424" t="s">
        <v>19</v>
      </c>
      <c r="I1424" t="s">
        <v>20</v>
      </c>
      <c r="J1424" s="2">
        <v>200</v>
      </c>
    </row>
    <row r="1425" spans="1:12" ht="19.95" customHeight="1">
      <c r="A1425" t="s">
        <v>1520</v>
      </c>
      <c r="B1425" t="s">
        <v>1483</v>
      </c>
      <c r="C1425" t="s">
        <v>78</v>
      </c>
      <c r="D1425" t="s">
        <v>85</v>
      </c>
      <c r="E1425" t="s">
        <v>16</v>
      </c>
      <c r="F1425" t="s">
        <v>17</v>
      </c>
      <c r="G1425" t="s">
        <v>23</v>
      </c>
      <c r="H1425" t="s">
        <v>19</v>
      </c>
      <c r="I1425" t="s">
        <v>20</v>
      </c>
      <c r="J1425" s="2">
        <v>120</v>
      </c>
    </row>
    <row r="1426" spans="1:12" ht="19.95" customHeight="1">
      <c r="A1426" t="s">
        <v>1521</v>
      </c>
      <c r="B1426" t="s">
        <v>1483</v>
      </c>
      <c r="C1426" t="s">
        <v>78</v>
      </c>
      <c r="D1426" t="s">
        <v>97</v>
      </c>
      <c r="E1426" t="s">
        <v>16</v>
      </c>
      <c r="F1426" t="s">
        <v>17</v>
      </c>
      <c r="G1426" t="s">
        <v>23</v>
      </c>
      <c r="H1426" t="s">
        <v>19</v>
      </c>
      <c r="I1426" t="s">
        <v>20</v>
      </c>
      <c r="J1426" s="2">
        <v>120</v>
      </c>
    </row>
    <row r="1427" spans="1:12" ht="19.95" customHeight="1">
      <c r="A1427" t="s">
        <v>1522</v>
      </c>
      <c r="B1427" t="s">
        <v>1483</v>
      </c>
      <c r="C1427" t="s">
        <v>78</v>
      </c>
      <c r="D1427" t="s">
        <v>161</v>
      </c>
      <c r="E1427" t="s">
        <v>16</v>
      </c>
      <c r="F1427" t="s">
        <v>17</v>
      </c>
      <c r="G1427" t="s">
        <v>23</v>
      </c>
      <c r="H1427" t="s">
        <v>19</v>
      </c>
      <c r="I1427" t="s">
        <v>20</v>
      </c>
      <c r="J1427" s="2">
        <v>120</v>
      </c>
    </row>
    <row r="1428" spans="1:12" ht="19.95" customHeight="1">
      <c r="A1428" t="s">
        <v>1523</v>
      </c>
      <c r="B1428" t="s">
        <v>1483</v>
      </c>
      <c r="C1428" t="s">
        <v>78</v>
      </c>
      <c r="D1428" t="s">
        <v>87</v>
      </c>
      <c r="E1428" t="s">
        <v>16</v>
      </c>
      <c r="F1428" t="s">
        <v>17</v>
      </c>
      <c r="G1428" t="s">
        <v>32</v>
      </c>
      <c r="H1428" t="s">
        <v>19</v>
      </c>
      <c r="I1428" t="s">
        <v>20</v>
      </c>
      <c r="J1428" s="2">
        <v>300</v>
      </c>
    </row>
    <row r="1429" spans="1:12" ht="19.95" customHeight="1">
      <c r="A1429" t="s">
        <v>1524</v>
      </c>
      <c r="B1429" t="s">
        <v>1483</v>
      </c>
      <c r="C1429" t="s">
        <v>78</v>
      </c>
      <c r="D1429" t="s">
        <v>102</v>
      </c>
      <c r="E1429" t="s">
        <v>16</v>
      </c>
      <c r="F1429" t="s">
        <v>17</v>
      </c>
      <c r="G1429" t="s">
        <v>23</v>
      </c>
      <c r="H1429" t="s">
        <v>19</v>
      </c>
      <c r="I1429" t="s">
        <v>20</v>
      </c>
      <c r="J1429" s="2">
        <v>120</v>
      </c>
    </row>
    <row r="1430" spans="1:12" ht="19.95" customHeight="1">
      <c r="A1430" t="s">
        <v>1525</v>
      </c>
      <c r="B1430" t="s">
        <v>1483</v>
      </c>
      <c r="C1430" t="s">
        <v>78</v>
      </c>
      <c r="D1430" t="s">
        <v>89</v>
      </c>
      <c r="E1430" t="s">
        <v>16</v>
      </c>
      <c r="F1430" t="s">
        <v>17</v>
      </c>
      <c r="G1430" t="s">
        <v>18</v>
      </c>
      <c r="H1430" t="s">
        <v>19</v>
      </c>
      <c r="I1430" t="s">
        <v>20</v>
      </c>
      <c r="J1430" s="2">
        <v>200</v>
      </c>
    </row>
    <row r="1431" spans="1:12" ht="19.95" customHeight="1">
      <c r="A1431" t="s">
        <v>1526</v>
      </c>
      <c r="B1431" t="s">
        <v>1483</v>
      </c>
      <c r="C1431" t="s">
        <v>78</v>
      </c>
      <c r="D1431" t="s">
        <v>81</v>
      </c>
      <c r="E1431" t="s">
        <v>16</v>
      </c>
      <c r="F1431" t="s">
        <v>17</v>
      </c>
      <c r="G1431" t="s">
        <v>23</v>
      </c>
      <c r="H1431" t="s">
        <v>19</v>
      </c>
      <c r="I1431" t="s">
        <v>20</v>
      </c>
      <c r="J1431" s="2">
        <v>120</v>
      </c>
    </row>
    <row r="1432" spans="1:12" ht="19.95" customHeight="1">
      <c r="A1432" t="s">
        <v>1527</v>
      </c>
      <c r="B1432" t="s">
        <v>1483</v>
      </c>
      <c r="C1432" t="s">
        <v>78</v>
      </c>
      <c r="D1432" t="s">
        <v>97</v>
      </c>
      <c r="E1432" t="s">
        <v>16</v>
      </c>
      <c r="F1432" t="s">
        <v>17</v>
      </c>
      <c r="G1432" t="s">
        <v>32</v>
      </c>
      <c r="H1432" t="s">
        <v>19</v>
      </c>
      <c r="I1432" t="s">
        <v>20</v>
      </c>
      <c r="J1432" s="2">
        <v>300</v>
      </c>
    </row>
    <row r="1433" spans="1:12" ht="19.95" customHeight="1">
      <c r="A1433" t="s">
        <v>1528</v>
      </c>
      <c r="B1433" t="s">
        <v>1483</v>
      </c>
      <c r="C1433" t="s">
        <v>78</v>
      </c>
      <c r="D1433" t="s">
        <v>93</v>
      </c>
      <c r="E1433" t="s">
        <v>16</v>
      </c>
      <c r="F1433" t="s">
        <v>17</v>
      </c>
      <c r="G1433" t="s">
        <v>23</v>
      </c>
      <c r="H1433" t="s">
        <v>19</v>
      </c>
      <c r="I1433" t="s">
        <v>20</v>
      </c>
      <c r="J1433" s="2">
        <v>120</v>
      </c>
    </row>
    <row r="1434" spans="1:12" ht="19.95" customHeight="1">
      <c r="A1434" t="s">
        <v>1529</v>
      </c>
      <c r="B1434" t="s">
        <v>1483</v>
      </c>
      <c r="C1434" t="s">
        <v>78</v>
      </c>
      <c r="D1434" t="s">
        <v>89</v>
      </c>
      <c r="E1434" t="s">
        <v>16</v>
      </c>
      <c r="F1434" t="s">
        <v>17</v>
      </c>
      <c r="G1434" t="s">
        <v>18</v>
      </c>
      <c r="H1434" t="s">
        <v>19</v>
      </c>
      <c r="I1434" t="s">
        <v>20</v>
      </c>
      <c r="J1434" s="2">
        <v>200</v>
      </c>
    </row>
    <row r="1435" spans="1:12" ht="19.95" customHeight="1">
      <c r="A1435" t="s">
        <v>1530</v>
      </c>
      <c r="B1435" t="s">
        <v>1483</v>
      </c>
      <c r="C1435" t="s">
        <v>78</v>
      </c>
      <c r="D1435" t="s">
        <v>87</v>
      </c>
      <c r="E1435" t="s">
        <v>16</v>
      </c>
      <c r="F1435" t="s">
        <v>17</v>
      </c>
      <c r="G1435" t="s">
        <v>23</v>
      </c>
      <c r="H1435" t="s">
        <v>19</v>
      </c>
      <c r="I1435" t="s">
        <v>20</v>
      </c>
      <c r="J1435" s="2">
        <v>102</v>
      </c>
      <c r="L1435" t="s">
        <v>29</v>
      </c>
    </row>
    <row r="1436" spans="1:12" ht="19.95" customHeight="1">
      <c r="A1436" t="s">
        <v>1531</v>
      </c>
      <c r="B1436" t="s">
        <v>1483</v>
      </c>
      <c r="C1436" t="s">
        <v>78</v>
      </c>
      <c r="D1436" t="s">
        <v>85</v>
      </c>
      <c r="E1436" t="s">
        <v>16</v>
      </c>
      <c r="F1436" t="s">
        <v>17</v>
      </c>
      <c r="G1436" t="s">
        <v>32</v>
      </c>
      <c r="H1436" t="s">
        <v>19</v>
      </c>
      <c r="I1436" t="s">
        <v>20</v>
      </c>
      <c r="J1436" s="2">
        <v>300</v>
      </c>
    </row>
    <row r="1437" spans="1:12" ht="19.95" customHeight="1">
      <c r="A1437" t="s">
        <v>1532</v>
      </c>
      <c r="B1437" t="s">
        <v>1483</v>
      </c>
      <c r="C1437" t="s">
        <v>78</v>
      </c>
      <c r="D1437" t="s">
        <v>87</v>
      </c>
      <c r="E1437" t="s">
        <v>16</v>
      </c>
      <c r="F1437" t="s">
        <v>17</v>
      </c>
      <c r="G1437" t="s">
        <v>32</v>
      </c>
      <c r="H1437" t="s">
        <v>19</v>
      </c>
      <c r="I1437" t="s">
        <v>20</v>
      </c>
      <c r="J1437" s="2">
        <v>225</v>
      </c>
      <c r="L1437" t="s">
        <v>1270</v>
      </c>
    </row>
    <row r="1438" spans="1:12" ht="19.95" customHeight="1">
      <c r="A1438" t="s">
        <v>1533</v>
      </c>
      <c r="B1438" t="s">
        <v>1483</v>
      </c>
      <c r="C1438" t="s">
        <v>78</v>
      </c>
      <c r="D1438" t="s">
        <v>97</v>
      </c>
      <c r="E1438" t="s">
        <v>16</v>
      </c>
      <c r="F1438" t="s">
        <v>17</v>
      </c>
      <c r="G1438" t="s">
        <v>32</v>
      </c>
      <c r="H1438" t="s">
        <v>19</v>
      </c>
      <c r="I1438" t="s">
        <v>20</v>
      </c>
      <c r="J1438" s="2">
        <v>225</v>
      </c>
      <c r="L1438" t="s">
        <v>1270</v>
      </c>
    </row>
    <row r="1439" spans="1:12" ht="19.95" customHeight="1">
      <c r="A1439" t="s">
        <v>1534</v>
      </c>
      <c r="B1439" t="s">
        <v>1483</v>
      </c>
      <c r="C1439" t="s">
        <v>78</v>
      </c>
      <c r="D1439" t="s">
        <v>89</v>
      </c>
      <c r="E1439" t="s">
        <v>16</v>
      </c>
      <c r="F1439" t="s">
        <v>17</v>
      </c>
      <c r="G1439" t="s">
        <v>32</v>
      </c>
      <c r="H1439" t="s">
        <v>19</v>
      </c>
      <c r="I1439" t="s">
        <v>20</v>
      </c>
      <c r="J1439" s="2">
        <v>225</v>
      </c>
      <c r="L1439" t="s">
        <v>1270</v>
      </c>
    </row>
    <row r="1440" spans="1:12" ht="19.95" customHeight="1">
      <c r="A1440" t="s">
        <v>1535</v>
      </c>
      <c r="B1440" t="s">
        <v>1483</v>
      </c>
      <c r="C1440" t="s">
        <v>78</v>
      </c>
      <c r="D1440" t="s">
        <v>81</v>
      </c>
      <c r="E1440" t="s">
        <v>16</v>
      </c>
      <c r="F1440" t="s">
        <v>17</v>
      </c>
      <c r="G1440" t="s">
        <v>32</v>
      </c>
      <c r="H1440" t="s">
        <v>19</v>
      </c>
      <c r="I1440" t="s">
        <v>20</v>
      </c>
      <c r="J1440" s="2">
        <v>225</v>
      </c>
      <c r="L1440" t="s">
        <v>1270</v>
      </c>
    </row>
    <row r="1441" spans="1:12" ht="19.95" customHeight="1">
      <c r="A1441" t="s">
        <v>1536</v>
      </c>
      <c r="B1441" t="s">
        <v>1483</v>
      </c>
      <c r="C1441" t="s">
        <v>78</v>
      </c>
      <c r="D1441" t="s">
        <v>93</v>
      </c>
      <c r="E1441" t="s">
        <v>16</v>
      </c>
      <c r="F1441" t="s">
        <v>17</v>
      </c>
      <c r="G1441" t="s">
        <v>32</v>
      </c>
      <c r="H1441" t="s">
        <v>19</v>
      </c>
      <c r="I1441" t="s">
        <v>20</v>
      </c>
      <c r="J1441" s="2">
        <v>225</v>
      </c>
      <c r="L1441" t="s">
        <v>1270</v>
      </c>
    </row>
    <row r="1442" spans="1:12" ht="19.95" customHeight="1">
      <c r="A1442" t="s">
        <v>1537</v>
      </c>
      <c r="B1442" t="s">
        <v>1483</v>
      </c>
      <c r="C1442" t="s">
        <v>78</v>
      </c>
      <c r="D1442" t="s">
        <v>79</v>
      </c>
      <c r="E1442" t="s">
        <v>16</v>
      </c>
      <c r="F1442" t="s">
        <v>17</v>
      </c>
      <c r="G1442" t="s">
        <v>32</v>
      </c>
      <c r="H1442" t="s">
        <v>19</v>
      </c>
      <c r="I1442" t="s">
        <v>20</v>
      </c>
      <c r="J1442" s="2">
        <v>225</v>
      </c>
      <c r="L1442" t="s">
        <v>1270</v>
      </c>
    </row>
    <row r="1443" spans="1:12" ht="19.95" customHeight="1">
      <c r="A1443" t="s">
        <v>1538</v>
      </c>
      <c r="B1443" t="s">
        <v>1483</v>
      </c>
      <c r="C1443" t="s">
        <v>78</v>
      </c>
      <c r="D1443" t="s">
        <v>163</v>
      </c>
      <c r="E1443" t="s">
        <v>16</v>
      </c>
      <c r="F1443" t="s">
        <v>17</v>
      </c>
      <c r="G1443" t="s">
        <v>32</v>
      </c>
      <c r="H1443" t="s">
        <v>19</v>
      </c>
      <c r="I1443" t="s">
        <v>20</v>
      </c>
      <c r="J1443" s="2">
        <v>225</v>
      </c>
      <c r="L1443" t="s">
        <v>1270</v>
      </c>
    </row>
    <row r="1444" spans="1:12" ht="19.95" customHeight="1">
      <c r="A1444" t="s">
        <v>1539</v>
      </c>
      <c r="B1444" t="s">
        <v>1483</v>
      </c>
      <c r="C1444" t="s">
        <v>78</v>
      </c>
      <c r="D1444" t="s">
        <v>163</v>
      </c>
      <c r="E1444" t="s">
        <v>16</v>
      </c>
      <c r="F1444" t="s">
        <v>17</v>
      </c>
      <c r="G1444" t="s">
        <v>32</v>
      </c>
      <c r="H1444" t="s">
        <v>19</v>
      </c>
      <c r="I1444" t="s">
        <v>20</v>
      </c>
      <c r="J1444" s="2">
        <v>225</v>
      </c>
      <c r="L1444" t="s">
        <v>1270</v>
      </c>
    </row>
    <row r="1445" spans="1:12" ht="19.95" customHeight="1">
      <c r="A1445" t="s">
        <v>1540</v>
      </c>
      <c r="B1445" t="s">
        <v>1483</v>
      </c>
      <c r="C1445" t="s">
        <v>78</v>
      </c>
      <c r="D1445" t="s">
        <v>102</v>
      </c>
      <c r="E1445" t="s">
        <v>16</v>
      </c>
      <c r="F1445" t="s">
        <v>17</v>
      </c>
      <c r="G1445" t="s">
        <v>32</v>
      </c>
      <c r="H1445" t="s">
        <v>19</v>
      </c>
      <c r="I1445" t="s">
        <v>20</v>
      </c>
      <c r="J1445" s="2">
        <v>225</v>
      </c>
      <c r="L1445" t="s">
        <v>1270</v>
      </c>
    </row>
    <row r="1446" spans="1:12" ht="19.95" customHeight="1">
      <c r="A1446" t="s">
        <v>1541</v>
      </c>
      <c r="B1446" t="s">
        <v>1483</v>
      </c>
      <c r="C1446" t="s">
        <v>78</v>
      </c>
      <c r="D1446" t="s">
        <v>93</v>
      </c>
      <c r="E1446" t="s">
        <v>16</v>
      </c>
      <c r="F1446" t="s">
        <v>17</v>
      </c>
      <c r="G1446" t="s">
        <v>32</v>
      </c>
      <c r="H1446" t="s">
        <v>19</v>
      </c>
      <c r="I1446" t="s">
        <v>20</v>
      </c>
      <c r="J1446" s="2">
        <v>225</v>
      </c>
      <c r="L1446" t="s">
        <v>1270</v>
      </c>
    </row>
    <row r="1447" spans="1:12" ht="19.95" customHeight="1">
      <c r="A1447" t="s">
        <v>1542</v>
      </c>
      <c r="B1447" t="s">
        <v>1483</v>
      </c>
      <c r="C1447" t="s">
        <v>78</v>
      </c>
      <c r="D1447" t="s">
        <v>87</v>
      </c>
      <c r="E1447" t="s">
        <v>16</v>
      </c>
      <c r="F1447" t="s">
        <v>17</v>
      </c>
      <c r="G1447" t="s">
        <v>32</v>
      </c>
      <c r="H1447" t="s">
        <v>19</v>
      </c>
      <c r="I1447" t="s">
        <v>20</v>
      </c>
      <c r="J1447" s="2">
        <v>225</v>
      </c>
      <c r="L1447" t="s">
        <v>1270</v>
      </c>
    </row>
    <row r="1448" spans="1:12" ht="19.95" customHeight="1">
      <c r="A1448" t="s">
        <v>1543</v>
      </c>
      <c r="B1448" t="s">
        <v>1483</v>
      </c>
      <c r="C1448" t="s">
        <v>78</v>
      </c>
      <c r="D1448" t="s">
        <v>161</v>
      </c>
      <c r="E1448" t="s">
        <v>16</v>
      </c>
      <c r="F1448" t="s">
        <v>17</v>
      </c>
      <c r="G1448" t="s">
        <v>32</v>
      </c>
      <c r="H1448" t="s">
        <v>19</v>
      </c>
      <c r="I1448" t="s">
        <v>20</v>
      </c>
      <c r="J1448" s="2">
        <v>225</v>
      </c>
      <c r="L1448" t="s">
        <v>1270</v>
      </c>
    </row>
    <row r="1449" spans="1:12" ht="19.95" customHeight="1">
      <c r="A1449" t="s">
        <v>1544</v>
      </c>
      <c r="B1449" t="s">
        <v>1483</v>
      </c>
      <c r="C1449" t="s">
        <v>78</v>
      </c>
      <c r="D1449" t="s">
        <v>163</v>
      </c>
      <c r="E1449" t="s">
        <v>16</v>
      </c>
      <c r="F1449" t="s">
        <v>17</v>
      </c>
      <c r="G1449" t="s">
        <v>32</v>
      </c>
      <c r="H1449" t="s">
        <v>19</v>
      </c>
      <c r="I1449" t="s">
        <v>20</v>
      </c>
      <c r="J1449" s="2">
        <v>225</v>
      </c>
      <c r="L1449" t="s">
        <v>1270</v>
      </c>
    </row>
    <row r="1450" spans="1:12" ht="19.95" customHeight="1">
      <c r="A1450" t="s">
        <v>1545</v>
      </c>
      <c r="B1450" t="s">
        <v>1483</v>
      </c>
      <c r="C1450" t="s">
        <v>78</v>
      </c>
      <c r="D1450" t="s">
        <v>83</v>
      </c>
      <c r="E1450" t="s">
        <v>16</v>
      </c>
      <c r="F1450" t="s">
        <v>17</v>
      </c>
      <c r="G1450" t="s">
        <v>32</v>
      </c>
      <c r="H1450" t="s">
        <v>19</v>
      </c>
      <c r="I1450" t="s">
        <v>20</v>
      </c>
      <c r="J1450" s="2">
        <v>225</v>
      </c>
      <c r="L1450" t="s">
        <v>1270</v>
      </c>
    </row>
    <row r="1451" spans="1:12" ht="19.95" customHeight="1">
      <c r="A1451" t="s">
        <v>1546</v>
      </c>
      <c r="B1451" t="s">
        <v>1483</v>
      </c>
      <c r="C1451" t="s">
        <v>78</v>
      </c>
      <c r="D1451" t="s">
        <v>81</v>
      </c>
      <c r="E1451" t="s">
        <v>16</v>
      </c>
      <c r="F1451" t="s">
        <v>17</v>
      </c>
      <c r="G1451" t="s">
        <v>32</v>
      </c>
      <c r="H1451" t="s">
        <v>19</v>
      </c>
      <c r="I1451" t="s">
        <v>20</v>
      </c>
      <c r="J1451" s="2">
        <v>225</v>
      </c>
      <c r="L1451" t="s">
        <v>1270</v>
      </c>
    </row>
    <row r="1452" spans="1:12" ht="19.95" customHeight="1">
      <c r="A1452" t="s">
        <v>1547</v>
      </c>
      <c r="B1452" t="s">
        <v>1483</v>
      </c>
      <c r="C1452" t="s">
        <v>78</v>
      </c>
      <c r="D1452" t="s">
        <v>93</v>
      </c>
      <c r="E1452" t="s">
        <v>16</v>
      </c>
      <c r="F1452" t="s">
        <v>17</v>
      </c>
      <c r="G1452" t="s">
        <v>32</v>
      </c>
      <c r="H1452" t="s">
        <v>19</v>
      </c>
      <c r="I1452" t="s">
        <v>20</v>
      </c>
      <c r="J1452" s="2">
        <v>225</v>
      </c>
      <c r="L1452" t="s">
        <v>1270</v>
      </c>
    </row>
    <row r="1453" spans="1:12" ht="19.95" customHeight="1">
      <c r="A1453" t="s">
        <v>1548</v>
      </c>
      <c r="B1453" t="s">
        <v>1483</v>
      </c>
      <c r="C1453" t="s">
        <v>78</v>
      </c>
      <c r="D1453" t="s">
        <v>163</v>
      </c>
      <c r="E1453" t="s">
        <v>16</v>
      </c>
      <c r="F1453" t="s">
        <v>17</v>
      </c>
      <c r="G1453" t="s">
        <v>32</v>
      </c>
      <c r="H1453" t="s">
        <v>19</v>
      </c>
      <c r="I1453" t="s">
        <v>20</v>
      </c>
      <c r="J1453" s="2">
        <v>225</v>
      </c>
      <c r="L1453" t="s">
        <v>1270</v>
      </c>
    </row>
    <row r="1454" spans="1:12" ht="19.95" customHeight="1">
      <c r="A1454" t="s">
        <v>1549</v>
      </c>
      <c r="B1454" t="s">
        <v>1483</v>
      </c>
      <c r="C1454" t="s">
        <v>78</v>
      </c>
      <c r="D1454" t="s">
        <v>81</v>
      </c>
      <c r="E1454" t="s">
        <v>16</v>
      </c>
      <c r="F1454" t="s">
        <v>17</v>
      </c>
      <c r="G1454" t="s">
        <v>32</v>
      </c>
      <c r="H1454" t="s">
        <v>19</v>
      </c>
      <c r="I1454" t="s">
        <v>20</v>
      </c>
      <c r="J1454" s="2">
        <v>225</v>
      </c>
      <c r="L1454" t="s">
        <v>1270</v>
      </c>
    </row>
    <row r="1455" spans="1:12" ht="19.95" customHeight="1">
      <c r="A1455" t="s">
        <v>1550</v>
      </c>
      <c r="B1455" t="s">
        <v>1483</v>
      </c>
      <c r="C1455" t="s">
        <v>78</v>
      </c>
      <c r="D1455" t="s">
        <v>97</v>
      </c>
      <c r="E1455" t="s">
        <v>16</v>
      </c>
      <c r="F1455" t="s">
        <v>17</v>
      </c>
      <c r="G1455" t="s">
        <v>32</v>
      </c>
      <c r="H1455" t="s">
        <v>19</v>
      </c>
      <c r="I1455" t="s">
        <v>20</v>
      </c>
      <c r="J1455" s="2">
        <v>225</v>
      </c>
      <c r="L1455" t="s">
        <v>1270</v>
      </c>
    </row>
    <row r="1456" spans="1:12" ht="19.95" customHeight="1">
      <c r="A1456" t="s">
        <v>1551</v>
      </c>
      <c r="B1456" t="s">
        <v>1483</v>
      </c>
      <c r="C1456" t="s">
        <v>105</v>
      </c>
      <c r="D1456" t="s">
        <v>118</v>
      </c>
      <c r="E1456" t="s">
        <v>16</v>
      </c>
      <c r="F1456" t="s">
        <v>17</v>
      </c>
      <c r="G1456" t="s">
        <v>32</v>
      </c>
      <c r="H1456" t="s">
        <v>19</v>
      </c>
      <c r="I1456" t="s">
        <v>20</v>
      </c>
      <c r="J1456" s="2">
        <v>300</v>
      </c>
    </row>
    <row r="1457" spans="1:12" ht="19.95" customHeight="1">
      <c r="A1457" t="s">
        <v>1552</v>
      </c>
      <c r="B1457" t="s">
        <v>1483</v>
      </c>
      <c r="C1457" t="s">
        <v>105</v>
      </c>
      <c r="D1457" t="s">
        <v>118</v>
      </c>
      <c r="E1457" t="s">
        <v>16</v>
      </c>
      <c r="F1457" t="s">
        <v>17</v>
      </c>
      <c r="G1457" t="s">
        <v>18</v>
      </c>
      <c r="H1457" t="s">
        <v>19</v>
      </c>
      <c r="I1457" t="s">
        <v>20</v>
      </c>
      <c r="J1457" s="2">
        <v>170</v>
      </c>
      <c r="L1457" t="s">
        <v>29</v>
      </c>
    </row>
    <row r="1458" spans="1:12" ht="19.95" customHeight="1">
      <c r="A1458" t="s">
        <v>1553</v>
      </c>
      <c r="B1458" t="s">
        <v>1483</v>
      </c>
      <c r="C1458" t="s">
        <v>105</v>
      </c>
      <c r="D1458" t="s">
        <v>191</v>
      </c>
      <c r="E1458" t="s">
        <v>16</v>
      </c>
      <c r="F1458" t="s">
        <v>17</v>
      </c>
      <c r="G1458" t="s">
        <v>18</v>
      </c>
      <c r="H1458" t="s">
        <v>19</v>
      </c>
      <c r="I1458" t="s">
        <v>20</v>
      </c>
      <c r="J1458" s="2">
        <v>200</v>
      </c>
    </row>
    <row r="1459" spans="1:12" ht="19.95" customHeight="1">
      <c r="A1459" t="s">
        <v>1554</v>
      </c>
      <c r="B1459" t="s">
        <v>1483</v>
      </c>
      <c r="C1459" t="s">
        <v>105</v>
      </c>
      <c r="D1459" t="s">
        <v>187</v>
      </c>
      <c r="E1459" t="s">
        <v>16</v>
      </c>
      <c r="F1459" t="s">
        <v>17</v>
      </c>
      <c r="G1459" t="s">
        <v>32</v>
      </c>
      <c r="H1459" t="s">
        <v>19</v>
      </c>
      <c r="I1459" t="s">
        <v>20</v>
      </c>
      <c r="J1459" s="2">
        <v>300</v>
      </c>
    </row>
    <row r="1460" spans="1:12" ht="19.95" customHeight="1">
      <c r="A1460" t="s">
        <v>1555</v>
      </c>
      <c r="B1460" t="s">
        <v>1483</v>
      </c>
      <c r="C1460" t="s">
        <v>105</v>
      </c>
      <c r="D1460" t="s">
        <v>187</v>
      </c>
      <c r="E1460" t="s">
        <v>16</v>
      </c>
      <c r="F1460" t="s">
        <v>17</v>
      </c>
      <c r="G1460" t="s">
        <v>23</v>
      </c>
      <c r="H1460" t="s">
        <v>19</v>
      </c>
      <c r="I1460" t="s">
        <v>20</v>
      </c>
      <c r="J1460" s="2">
        <v>102</v>
      </c>
      <c r="L1460" t="s">
        <v>29</v>
      </c>
    </row>
    <row r="1461" spans="1:12" ht="19.95" customHeight="1">
      <c r="A1461" t="s">
        <v>1556</v>
      </c>
      <c r="B1461" t="s">
        <v>1483</v>
      </c>
      <c r="C1461" t="s">
        <v>105</v>
      </c>
      <c r="D1461" t="s">
        <v>187</v>
      </c>
      <c r="E1461" t="s">
        <v>16</v>
      </c>
      <c r="F1461" t="s">
        <v>17</v>
      </c>
      <c r="G1461" t="s">
        <v>18</v>
      </c>
      <c r="H1461" t="s">
        <v>19</v>
      </c>
      <c r="I1461" t="s">
        <v>20</v>
      </c>
      <c r="J1461" s="2">
        <v>200</v>
      </c>
    </row>
    <row r="1462" spans="1:12" ht="19.95" customHeight="1">
      <c r="A1462" t="s">
        <v>1557</v>
      </c>
      <c r="B1462" t="s">
        <v>1483</v>
      </c>
      <c r="C1462" t="s">
        <v>105</v>
      </c>
      <c r="D1462" t="s">
        <v>116</v>
      </c>
      <c r="E1462" t="s">
        <v>16</v>
      </c>
      <c r="F1462" t="s">
        <v>17</v>
      </c>
      <c r="G1462" t="s">
        <v>32</v>
      </c>
      <c r="H1462" t="s">
        <v>24</v>
      </c>
      <c r="I1462" t="s">
        <v>20</v>
      </c>
      <c r="J1462" s="2">
        <v>300</v>
      </c>
    </row>
    <row r="1463" spans="1:12" ht="19.95" customHeight="1">
      <c r="A1463" t="s">
        <v>1558</v>
      </c>
      <c r="B1463" t="s">
        <v>1483</v>
      </c>
      <c r="C1463" t="s">
        <v>105</v>
      </c>
      <c r="D1463" t="s">
        <v>118</v>
      </c>
      <c r="E1463" t="s">
        <v>16</v>
      </c>
      <c r="F1463" t="s">
        <v>17</v>
      </c>
      <c r="G1463" t="s">
        <v>18</v>
      </c>
      <c r="H1463" t="s">
        <v>19</v>
      </c>
      <c r="I1463" t="s">
        <v>20</v>
      </c>
      <c r="J1463" s="2">
        <v>200</v>
      </c>
    </row>
    <row r="1464" spans="1:12" ht="19.95" customHeight="1">
      <c r="A1464" t="s">
        <v>1559</v>
      </c>
      <c r="B1464" t="s">
        <v>1483</v>
      </c>
      <c r="C1464" t="s">
        <v>105</v>
      </c>
      <c r="D1464" t="s">
        <v>265</v>
      </c>
      <c r="E1464" t="s">
        <v>16</v>
      </c>
      <c r="F1464" t="s">
        <v>17</v>
      </c>
      <c r="G1464" t="s">
        <v>32</v>
      </c>
      <c r="H1464" t="s">
        <v>24</v>
      </c>
      <c r="I1464" t="s">
        <v>20</v>
      </c>
      <c r="J1464" s="2">
        <v>225</v>
      </c>
      <c r="L1464" t="s">
        <v>29</v>
      </c>
    </row>
    <row r="1465" spans="1:12" ht="19.95" customHeight="1">
      <c r="A1465" t="s">
        <v>1560</v>
      </c>
      <c r="B1465" t="s">
        <v>1483</v>
      </c>
      <c r="C1465" t="s">
        <v>105</v>
      </c>
      <c r="D1465" t="s">
        <v>187</v>
      </c>
      <c r="E1465" t="s">
        <v>16</v>
      </c>
      <c r="F1465" t="s">
        <v>17</v>
      </c>
      <c r="G1465" t="s">
        <v>23</v>
      </c>
      <c r="H1465" t="s">
        <v>19</v>
      </c>
      <c r="I1465" t="s">
        <v>20</v>
      </c>
      <c r="J1465" s="2">
        <v>102</v>
      </c>
      <c r="L1465" t="s">
        <v>29</v>
      </c>
    </row>
    <row r="1466" spans="1:12" ht="19.95" customHeight="1">
      <c r="A1466" t="s">
        <v>1561</v>
      </c>
      <c r="B1466" t="s">
        <v>1483</v>
      </c>
      <c r="C1466" t="s">
        <v>105</v>
      </c>
      <c r="D1466" t="s">
        <v>265</v>
      </c>
      <c r="E1466" t="s">
        <v>16</v>
      </c>
      <c r="F1466" t="s">
        <v>17</v>
      </c>
      <c r="G1466" t="s">
        <v>23</v>
      </c>
      <c r="H1466" t="s">
        <v>19</v>
      </c>
      <c r="I1466" t="s">
        <v>20</v>
      </c>
      <c r="J1466" s="2">
        <v>120</v>
      </c>
    </row>
    <row r="1467" spans="1:12" ht="19.95" customHeight="1">
      <c r="A1467" t="s">
        <v>1562</v>
      </c>
      <c r="B1467" t="s">
        <v>1483</v>
      </c>
      <c r="C1467" t="s">
        <v>105</v>
      </c>
      <c r="D1467" t="s">
        <v>194</v>
      </c>
      <c r="E1467" t="s">
        <v>16</v>
      </c>
      <c r="F1467" t="s">
        <v>17</v>
      </c>
      <c r="G1467" t="s">
        <v>18</v>
      </c>
      <c r="H1467" t="s">
        <v>19</v>
      </c>
      <c r="I1467" t="s">
        <v>20</v>
      </c>
      <c r="J1467" s="2">
        <v>200</v>
      </c>
    </row>
    <row r="1468" spans="1:12" ht="19.95" customHeight="1">
      <c r="A1468" t="s">
        <v>1563</v>
      </c>
      <c r="B1468" t="s">
        <v>1483</v>
      </c>
      <c r="C1468" t="s">
        <v>105</v>
      </c>
      <c r="D1468" t="s">
        <v>118</v>
      </c>
      <c r="E1468" t="s">
        <v>16</v>
      </c>
      <c r="F1468" t="s">
        <v>17</v>
      </c>
      <c r="G1468" t="s">
        <v>23</v>
      </c>
      <c r="H1468" t="s">
        <v>19</v>
      </c>
      <c r="I1468" t="s">
        <v>20</v>
      </c>
      <c r="J1468" s="2">
        <v>120</v>
      </c>
    </row>
    <row r="1469" spans="1:12" ht="19.95" customHeight="1">
      <c r="A1469" t="s">
        <v>1564</v>
      </c>
      <c r="B1469" t="s">
        <v>1483</v>
      </c>
      <c r="C1469" t="s">
        <v>105</v>
      </c>
      <c r="D1469" t="s">
        <v>187</v>
      </c>
      <c r="E1469" t="s">
        <v>16</v>
      </c>
      <c r="F1469" t="s">
        <v>35</v>
      </c>
      <c r="G1469" t="s">
        <v>23</v>
      </c>
      <c r="H1469" t="s">
        <v>19</v>
      </c>
      <c r="I1469" t="s">
        <v>20</v>
      </c>
      <c r="J1469" s="2">
        <v>120</v>
      </c>
    </row>
    <row r="1470" spans="1:12" ht="19.95" customHeight="1">
      <c r="A1470" t="s">
        <v>1565</v>
      </c>
      <c r="B1470" t="s">
        <v>1566</v>
      </c>
      <c r="C1470" t="s">
        <v>14</v>
      </c>
      <c r="D1470" t="s">
        <v>210</v>
      </c>
      <c r="E1470" t="s">
        <v>16</v>
      </c>
      <c r="F1470" t="s">
        <v>17</v>
      </c>
      <c r="G1470" t="s">
        <v>32</v>
      </c>
      <c r="H1470" t="s">
        <v>19</v>
      </c>
      <c r="I1470" t="s">
        <v>20</v>
      </c>
      <c r="J1470" s="2">
        <v>300</v>
      </c>
    </row>
    <row r="1471" spans="1:12" ht="19.95" customHeight="1">
      <c r="A1471" t="s">
        <v>1567</v>
      </c>
      <c r="B1471" t="s">
        <v>1566</v>
      </c>
      <c r="C1471" t="s">
        <v>14</v>
      </c>
      <c r="D1471" t="s">
        <v>40</v>
      </c>
      <c r="E1471" t="s">
        <v>16</v>
      </c>
      <c r="F1471" t="s">
        <v>17</v>
      </c>
      <c r="G1471" t="s">
        <v>23</v>
      </c>
      <c r="H1471" t="s">
        <v>19</v>
      </c>
      <c r="I1471" t="s">
        <v>20</v>
      </c>
      <c r="J1471" s="2">
        <v>120</v>
      </c>
    </row>
    <row r="1472" spans="1:12" ht="19.95" customHeight="1">
      <c r="A1472" t="s">
        <v>1568</v>
      </c>
      <c r="B1472" t="s">
        <v>1566</v>
      </c>
      <c r="C1472" t="s">
        <v>14</v>
      </c>
      <c r="D1472" t="s">
        <v>15</v>
      </c>
      <c r="E1472" t="s">
        <v>16</v>
      </c>
      <c r="F1472" t="s">
        <v>17</v>
      </c>
      <c r="G1472" t="s">
        <v>23</v>
      </c>
      <c r="H1472" t="s">
        <v>19</v>
      </c>
      <c r="I1472" t="s">
        <v>20</v>
      </c>
      <c r="J1472" s="2">
        <v>120</v>
      </c>
    </row>
    <row r="1473" spans="1:12" ht="19.95" customHeight="1">
      <c r="A1473" t="s">
        <v>1569</v>
      </c>
      <c r="B1473" t="s">
        <v>1566</v>
      </c>
      <c r="C1473" t="s">
        <v>14</v>
      </c>
      <c r="D1473" t="s">
        <v>210</v>
      </c>
      <c r="E1473" t="s">
        <v>16</v>
      </c>
      <c r="F1473" t="s">
        <v>35</v>
      </c>
      <c r="G1473" t="s">
        <v>32</v>
      </c>
      <c r="H1473" t="s">
        <v>19</v>
      </c>
      <c r="I1473" t="s">
        <v>20</v>
      </c>
      <c r="J1473" s="2">
        <v>225</v>
      </c>
      <c r="L1473" t="s">
        <v>29</v>
      </c>
    </row>
    <row r="1474" spans="1:12" ht="19.95" customHeight="1">
      <c r="A1474" t="s">
        <v>1570</v>
      </c>
      <c r="B1474" t="s">
        <v>1566</v>
      </c>
      <c r="C1474" t="s">
        <v>14</v>
      </c>
      <c r="D1474" t="s">
        <v>210</v>
      </c>
      <c r="E1474" t="s">
        <v>16</v>
      </c>
      <c r="F1474" t="s">
        <v>17</v>
      </c>
      <c r="G1474" t="s">
        <v>23</v>
      </c>
      <c r="H1474" t="s">
        <v>19</v>
      </c>
      <c r="I1474" t="s">
        <v>20</v>
      </c>
      <c r="J1474" s="2">
        <v>120</v>
      </c>
    </row>
    <row r="1475" spans="1:12" ht="19.95" customHeight="1">
      <c r="A1475" t="s">
        <v>1571</v>
      </c>
      <c r="B1475" t="s">
        <v>1566</v>
      </c>
      <c r="C1475" t="s">
        <v>14</v>
      </c>
      <c r="D1475" t="s">
        <v>42</v>
      </c>
      <c r="E1475" t="s">
        <v>16</v>
      </c>
      <c r="F1475" t="s">
        <v>35</v>
      </c>
      <c r="G1475" t="s">
        <v>18</v>
      </c>
      <c r="H1475" t="s">
        <v>19</v>
      </c>
      <c r="I1475" t="s">
        <v>20</v>
      </c>
      <c r="J1475" s="2">
        <v>200</v>
      </c>
    </row>
    <row r="1476" spans="1:12" ht="19.95" customHeight="1">
      <c r="A1476" t="s">
        <v>1572</v>
      </c>
      <c r="B1476" t="s">
        <v>1566</v>
      </c>
      <c r="C1476" t="s">
        <v>14</v>
      </c>
      <c r="D1476" t="s">
        <v>37</v>
      </c>
      <c r="E1476" t="s">
        <v>16</v>
      </c>
      <c r="F1476" t="s">
        <v>17</v>
      </c>
      <c r="G1476" t="s">
        <v>32</v>
      </c>
      <c r="H1476" t="s">
        <v>19</v>
      </c>
      <c r="I1476" t="s">
        <v>20</v>
      </c>
      <c r="J1476" s="2">
        <v>300</v>
      </c>
    </row>
    <row r="1477" spans="1:12" ht="19.95" customHeight="1">
      <c r="A1477" t="s">
        <v>1573</v>
      </c>
      <c r="B1477" t="s">
        <v>1566</v>
      </c>
      <c r="C1477" t="s">
        <v>14</v>
      </c>
      <c r="D1477" t="s">
        <v>40</v>
      </c>
      <c r="E1477" t="s">
        <v>16</v>
      </c>
      <c r="F1477" t="s">
        <v>17</v>
      </c>
      <c r="G1477" t="s">
        <v>32</v>
      </c>
      <c r="H1477" t="s">
        <v>19</v>
      </c>
      <c r="I1477" t="s">
        <v>20</v>
      </c>
      <c r="J1477" s="2">
        <v>300</v>
      </c>
    </row>
    <row r="1478" spans="1:12" ht="19.95" customHeight="1">
      <c r="A1478" t="s">
        <v>1574</v>
      </c>
      <c r="B1478" t="s">
        <v>1566</v>
      </c>
      <c r="C1478" t="s">
        <v>14</v>
      </c>
      <c r="D1478" t="s">
        <v>42</v>
      </c>
      <c r="E1478" t="s">
        <v>16</v>
      </c>
      <c r="F1478" t="s">
        <v>17</v>
      </c>
      <c r="G1478" t="s">
        <v>18</v>
      </c>
      <c r="H1478" t="s">
        <v>19</v>
      </c>
      <c r="I1478" t="s">
        <v>20</v>
      </c>
      <c r="J1478" s="2">
        <v>200</v>
      </c>
    </row>
    <row r="1479" spans="1:12" ht="19.95" customHeight="1">
      <c r="A1479" t="s">
        <v>1575</v>
      </c>
      <c r="B1479" t="s">
        <v>1566</v>
      </c>
      <c r="C1479" t="s">
        <v>14</v>
      </c>
      <c r="D1479" t="s">
        <v>26</v>
      </c>
      <c r="E1479" t="s">
        <v>16</v>
      </c>
      <c r="F1479" t="s">
        <v>17</v>
      </c>
      <c r="G1479" t="s">
        <v>32</v>
      </c>
      <c r="H1479" t="s">
        <v>19</v>
      </c>
      <c r="I1479" t="s">
        <v>20</v>
      </c>
      <c r="J1479" s="2">
        <v>300</v>
      </c>
    </row>
    <row r="1480" spans="1:12" ht="19.95" customHeight="1">
      <c r="A1480" t="s">
        <v>1576</v>
      </c>
      <c r="B1480" t="s">
        <v>1566</v>
      </c>
      <c r="C1480" t="s">
        <v>14</v>
      </c>
      <c r="D1480" t="s">
        <v>137</v>
      </c>
      <c r="E1480" t="s">
        <v>16</v>
      </c>
      <c r="F1480" t="s">
        <v>17</v>
      </c>
      <c r="G1480" t="s">
        <v>23</v>
      </c>
      <c r="H1480" t="s">
        <v>19</v>
      </c>
      <c r="I1480" t="s">
        <v>20</v>
      </c>
      <c r="J1480" s="2">
        <v>120</v>
      </c>
    </row>
    <row r="1481" spans="1:12" ht="19.95" customHeight="1">
      <c r="A1481" t="s">
        <v>1577</v>
      </c>
      <c r="B1481" t="s">
        <v>1566</v>
      </c>
      <c r="C1481" t="s">
        <v>14</v>
      </c>
      <c r="D1481" t="s">
        <v>22</v>
      </c>
      <c r="E1481" t="s">
        <v>16</v>
      </c>
      <c r="F1481" t="s">
        <v>17</v>
      </c>
      <c r="G1481" t="s">
        <v>18</v>
      </c>
      <c r="H1481" t="s">
        <v>19</v>
      </c>
      <c r="I1481" t="s">
        <v>20</v>
      </c>
      <c r="J1481" s="2">
        <v>200</v>
      </c>
    </row>
    <row r="1482" spans="1:12" ht="19.95" customHeight="1">
      <c r="A1482" t="s">
        <v>1578</v>
      </c>
      <c r="B1482" t="s">
        <v>1566</v>
      </c>
      <c r="C1482" t="s">
        <v>14</v>
      </c>
      <c r="D1482" t="s">
        <v>34</v>
      </c>
      <c r="E1482" t="s">
        <v>16</v>
      </c>
      <c r="F1482" t="s">
        <v>17</v>
      </c>
      <c r="G1482" t="s">
        <v>18</v>
      </c>
      <c r="H1482" t="s">
        <v>19</v>
      </c>
      <c r="I1482" t="s">
        <v>20</v>
      </c>
      <c r="J1482" s="2">
        <v>200</v>
      </c>
    </row>
    <row r="1483" spans="1:12" ht="19.95" customHeight="1">
      <c r="A1483" t="s">
        <v>1579</v>
      </c>
      <c r="B1483" t="s">
        <v>1566</v>
      </c>
      <c r="C1483" t="s">
        <v>14</v>
      </c>
      <c r="D1483" t="s">
        <v>40</v>
      </c>
      <c r="E1483" t="s">
        <v>16</v>
      </c>
      <c r="F1483" t="s">
        <v>35</v>
      </c>
      <c r="G1483" t="s">
        <v>32</v>
      </c>
      <c r="H1483" t="s">
        <v>19</v>
      </c>
      <c r="I1483" t="s">
        <v>20</v>
      </c>
      <c r="J1483" s="2">
        <v>300</v>
      </c>
    </row>
    <row r="1484" spans="1:12" ht="19.95" customHeight="1">
      <c r="A1484" t="s">
        <v>1580</v>
      </c>
      <c r="B1484" t="s">
        <v>1566</v>
      </c>
      <c r="C1484" t="s">
        <v>14</v>
      </c>
      <c r="D1484" t="s">
        <v>40</v>
      </c>
      <c r="E1484" t="s">
        <v>16</v>
      </c>
      <c r="F1484" t="s">
        <v>17</v>
      </c>
      <c r="G1484" t="s">
        <v>18</v>
      </c>
      <c r="H1484" t="s">
        <v>19</v>
      </c>
      <c r="I1484" t="s">
        <v>20</v>
      </c>
      <c r="J1484" s="2">
        <v>200</v>
      </c>
    </row>
    <row r="1485" spans="1:12" ht="19.95" customHeight="1">
      <c r="A1485" t="s">
        <v>1581</v>
      </c>
      <c r="B1485" t="s">
        <v>1566</v>
      </c>
      <c r="C1485" t="s">
        <v>14</v>
      </c>
      <c r="D1485" t="s">
        <v>40</v>
      </c>
      <c r="E1485" t="s">
        <v>16</v>
      </c>
      <c r="F1485" t="s">
        <v>17</v>
      </c>
      <c r="G1485" t="s">
        <v>23</v>
      </c>
      <c r="H1485" t="s">
        <v>19</v>
      </c>
      <c r="I1485" t="s">
        <v>20</v>
      </c>
      <c r="J1485" s="2">
        <v>90</v>
      </c>
      <c r="L1485" t="s">
        <v>29</v>
      </c>
    </row>
    <row r="1486" spans="1:12" ht="19.95" customHeight="1">
      <c r="A1486" t="s">
        <v>1582</v>
      </c>
      <c r="B1486" t="s">
        <v>1566</v>
      </c>
      <c r="C1486" t="s">
        <v>14</v>
      </c>
      <c r="D1486" t="s">
        <v>22</v>
      </c>
      <c r="E1486" t="s">
        <v>16</v>
      </c>
      <c r="F1486" t="s">
        <v>17</v>
      </c>
      <c r="G1486" t="s">
        <v>32</v>
      </c>
      <c r="H1486" t="s">
        <v>19</v>
      </c>
      <c r="I1486" t="s">
        <v>20</v>
      </c>
      <c r="J1486" s="2">
        <v>255</v>
      </c>
      <c r="L1486" t="s">
        <v>29</v>
      </c>
    </row>
    <row r="1487" spans="1:12" ht="19.95" customHeight="1">
      <c r="A1487" t="s">
        <v>1583</v>
      </c>
      <c r="B1487" t="s">
        <v>1566</v>
      </c>
      <c r="C1487" t="s">
        <v>14</v>
      </c>
      <c r="D1487" t="s">
        <v>28</v>
      </c>
      <c r="E1487" t="s">
        <v>16</v>
      </c>
      <c r="F1487" t="s">
        <v>35</v>
      </c>
      <c r="G1487" t="s">
        <v>18</v>
      </c>
      <c r="H1487" t="s">
        <v>19</v>
      </c>
      <c r="I1487" t="s">
        <v>20</v>
      </c>
      <c r="J1487" s="2">
        <v>170</v>
      </c>
      <c r="L1487" t="s">
        <v>29</v>
      </c>
    </row>
    <row r="1488" spans="1:12" ht="19.95" customHeight="1">
      <c r="A1488" t="s">
        <v>1584</v>
      </c>
      <c r="B1488" t="s">
        <v>1566</v>
      </c>
      <c r="C1488" t="s">
        <v>47</v>
      </c>
      <c r="D1488" t="s">
        <v>73</v>
      </c>
      <c r="E1488" t="s">
        <v>16</v>
      </c>
      <c r="F1488" t="s">
        <v>17</v>
      </c>
      <c r="G1488" t="s">
        <v>32</v>
      </c>
      <c r="H1488" t="s">
        <v>19</v>
      </c>
      <c r="I1488" t="s">
        <v>20</v>
      </c>
      <c r="J1488" s="2">
        <v>300</v>
      </c>
    </row>
    <row r="1489" spans="1:12" ht="19.95" customHeight="1">
      <c r="A1489" t="s">
        <v>1585</v>
      </c>
      <c r="B1489" t="s">
        <v>1566</v>
      </c>
      <c r="C1489" t="s">
        <v>47</v>
      </c>
      <c r="D1489" t="s">
        <v>50</v>
      </c>
      <c r="E1489" t="s">
        <v>16</v>
      </c>
      <c r="F1489" t="s">
        <v>17</v>
      </c>
      <c r="G1489" t="s">
        <v>23</v>
      </c>
      <c r="H1489" t="s">
        <v>19</v>
      </c>
      <c r="I1489" t="s">
        <v>20</v>
      </c>
      <c r="J1489" s="2">
        <v>120</v>
      </c>
    </row>
    <row r="1490" spans="1:12" ht="19.95" customHeight="1">
      <c r="A1490" t="s">
        <v>1586</v>
      </c>
      <c r="B1490" t="s">
        <v>1566</v>
      </c>
      <c r="C1490" t="s">
        <v>47</v>
      </c>
      <c r="D1490" t="s">
        <v>55</v>
      </c>
      <c r="E1490" t="s">
        <v>16</v>
      </c>
      <c r="F1490" t="s">
        <v>35</v>
      </c>
      <c r="G1490" t="s">
        <v>23</v>
      </c>
      <c r="H1490" t="s">
        <v>24</v>
      </c>
      <c r="I1490" t="s">
        <v>20</v>
      </c>
      <c r="J1490" s="2">
        <v>120</v>
      </c>
    </row>
    <row r="1491" spans="1:12" ht="19.95" customHeight="1">
      <c r="A1491" t="s">
        <v>1587</v>
      </c>
      <c r="B1491" t="s">
        <v>1566</v>
      </c>
      <c r="C1491" t="s">
        <v>47</v>
      </c>
      <c r="D1491" t="s">
        <v>62</v>
      </c>
      <c r="E1491" t="s">
        <v>16</v>
      </c>
      <c r="F1491" t="s">
        <v>17</v>
      </c>
      <c r="G1491" t="s">
        <v>32</v>
      </c>
      <c r="H1491" t="s">
        <v>19</v>
      </c>
      <c r="I1491" t="s">
        <v>20</v>
      </c>
      <c r="J1491" s="2">
        <v>300</v>
      </c>
    </row>
    <row r="1492" spans="1:12" ht="19.95" customHeight="1">
      <c r="A1492" t="s">
        <v>1588</v>
      </c>
      <c r="B1492" t="s">
        <v>1566</v>
      </c>
      <c r="C1492" t="s">
        <v>47</v>
      </c>
      <c r="D1492" t="s">
        <v>48</v>
      </c>
      <c r="E1492" t="s">
        <v>16</v>
      </c>
      <c r="F1492" t="s">
        <v>17</v>
      </c>
      <c r="G1492" t="s">
        <v>32</v>
      </c>
      <c r="H1492" t="s">
        <v>19</v>
      </c>
      <c r="I1492" t="s">
        <v>20</v>
      </c>
      <c r="J1492" s="2">
        <v>300</v>
      </c>
    </row>
    <row r="1493" spans="1:12" ht="19.95" customHeight="1">
      <c r="A1493" t="s">
        <v>1589</v>
      </c>
      <c r="B1493" t="s">
        <v>1566</v>
      </c>
      <c r="C1493" t="s">
        <v>47</v>
      </c>
      <c r="D1493" t="s">
        <v>62</v>
      </c>
      <c r="E1493" t="s">
        <v>16</v>
      </c>
      <c r="F1493" t="s">
        <v>35</v>
      </c>
      <c r="G1493" t="s">
        <v>32</v>
      </c>
      <c r="H1493" t="s">
        <v>19</v>
      </c>
      <c r="I1493" t="s">
        <v>20</v>
      </c>
      <c r="J1493" s="2">
        <v>300</v>
      </c>
    </row>
    <row r="1494" spans="1:12" ht="19.95" customHeight="1">
      <c r="A1494" t="s">
        <v>1590</v>
      </c>
      <c r="B1494" t="s">
        <v>1566</v>
      </c>
      <c r="C1494" t="s">
        <v>47</v>
      </c>
      <c r="D1494" t="s">
        <v>152</v>
      </c>
      <c r="E1494" t="s">
        <v>16</v>
      </c>
      <c r="F1494" t="s">
        <v>17</v>
      </c>
      <c r="G1494" t="s">
        <v>23</v>
      </c>
      <c r="H1494" t="s">
        <v>19</v>
      </c>
      <c r="I1494" t="s">
        <v>20</v>
      </c>
      <c r="J1494" s="2">
        <v>90</v>
      </c>
      <c r="L1494" t="s">
        <v>29</v>
      </c>
    </row>
    <row r="1495" spans="1:12" ht="19.95" customHeight="1">
      <c r="A1495" t="s">
        <v>1591</v>
      </c>
      <c r="B1495" t="s">
        <v>1566</v>
      </c>
      <c r="C1495" t="s">
        <v>47</v>
      </c>
      <c r="D1495" t="s">
        <v>66</v>
      </c>
      <c r="E1495" t="s">
        <v>16</v>
      </c>
      <c r="F1495" t="s">
        <v>17</v>
      </c>
      <c r="G1495" t="s">
        <v>23</v>
      </c>
      <c r="H1495" t="s">
        <v>19</v>
      </c>
      <c r="I1495" t="s">
        <v>20</v>
      </c>
      <c r="J1495" s="2">
        <v>120</v>
      </c>
    </row>
    <row r="1496" spans="1:12" ht="19.95" customHeight="1">
      <c r="A1496" t="s">
        <v>1592</v>
      </c>
      <c r="B1496" t="s">
        <v>1566</v>
      </c>
      <c r="C1496" t="s">
        <v>47</v>
      </c>
      <c r="D1496" t="s">
        <v>52</v>
      </c>
      <c r="E1496" t="s">
        <v>16</v>
      </c>
      <c r="F1496" t="s">
        <v>17</v>
      </c>
      <c r="G1496" t="s">
        <v>32</v>
      </c>
      <c r="H1496" t="s">
        <v>19</v>
      </c>
      <c r="I1496" t="s">
        <v>20</v>
      </c>
      <c r="J1496" s="2">
        <v>300</v>
      </c>
    </row>
    <row r="1497" spans="1:12" ht="19.95" customHeight="1">
      <c r="A1497" t="s">
        <v>1593</v>
      </c>
      <c r="B1497" t="s">
        <v>1566</v>
      </c>
      <c r="C1497" t="s">
        <v>47</v>
      </c>
      <c r="D1497" t="s">
        <v>152</v>
      </c>
      <c r="E1497" t="s">
        <v>16</v>
      </c>
      <c r="F1497" t="s">
        <v>17</v>
      </c>
      <c r="G1497" t="s">
        <v>18</v>
      </c>
      <c r="H1497" t="s">
        <v>19</v>
      </c>
      <c r="I1497" t="s">
        <v>20</v>
      </c>
      <c r="J1497" s="2">
        <v>170</v>
      </c>
      <c r="L1497" t="s">
        <v>29</v>
      </c>
    </row>
    <row r="1498" spans="1:12" ht="19.95" customHeight="1">
      <c r="A1498" t="s">
        <v>1594</v>
      </c>
      <c r="B1498" t="s">
        <v>1566</v>
      </c>
      <c r="C1498" t="s">
        <v>47</v>
      </c>
      <c r="D1498" t="s">
        <v>66</v>
      </c>
      <c r="E1498" t="s">
        <v>16</v>
      </c>
      <c r="F1498" t="s">
        <v>17</v>
      </c>
      <c r="G1498" t="s">
        <v>23</v>
      </c>
      <c r="H1498" t="s">
        <v>19</v>
      </c>
      <c r="I1498" t="s">
        <v>20</v>
      </c>
      <c r="J1498" s="2">
        <v>120</v>
      </c>
    </row>
    <row r="1499" spans="1:12" ht="19.95" customHeight="1">
      <c r="A1499" t="s">
        <v>1595</v>
      </c>
      <c r="B1499" t="s">
        <v>1566</v>
      </c>
      <c r="C1499" t="s">
        <v>47</v>
      </c>
      <c r="D1499" t="s">
        <v>148</v>
      </c>
      <c r="E1499" t="s">
        <v>16</v>
      </c>
      <c r="F1499" t="s">
        <v>17</v>
      </c>
      <c r="G1499" t="s">
        <v>23</v>
      </c>
      <c r="H1499" t="s">
        <v>19</v>
      </c>
      <c r="I1499" t="s">
        <v>20</v>
      </c>
      <c r="J1499" s="2">
        <v>120</v>
      </c>
    </row>
    <row r="1500" spans="1:12" ht="19.95" customHeight="1">
      <c r="A1500" t="s">
        <v>1596</v>
      </c>
      <c r="B1500" t="s">
        <v>1566</v>
      </c>
      <c r="C1500" t="s">
        <v>47</v>
      </c>
      <c r="D1500" t="s">
        <v>152</v>
      </c>
      <c r="E1500" t="s">
        <v>16</v>
      </c>
      <c r="F1500" t="s">
        <v>17</v>
      </c>
      <c r="G1500" t="s">
        <v>23</v>
      </c>
      <c r="H1500" t="s">
        <v>19</v>
      </c>
      <c r="I1500" t="s">
        <v>20</v>
      </c>
      <c r="J1500" s="2">
        <v>120</v>
      </c>
    </row>
    <row r="1501" spans="1:12" ht="19.95" customHeight="1">
      <c r="A1501" t="s">
        <v>1597</v>
      </c>
      <c r="B1501" t="s">
        <v>1566</v>
      </c>
      <c r="C1501" t="s">
        <v>47</v>
      </c>
      <c r="D1501" t="s">
        <v>48</v>
      </c>
      <c r="E1501" t="s">
        <v>16</v>
      </c>
      <c r="F1501" t="s">
        <v>17</v>
      </c>
      <c r="G1501" t="s">
        <v>23</v>
      </c>
      <c r="H1501" t="s">
        <v>19</v>
      </c>
      <c r="I1501" t="s">
        <v>20</v>
      </c>
      <c r="J1501" s="2">
        <v>102</v>
      </c>
      <c r="L1501" t="s">
        <v>29</v>
      </c>
    </row>
    <row r="1502" spans="1:12" ht="19.95" customHeight="1">
      <c r="A1502" t="s">
        <v>1598</v>
      </c>
      <c r="B1502" t="s">
        <v>1566</v>
      </c>
      <c r="C1502" t="s">
        <v>47</v>
      </c>
      <c r="D1502" t="s">
        <v>71</v>
      </c>
      <c r="E1502" t="s">
        <v>16</v>
      </c>
      <c r="F1502" t="s">
        <v>17</v>
      </c>
      <c r="G1502" t="s">
        <v>18</v>
      </c>
      <c r="H1502" t="s">
        <v>19</v>
      </c>
      <c r="I1502" t="s">
        <v>20</v>
      </c>
      <c r="J1502" s="2">
        <v>200</v>
      </c>
    </row>
    <row r="1503" spans="1:12" ht="19.95" customHeight="1">
      <c r="A1503" t="s">
        <v>1599</v>
      </c>
      <c r="B1503" t="s">
        <v>1566</v>
      </c>
      <c r="C1503" t="s">
        <v>47</v>
      </c>
      <c r="D1503" t="s">
        <v>71</v>
      </c>
      <c r="E1503" t="s">
        <v>16</v>
      </c>
      <c r="F1503" t="s">
        <v>17</v>
      </c>
      <c r="G1503" t="s">
        <v>23</v>
      </c>
      <c r="H1503" t="s">
        <v>19</v>
      </c>
      <c r="I1503" t="s">
        <v>20</v>
      </c>
      <c r="J1503" s="2">
        <v>102</v>
      </c>
      <c r="L1503" t="s">
        <v>29</v>
      </c>
    </row>
    <row r="1504" spans="1:12" ht="19.95" customHeight="1">
      <c r="A1504" t="s">
        <v>1600</v>
      </c>
      <c r="B1504" t="s">
        <v>1566</v>
      </c>
      <c r="C1504" t="s">
        <v>47</v>
      </c>
      <c r="D1504" t="s">
        <v>66</v>
      </c>
      <c r="E1504" t="s">
        <v>16</v>
      </c>
      <c r="F1504" t="s">
        <v>17</v>
      </c>
      <c r="G1504" t="s">
        <v>32</v>
      </c>
      <c r="H1504" t="s">
        <v>19</v>
      </c>
      <c r="I1504" t="s">
        <v>20</v>
      </c>
      <c r="J1504" s="2">
        <v>300</v>
      </c>
    </row>
    <row r="1505" spans="1:12" ht="19.95" customHeight="1">
      <c r="A1505" t="s">
        <v>1601</v>
      </c>
      <c r="B1505" t="s">
        <v>1566</v>
      </c>
      <c r="C1505" t="s">
        <v>47</v>
      </c>
      <c r="D1505" t="s">
        <v>52</v>
      </c>
      <c r="E1505" t="s">
        <v>16</v>
      </c>
      <c r="F1505" t="s">
        <v>17</v>
      </c>
      <c r="G1505" t="s">
        <v>32</v>
      </c>
      <c r="H1505" t="s">
        <v>19</v>
      </c>
      <c r="I1505" t="s">
        <v>20</v>
      </c>
      <c r="J1505" s="2">
        <v>300</v>
      </c>
    </row>
    <row r="1506" spans="1:12" ht="19.95" customHeight="1">
      <c r="A1506" t="s">
        <v>1602</v>
      </c>
      <c r="B1506" t="s">
        <v>1566</v>
      </c>
      <c r="C1506" t="s">
        <v>78</v>
      </c>
      <c r="D1506" t="s">
        <v>161</v>
      </c>
      <c r="E1506" t="s">
        <v>16</v>
      </c>
      <c r="F1506" t="s">
        <v>17</v>
      </c>
      <c r="G1506" t="s">
        <v>23</v>
      </c>
      <c r="H1506" t="s">
        <v>24</v>
      </c>
      <c r="I1506" t="s">
        <v>20</v>
      </c>
      <c r="J1506" s="2">
        <v>120</v>
      </c>
    </row>
    <row r="1507" spans="1:12" ht="19.95" customHeight="1">
      <c r="A1507" t="s">
        <v>1603</v>
      </c>
      <c r="B1507" t="s">
        <v>1566</v>
      </c>
      <c r="C1507" t="s">
        <v>78</v>
      </c>
      <c r="D1507" t="s">
        <v>93</v>
      </c>
      <c r="E1507" t="s">
        <v>16</v>
      </c>
      <c r="F1507" t="s">
        <v>17</v>
      </c>
      <c r="G1507" t="s">
        <v>18</v>
      </c>
      <c r="H1507" t="s">
        <v>19</v>
      </c>
      <c r="I1507" t="s">
        <v>20</v>
      </c>
      <c r="J1507" s="2">
        <v>200</v>
      </c>
    </row>
    <row r="1508" spans="1:12" ht="19.95" customHeight="1">
      <c r="A1508" t="s">
        <v>1604</v>
      </c>
      <c r="B1508" t="s">
        <v>1566</v>
      </c>
      <c r="C1508" t="s">
        <v>78</v>
      </c>
      <c r="D1508" t="s">
        <v>81</v>
      </c>
      <c r="E1508" t="s">
        <v>16</v>
      </c>
      <c r="F1508" t="s">
        <v>35</v>
      </c>
      <c r="G1508" t="s">
        <v>32</v>
      </c>
      <c r="H1508" t="s">
        <v>19</v>
      </c>
      <c r="I1508" t="s">
        <v>20</v>
      </c>
      <c r="J1508" s="2">
        <v>300</v>
      </c>
    </row>
    <row r="1509" spans="1:12" ht="19.95" customHeight="1">
      <c r="A1509" t="s">
        <v>1605</v>
      </c>
      <c r="B1509" t="s">
        <v>1566</v>
      </c>
      <c r="C1509" t="s">
        <v>78</v>
      </c>
      <c r="D1509" t="s">
        <v>161</v>
      </c>
      <c r="E1509" t="s">
        <v>16</v>
      </c>
      <c r="F1509" t="s">
        <v>35</v>
      </c>
      <c r="G1509" t="s">
        <v>23</v>
      </c>
      <c r="H1509" t="s">
        <v>19</v>
      </c>
      <c r="I1509" t="s">
        <v>74</v>
      </c>
      <c r="J1509" s="2">
        <v>120</v>
      </c>
    </row>
    <row r="1510" spans="1:12" ht="19.95" customHeight="1">
      <c r="A1510" t="s">
        <v>1606</v>
      </c>
      <c r="B1510" t="s">
        <v>1566</v>
      </c>
      <c r="C1510" t="s">
        <v>78</v>
      </c>
      <c r="D1510" t="s">
        <v>89</v>
      </c>
      <c r="E1510" t="s">
        <v>16</v>
      </c>
      <c r="F1510" t="s">
        <v>17</v>
      </c>
      <c r="G1510" t="s">
        <v>32</v>
      </c>
      <c r="H1510" t="s">
        <v>19</v>
      </c>
      <c r="I1510" t="s">
        <v>20</v>
      </c>
      <c r="J1510" s="2">
        <v>300</v>
      </c>
    </row>
    <row r="1511" spans="1:12" ht="19.95" customHeight="1">
      <c r="A1511" t="s">
        <v>1607</v>
      </c>
      <c r="B1511" t="s">
        <v>1566</v>
      </c>
      <c r="C1511" t="s">
        <v>78</v>
      </c>
      <c r="D1511" t="s">
        <v>242</v>
      </c>
      <c r="E1511" t="s">
        <v>16</v>
      </c>
      <c r="F1511" t="s">
        <v>17</v>
      </c>
      <c r="G1511" t="s">
        <v>23</v>
      </c>
      <c r="H1511" t="s">
        <v>24</v>
      </c>
      <c r="I1511" t="s">
        <v>20</v>
      </c>
      <c r="J1511" s="2">
        <v>120</v>
      </c>
    </row>
    <row r="1512" spans="1:12" ht="19.95" customHeight="1">
      <c r="A1512" t="s">
        <v>1608</v>
      </c>
      <c r="B1512" t="s">
        <v>1566</v>
      </c>
      <c r="C1512" t="s">
        <v>78</v>
      </c>
      <c r="D1512" t="s">
        <v>242</v>
      </c>
      <c r="E1512" t="s">
        <v>16</v>
      </c>
      <c r="F1512" t="s">
        <v>17</v>
      </c>
      <c r="G1512" t="s">
        <v>32</v>
      </c>
      <c r="H1512" t="s">
        <v>19</v>
      </c>
      <c r="I1512" t="s">
        <v>20</v>
      </c>
      <c r="J1512" s="2">
        <v>300</v>
      </c>
    </row>
    <row r="1513" spans="1:12" ht="19.95" customHeight="1">
      <c r="A1513" t="s">
        <v>1609</v>
      </c>
      <c r="B1513" t="s">
        <v>1566</v>
      </c>
      <c r="C1513" t="s">
        <v>78</v>
      </c>
      <c r="D1513" t="s">
        <v>161</v>
      </c>
      <c r="E1513" t="s">
        <v>16</v>
      </c>
      <c r="F1513" t="s">
        <v>17</v>
      </c>
      <c r="G1513" t="s">
        <v>18</v>
      </c>
      <c r="H1513" t="s">
        <v>19</v>
      </c>
      <c r="I1513" t="s">
        <v>20</v>
      </c>
      <c r="J1513" s="2">
        <v>200</v>
      </c>
    </row>
    <row r="1514" spans="1:12" ht="19.95" customHeight="1">
      <c r="A1514" t="s">
        <v>1610</v>
      </c>
      <c r="B1514" t="s">
        <v>1566</v>
      </c>
      <c r="C1514" t="s">
        <v>78</v>
      </c>
      <c r="D1514" t="s">
        <v>242</v>
      </c>
      <c r="E1514" t="s">
        <v>16</v>
      </c>
      <c r="F1514" t="s">
        <v>17</v>
      </c>
      <c r="G1514" t="s">
        <v>32</v>
      </c>
      <c r="H1514" t="s">
        <v>19</v>
      </c>
      <c r="I1514" t="s">
        <v>20</v>
      </c>
      <c r="J1514" s="2">
        <v>225</v>
      </c>
      <c r="L1514" t="s">
        <v>29</v>
      </c>
    </row>
    <row r="1515" spans="1:12" ht="19.95" customHeight="1">
      <c r="A1515" t="s">
        <v>1611</v>
      </c>
      <c r="B1515" t="s">
        <v>1566</v>
      </c>
      <c r="C1515" t="s">
        <v>78</v>
      </c>
      <c r="D1515" t="s">
        <v>97</v>
      </c>
      <c r="E1515" t="s">
        <v>16</v>
      </c>
      <c r="F1515" t="s">
        <v>17</v>
      </c>
      <c r="G1515" t="s">
        <v>23</v>
      </c>
      <c r="H1515" t="s">
        <v>24</v>
      </c>
      <c r="I1515" t="s">
        <v>20</v>
      </c>
      <c r="J1515" s="2">
        <v>102</v>
      </c>
      <c r="L1515" t="s">
        <v>29</v>
      </c>
    </row>
    <row r="1516" spans="1:12" ht="19.95" customHeight="1">
      <c r="A1516" t="s">
        <v>1612</v>
      </c>
      <c r="B1516" t="s">
        <v>1566</v>
      </c>
      <c r="C1516" t="s">
        <v>78</v>
      </c>
      <c r="D1516" t="s">
        <v>89</v>
      </c>
      <c r="E1516" t="s">
        <v>16</v>
      </c>
      <c r="F1516" t="s">
        <v>35</v>
      </c>
      <c r="G1516" t="s">
        <v>18</v>
      </c>
      <c r="H1516" t="s">
        <v>19</v>
      </c>
      <c r="I1516" t="s">
        <v>20</v>
      </c>
      <c r="J1516" s="2">
        <v>200</v>
      </c>
    </row>
    <row r="1517" spans="1:12" ht="19.95" customHeight="1">
      <c r="A1517" t="s">
        <v>1613</v>
      </c>
      <c r="B1517" t="s">
        <v>1566</v>
      </c>
      <c r="C1517" t="s">
        <v>78</v>
      </c>
      <c r="D1517" t="s">
        <v>81</v>
      </c>
      <c r="E1517" t="s">
        <v>16</v>
      </c>
      <c r="F1517" t="s">
        <v>17</v>
      </c>
      <c r="G1517" t="s">
        <v>18</v>
      </c>
      <c r="H1517" t="s">
        <v>19</v>
      </c>
      <c r="I1517" t="s">
        <v>20</v>
      </c>
      <c r="J1517" s="2">
        <v>200</v>
      </c>
    </row>
    <row r="1518" spans="1:12" ht="19.95" customHeight="1">
      <c r="A1518" t="s">
        <v>1614</v>
      </c>
      <c r="B1518" t="s">
        <v>1566</v>
      </c>
      <c r="C1518" t="s">
        <v>78</v>
      </c>
      <c r="D1518" t="s">
        <v>161</v>
      </c>
      <c r="E1518" t="s">
        <v>16</v>
      </c>
      <c r="F1518" t="s">
        <v>17</v>
      </c>
      <c r="G1518" t="s">
        <v>32</v>
      </c>
      <c r="H1518" t="s">
        <v>19</v>
      </c>
      <c r="I1518" t="s">
        <v>20</v>
      </c>
      <c r="J1518" s="2">
        <v>300</v>
      </c>
    </row>
    <row r="1519" spans="1:12" ht="19.95" customHeight="1">
      <c r="A1519" t="s">
        <v>1615</v>
      </c>
      <c r="B1519" t="s">
        <v>1566</v>
      </c>
      <c r="C1519" t="s">
        <v>78</v>
      </c>
      <c r="D1519" t="s">
        <v>161</v>
      </c>
      <c r="E1519" t="s">
        <v>16</v>
      </c>
      <c r="F1519" t="s">
        <v>17</v>
      </c>
      <c r="G1519" t="s">
        <v>23</v>
      </c>
      <c r="H1519" t="s">
        <v>19</v>
      </c>
      <c r="I1519" t="s">
        <v>20</v>
      </c>
      <c r="J1519" s="2">
        <v>120</v>
      </c>
    </row>
    <row r="1520" spans="1:12" ht="19.95" customHeight="1">
      <c r="A1520" t="s">
        <v>1616</v>
      </c>
      <c r="B1520" t="s">
        <v>1566</v>
      </c>
      <c r="C1520" t="s">
        <v>78</v>
      </c>
      <c r="D1520" t="s">
        <v>102</v>
      </c>
      <c r="E1520" t="s">
        <v>16</v>
      </c>
      <c r="F1520" t="s">
        <v>17</v>
      </c>
      <c r="G1520" t="s">
        <v>32</v>
      </c>
      <c r="H1520" t="s">
        <v>19</v>
      </c>
      <c r="I1520" t="s">
        <v>20</v>
      </c>
      <c r="J1520" s="2">
        <v>300</v>
      </c>
    </row>
    <row r="1521" spans="1:12" ht="19.95" customHeight="1">
      <c r="A1521" t="s">
        <v>1617</v>
      </c>
      <c r="B1521" t="s">
        <v>1566</v>
      </c>
      <c r="C1521" t="s">
        <v>105</v>
      </c>
      <c r="D1521" t="s">
        <v>265</v>
      </c>
      <c r="E1521" t="s">
        <v>16</v>
      </c>
      <c r="F1521" t="s">
        <v>17</v>
      </c>
      <c r="G1521" t="s">
        <v>32</v>
      </c>
      <c r="H1521" t="s">
        <v>19</v>
      </c>
      <c r="I1521" t="s">
        <v>53</v>
      </c>
      <c r="J1521" s="2">
        <v>225</v>
      </c>
      <c r="L1521" t="s">
        <v>29</v>
      </c>
    </row>
    <row r="1522" spans="1:12" ht="19.95" customHeight="1">
      <c r="A1522" t="s">
        <v>1618</v>
      </c>
      <c r="B1522" t="s">
        <v>1566</v>
      </c>
      <c r="C1522" t="s">
        <v>105</v>
      </c>
      <c r="D1522" t="s">
        <v>120</v>
      </c>
      <c r="E1522" t="s">
        <v>16</v>
      </c>
      <c r="F1522" t="s">
        <v>35</v>
      </c>
      <c r="G1522" t="s">
        <v>23</v>
      </c>
      <c r="H1522" t="s">
        <v>19</v>
      </c>
      <c r="I1522" t="s">
        <v>20</v>
      </c>
      <c r="J1522" s="2">
        <v>120</v>
      </c>
    </row>
    <row r="1523" spans="1:12" ht="19.95" customHeight="1">
      <c r="A1523" t="s">
        <v>1619</v>
      </c>
      <c r="B1523" t="s">
        <v>1566</v>
      </c>
      <c r="C1523" t="s">
        <v>105</v>
      </c>
      <c r="D1523" t="s">
        <v>182</v>
      </c>
      <c r="E1523" t="s">
        <v>16</v>
      </c>
      <c r="F1523" t="s">
        <v>35</v>
      </c>
      <c r="G1523" t="s">
        <v>18</v>
      </c>
      <c r="H1523" t="s">
        <v>19</v>
      </c>
      <c r="I1523" t="s">
        <v>20</v>
      </c>
      <c r="J1523" s="2">
        <v>200</v>
      </c>
    </row>
    <row r="1524" spans="1:12" ht="19.95" customHeight="1">
      <c r="A1524" t="s">
        <v>1620</v>
      </c>
      <c r="B1524" t="s">
        <v>1566</v>
      </c>
      <c r="C1524" t="s">
        <v>105</v>
      </c>
      <c r="D1524" t="s">
        <v>187</v>
      </c>
      <c r="E1524" t="s">
        <v>16</v>
      </c>
      <c r="F1524" t="s">
        <v>17</v>
      </c>
      <c r="G1524" t="s">
        <v>23</v>
      </c>
      <c r="H1524" t="s">
        <v>19</v>
      </c>
      <c r="I1524" t="s">
        <v>20</v>
      </c>
      <c r="J1524" s="2">
        <v>120</v>
      </c>
    </row>
    <row r="1525" spans="1:12" ht="19.95" customHeight="1">
      <c r="A1525" t="s">
        <v>1621</v>
      </c>
      <c r="B1525" t="s">
        <v>1566</v>
      </c>
      <c r="C1525" t="s">
        <v>105</v>
      </c>
      <c r="D1525" t="s">
        <v>265</v>
      </c>
      <c r="E1525" t="s">
        <v>16</v>
      </c>
      <c r="F1525" t="s">
        <v>17</v>
      </c>
      <c r="G1525" t="s">
        <v>23</v>
      </c>
      <c r="H1525" t="s">
        <v>19</v>
      </c>
      <c r="I1525" t="s">
        <v>20</v>
      </c>
      <c r="J1525" s="2">
        <v>120</v>
      </c>
    </row>
    <row r="1526" spans="1:12" ht="19.95" customHeight="1">
      <c r="A1526" t="s">
        <v>1622</v>
      </c>
      <c r="B1526" t="s">
        <v>1566</v>
      </c>
      <c r="C1526" t="s">
        <v>105</v>
      </c>
      <c r="D1526" t="s">
        <v>191</v>
      </c>
      <c r="E1526" t="s">
        <v>16</v>
      </c>
      <c r="F1526" t="s">
        <v>17</v>
      </c>
      <c r="G1526" t="s">
        <v>18</v>
      </c>
      <c r="H1526" t="s">
        <v>19</v>
      </c>
      <c r="I1526" t="s">
        <v>20</v>
      </c>
      <c r="J1526" s="2">
        <v>200</v>
      </c>
    </row>
    <row r="1527" spans="1:12" ht="19.95" customHeight="1">
      <c r="A1527" t="s">
        <v>1623</v>
      </c>
      <c r="B1527" t="s">
        <v>1566</v>
      </c>
      <c r="C1527" t="s">
        <v>105</v>
      </c>
      <c r="D1527" t="s">
        <v>110</v>
      </c>
      <c r="E1527" t="s">
        <v>16</v>
      </c>
      <c r="F1527" t="s">
        <v>17</v>
      </c>
      <c r="G1527" t="s">
        <v>18</v>
      </c>
      <c r="H1527" t="s">
        <v>19</v>
      </c>
      <c r="I1527" t="s">
        <v>20</v>
      </c>
      <c r="J1527" s="2">
        <v>170</v>
      </c>
      <c r="L1527" t="s">
        <v>29</v>
      </c>
    </row>
    <row r="1528" spans="1:12" ht="19.95" customHeight="1">
      <c r="A1528" t="s">
        <v>1624</v>
      </c>
      <c r="B1528" t="s">
        <v>1566</v>
      </c>
      <c r="C1528" t="s">
        <v>105</v>
      </c>
      <c r="D1528" t="s">
        <v>191</v>
      </c>
      <c r="E1528" t="s">
        <v>16</v>
      </c>
      <c r="F1528" t="s">
        <v>35</v>
      </c>
      <c r="G1528" t="s">
        <v>18</v>
      </c>
      <c r="H1528" t="s">
        <v>19</v>
      </c>
      <c r="I1528" t="s">
        <v>20</v>
      </c>
      <c r="J1528" s="2">
        <v>150</v>
      </c>
      <c r="L1528" t="s">
        <v>29</v>
      </c>
    </row>
    <row r="1529" spans="1:12" ht="19.95" customHeight="1">
      <c r="A1529" t="s">
        <v>1625</v>
      </c>
      <c r="B1529" t="s">
        <v>1566</v>
      </c>
      <c r="C1529" t="s">
        <v>105</v>
      </c>
      <c r="D1529" t="s">
        <v>112</v>
      </c>
      <c r="E1529" t="s">
        <v>16</v>
      </c>
      <c r="F1529" t="s">
        <v>35</v>
      </c>
      <c r="G1529" t="s">
        <v>32</v>
      </c>
      <c r="H1529" t="s">
        <v>19</v>
      </c>
      <c r="I1529" t="s">
        <v>20</v>
      </c>
      <c r="J1529" s="2">
        <v>300</v>
      </c>
    </row>
    <row r="1530" spans="1:12" ht="19.95" customHeight="1">
      <c r="A1530" t="s">
        <v>1626</v>
      </c>
      <c r="B1530" t="s">
        <v>1566</v>
      </c>
      <c r="C1530" t="s">
        <v>105</v>
      </c>
      <c r="D1530" t="s">
        <v>187</v>
      </c>
      <c r="E1530" t="s">
        <v>16</v>
      </c>
      <c r="F1530" t="s">
        <v>17</v>
      </c>
      <c r="G1530" t="s">
        <v>32</v>
      </c>
      <c r="H1530" t="s">
        <v>19</v>
      </c>
      <c r="I1530" t="s">
        <v>20</v>
      </c>
      <c r="J1530" s="2">
        <v>300</v>
      </c>
    </row>
    <row r="1531" spans="1:12" ht="19.95" customHeight="1">
      <c r="A1531" t="s">
        <v>1627</v>
      </c>
      <c r="B1531" t="s">
        <v>1566</v>
      </c>
      <c r="C1531" t="s">
        <v>105</v>
      </c>
      <c r="D1531" t="s">
        <v>120</v>
      </c>
      <c r="E1531" t="s">
        <v>16</v>
      </c>
      <c r="F1531" t="s">
        <v>35</v>
      </c>
      <c r="G1531" t="s">
        <v>18</v>
      </c>
      <c r="H1531" t="s">
        <v>19</v>
      </c>
      <c r="I1531" t="s">
        <v>20</v>
      </c>
      <c r="J1531" s="2">
        <v>200</v>
      </c>
    </row>
    <row r="1532" spans="1:12" ht="19.95" customHeight="1">
      <c r="A1532" t="s">
        <v>1628</v>
      </c>
      <c r="B1532" t="s">
        <v>1566</v>
      </c>
      <c r="C1532" t="s">
        <v>105</v>
      </c>
      <c r="D1532" t="s">
        <v>116</v>
      </c>
      <c r="E1532" t="s">
        <v>16</v>
      </c>
      <c r="F1532" t="s">
        <v>35</v>
      </c>
      <c r="G1532" t="s">
        <v>23</v>
      </c>
      <c r="H1532" t="s">
        <v>19</v>
      </c>
      <c r="I1532" t="s">
        <v>20</v>
      </c>
      <c r="J1532" s="2">
        <v>120</v>
      </c>
    </row>
    <row r="1533" spans="1:12" ht="19.95" customHeight="1">
      <c r="A1533" t="s">
        <v>1629</v>
      </c>
      <c r="B1533" t="s">
        <v>1566</v>
      </c>
      <c r="C1533" t="s">
        <v>105</v>
      </c>
      <c r="D1533" t="s">
        <v>194</v>
      </c>
      <c r="E1533" t="s">
        <v>16</v>
      </c>
      <c r="F1533" t="s">
        <v>17</v>
      </c>
      <c r="G1533" t="s">
        <v>23</v>
      </c>
      <c r="H1533" t="s">
        <v>19</v>
      </c>
      <c r="I1533" t="s">
        <v>20</v>
      </c>
      <c r="J1533" s="2">
        <v>120</v>
      </c>
    </row>
    <row r="1534" spans="1:12" ht="19.95" customHeight="1">
      <c r="A1534" t="s">
        <v>1630</v>
      </c>
      <c r="B1534" t="s">
        <v>1566</v>
      </c>
      <c r="C1534" t="s">
        <v>105</v>
      </c>
      <c r="D1534" t="s">
        <v>191</v>
      </c>
      <c r="E1534" t="s">
        <v>16</v>
      </c>
      <c r="F1534" t="s">
        <v>17</v>
      </c>
      <c r="G1534" t="s">
        <v>18</v>
      </c>
      <c r="H1534" t="s">
        <v>19</v>
      </c>
      <c r="I1534" t="s">
        <v>20</v>
      </c>
      <c r="J1534" s="2">
        <v>200</v>
      </c>
    </row>
    <row r="1535" spans="1:12" ht="19.95" customHeight="1">
      <c r="A1535" t="s">
        <v>1631</v>
      </c>
      <c r="B1535" t="s">
        <v>1566</v>
      </c>
      <c r="C1535" t="s">
        <v>105</v>
      </c>
      <c r="D1535" t="s">
        <v>110</v>
      </c>
      <c r="E1535" t="s">
        <v>16</v>
      </c>
      <c r="F1535" t="s">
        <v>17</v>
      </c>
      <c r="G1535" t="s">
        <v>18</v>
      </c>
      <c r="H1535" t="s">
        <v>19</v>
      </c>
      <c r="I1535" t="s">
        <v>20</v>
      </c>
      <c r="J1535" s="2">
        <v>200</v>
      </c>
    </row>
    <row r="1536" spans="1:12" ht="19.95" customHeight="1">
      <c r="A1536" t="s">
        <v>1632</v>
      </c>
      <c r="B1536" t="s">
        <v>1566</v>
      </c>
      <c r="C1536" t="s">
        <v>105</v>
      </c>
      <c r="D1536" t="s">
        <v>187</v>
      </c>
      <c r="E1536" t="s">
        <v>16</v>
      </c>
      <c r="F1536" t="s">
        <v>17</v>
      </c>
      <c r="G1536" t="s">
        <v>32</v>
      </c>
      <c r="H1536" t="s">
        <v>19</v>
      </c>
      <c r="I1536" t="s">
        <v>20</v>
      </c>
      <c r="J1536" s="2">
        <v>300</v>
      </c>
    </row>
    <row r="1537" spans="1:12" ht="19.95" customHeight="1">
      <c r="A1537" t="s">
        <v>1633</v>
      </c>
      <c r="B1537" t="s">
        <v>1566</v>
      </c>
      <c r="C1537" t="s">
        <v>105</v>
      </c>
      <c r="D1537" t="s">
        <v>265</v>
      </c>
      <c r="E1537" t="s">
        <v>16</v>
      </c>
      <c r="F1537" t="s">
        <v>35</v>
      </c>
      <c r="G1537" t="s">
        <v>23</v>
      </c>
      <c r="H1537" t="s">
        <v>19</v>
      </c>
      <c r="I1537" t="s">
        <v>20</v>
      </c>
      <c r="J1537" s="2">
        <v>120</v>
      </c>
    </row>
    <row r="1538" spans="1:12" ht="19.95" customHeight="1">
      <c r="A1538" t="s">
        <v>1634</v>
      </c>
      <c r="B1538" t="s">
        <v>1566</v>
      </c>
      <c r="C1538" t="s">
        <v>105</v>
      </c>
      <c r="D1538" t="s">
        <v>120</v>
      </c>
      <c r="E1538" t="s">
        <v>16</v>
      </c>
      <c r="F1538" t="s">
        <v>17</v>
      </c>
      <c r="G1538" t="s">
        <v>18</v>
      </c>
      <c r="H1538" t="s">
        <v>19</v>
      </c>
      <c r="I1538" t="s">
        <v>20</v>
      </c>
      <c r="J1538" s="2">
        <v>200</v>
      </c>
    </row>
    <row r="1539" spans="1:12" ht="19.95" customHeight="1">
      <c r="A1539" t="s">
        <v>1635</v>
      </c>
      <c r="B1539" t="s">
        <v>1566</v>
      </c>
      <c r="C1539" t="s">
        <v>105</v>
      </c>
      <c r="D1539" t="s">
        <v>194</v>
      </c>
      <c r="E1539" t="s">
        <v>16</v>
      </c>
      <c r="F1539" t="s">
        <v>17</v>
      </c>
      <c r="G1539" t="s">
        <v>32</v>
      </c>
      <c r="H1539" t="s">
        <v>19</v>
      </c>
      <c r="I1539" t="s">
        <v>20</v>
      </c>
      <c r="J1539" s="2">
        <v>300</v>
      </c>
    </row>
    <row r="1540" spans="1:12" ht="19.95" customHeight="1">
      <c r="A1540" t="s">
        <v>1636</v>
      </c>
      <c r="B1540" t="s">
        <v>1566</v>
      </c>
      <c r="C1540" t="s">
        <v>47</v>
      </c>
      <c r="D1540" t="s">
        <v>148</v>
      </c>
      <c r="E1540" t="s">
        <v>402</v>
      </c>
      <c r="F1540" t="s">
        <v>17</v>
      </c>
      <c r="G1540" t="s">
        <v>23</v>
      </c>
      <c r="H1540" t="s">
        <v>19</v>
      </c>
      <c r="I1540" t="s">
        <v>20</v>
      </c>
      <c r="J1540" s="2">
        <v>120</v>
      </c>
      <c r="K1540" t="s">
        <v>1505</v>
      </c>
    </row>
    <row r="1541" spans="1:12" ht="19.95" customHeight="1">
      <c r="A1541" t="s">
        <v>1637</v>
      </c>
      <c r="B1541" t="s">
        <v>1566</v>
      </c>
      <c r="C1541" t="s">
        <v>105</v>
      </c>
      <c r="D1541" t="s">
        <v>116</v>
      </c>
      <c r="E1541" t="s">
        <v>402</v>
      </c>
      <c r="F1541" t="s">
        <v>17</v>
      </c>
      <c r="G1541" t="s">
        <v>32</v>
      </c>
      <c r="H1541" t="s">
        <v>19</v>
      </c>
      <c r="I1541" t="s">
        <v>20</v>
      </c>
      <c r="J1541" s="2">
        <v>300</v>
      </c>
      <c r="K1541" t="s">
        <v>1551</v>
      </c>
    </row>
    <row r="1542" spans="1:12" ht="19.95" customHeight="1">
      <c r="A1542" t="s">
        <v>1638</v>
      </c>
      <c r="B1542" t="s">
        <v>1639</v>
      </c>
      <c r="C1542" t="s">
        <v>14</v>
      </c>
      <c r="D1542" t="s">
        <v>28</v>
      </c>
      <c r="E1542" t="s">
        <v>16</v>
      </c>
      <c r="F1542" t="s">
        <v>17</v>
      </c>
      <c r="G1542" t="s">
        <v>23</v>
      </c>
      <c r="H1542" t="s">
        <v>19</v>
      </c>
      <c r="I1542" t="s">
        <v>20</v>
      </c>
      <c r="J1542" s="2">
        <v>120</v>
      </c>
    </row>
    <row r="1543" spans="1:12" ht="19.95" customHeight="1">
      <c r="A1543" t="s">
        <v>1640</v>
      </c>
      <c r="B1543" t="s">
        <v>1639</v>
      </c>
      <c r="C1543" t="s">
        <v>14</v>
      </c>
      <c r="D1543" t="s">
        <v>137</v>
      </c>
      <c r="E1543" t="s">
        <v>16</v>
      </c>
      <c r="F1543" t="s">
        <v>35</v>
      </c>
      <c r="G1543" t="s">
        <v>18</v>
      </c>
      <c r="H1543" t="s">
        <v>19</v>
      </c>
      <c r="I1543" t="s">
        <v>20</v>
      </c>
      <c r="J1543" s="2">
        <v>200</v>
      </c>
    </row>
    <row r="1544" spans="1:12" ht="19.95" customHeight="1">
      <c r="A1544" t="s">
        <v>1641</v>
      </c>
      <c r="B1544" t="s">
        <v>1639</v>
      </c>
      <c r="C1544" t="s">
        <v>14</v>
      </c>
      <c r="D1544" t="s">
        <v>15</v>
      </c>
      <c r="E1544" t="s">
        <v>16</v>
      </c>
      <c r="F1544" t="s">
        <v>35</v>
      </c>
      <c r="G1544" t="s">
        <v>32</v>
      </c>
      <c r="H1544" t="s">
        <v>19</v>
      </c>
      <c r="I1544" t="s">
        <v>20</v>
      </c>
      <c r="J1544" s="2">
        <v>300</v>
      </c>
    </row>
    <row r="1545" spans="1:12" ht="19.95" customHeight="1">
      <c r="A1545" t="s">
        <v>1642</v>
      </c>
      <c r="B1545" t="s">
        <v>1639</v>
      </c>
      <c r="C1545" t="s">
        <v>14</v>
      </c>
      <c r="D1545" t="s">
        <v>15</v>
      </c>
      <c r="E1545" t="s">
        <v>16</v>
      </c>
      <c r="F1545" t="s">
        <v>17</v>
      </c>
      <c r="G1545" t="s">
        <v>23</v>
      </c>
      <c r="H1545" t="s">
        <v>19</v>
      </c>
      <c r="I1545" t="s">
        <v>20</v>
      </c>
      <c r="J1545" s="2">
        <v>120</v>
      </c>
    </row>
    <row r="1546" spans="1:12" ht="19.95" customHeight="1">
      <c r="A1546" t="s">
        <v>1643</v>
      </c>
      <c r="B1546" t="s">
        <v>1639</v>
      </c>
      <c r="C1546" t="s">
        <v>14</v>
      </c>
      <c r="D1546" t="s">
        <v>42</v>
      </c>
      <c r="E1546" t="s">
        <v>16</v>
      </c>
      <c r="F1546" t="s">
        <v>17</v>
      </c>
      <c r="G1546" t="s">
        <v>18</v>
      </c>
      <c r="H1546" t="s">
        <v>19</v>
      </c>
      <c r="I1546" t="s">
        <v>20</v>
      </c>
      <c r="J1546" s="2">
        <v>200</v>
      </c>
    </row>
    <row r="1547" spans="1:12" ht="19.95" customHeight="1">
      <c r="A1547" t="s">
        <v>1644</v>
      </c>
      <c r="B1547" t="s">
        <v>1639</v>
      </c>
      <c r="C1547" t="s">
        <v>14</v>
      </c>
      <c r="D1547" t="s">
        <v>26</v>
      </c>
      <c r="E1547" t="s">
        <v>16</v>
      </c>
      <c r="F1547" t="s">
        <v>17</v>
      </c>
      <c r="G1547" t="s">
        <v>32</v>
      </c>
      <c r="H1547" t="s">
        <v>19</v>
      </c>
      <c r="I1547" t="s">
        <v>20</v>
      </c>
      <c r="J1547" s="2">
        <v>300</v>
      </c>
    </row>
    <row r="1548" spans="1:12" ht="19.95" customHeight="1">
      <c r="A1548" t="s">
        <v>1645</v>
      </c>
      <c r="B1548" t="s">
        <v>1639</v>
      </c>
      <c r="C1548" t="s">
        <v>14</v>
      </c>
      <c r="D1548" t="s">
        <v>34</v>
      </c>
      <c r="E1548" t="s">
        <v>16</v>
      </c>
      <c r="F1548" t="s">
        <v>17</v>
      </c>
      <c r="G1548" t="s">
        <v>32</v>
      </c>
      <c r="H1548" t="s">
        <v>19</v>
      </c>
      <c r="I1548" t="s">
        <v>20</v>
      </c>
      <c r="J1548" s="2">
        <v>300</v>
      </c>
    </row>
    <row r="1549" spans="1:12" ht="19.95" customHeight="1">
      <c r="A1549" t="s">
        <v>1646</v>
      </c>
      <c r="B1549" t="s">
        <v>1639</v>
      </c>
      <c r="C1549" t="s">
        <v>14</v>
      </c>
      <c r="D1549" t="s">
        <v>137</v>
      </c>
      <c r="E1549" t="s">
        <v>16</v>
      </c>
      <c r="F1549" t="s">
        <v>17</v>
      </c>
      <c r="G1549" t="s">
        <v>32</v>
      </c>
      <c r="H1549" t="s">
        <v>19</v>
      </c>
      <c r="I1549" t="s">
        <v>20</v>
      </c>
      <c r="J1549" s="2">
        <v>300</v>
      </c>
    </row>
    <row r="1550" spans="1:12" ht="19.95" customHeight="1">
      <c r="A1550" t="s">
        <v>1647</v>
      </c>
      <c r="B1550" t="s">
        <v>1639</v>
      </c>
      <c r="C1550" t="s">
        <v>14</v>
      </c>
      <c r="D1550" t="s">
        <v>210</v>
      </c>
      <c r="E1550" t="s">
        <v>16</v>
      </c>
      <c r="F1550" t="s">
        <v>17</v>
      </c>
      <c r="G1550" t="s">
        <v>32</v>
      </c>
      <c r="H1550" t="s">
        <v>19</v>
      </c>
      <c r="I1550" t="s">
        <v>20</v>
      </c>
      <c r="J1550" s="2">
        <v>255</v>
      </c>
      <c r="L1550" t="s">
        <v>29</v>
      </c>
    </row>
    <row r="1551" spans="1:12" ht="19.95" customHeight="1">
      <c r="A1551" t="s">
        <v>1648</v>
      </c>
      <c r="B1551" t="s">
        <v>1639</v>
      </c>
      <c r="C1551" t="s">
        <v>14</v>
      </c>
      <c r="D1551" t="s">
        <v>37</v>
      </c>
      <c r="E1551" t="s">
        <v>16</v>
      </c>
      <c r="F1551" t="s">
        <v>17</v>
      </c>
      <c r="G1551" t="s">
        <v>32</v>
      </c>
      <c r="H1551" t="s">
        <v>19</v>
      </c>
      <c r="I1551" t="s">
        <v>20</v>
      </c>
      <c r="J1551" s="2">
        <v>300</v>
      </c>
    </row>
    <row r="1552" spans="1:12" ht="19.95" customHeight="1">
      <c r="A1552" t="s">
        <v>1649</v>
      </c>
      <c r="B1552" t="s">
        <v>1639</v>
      </c>
      <c r="C1552" t="s">
        <v>14</v>
      </c>
      <c r="D1552" t="s">
        <v>131</v>
      </c>
      <c r="E1552" t="s">
        <v>16</v>
      </c>
      <c r="F1552" t="s">
        <v>17</v>
      </c>
      <c r="G1552" t="s">
        <v>32</v>
      </c>
      <c r="H1552" t="s">
        <v>19</v>
      </c>
      <c r="I1552" t="s">
        <v>20</v>
      </c>
      <c r="J1552" s="2">
        <v>300</v>
      </c>
    </row>
    <row r="1553" spans="1:12" ht="19.95" customHeight="1">
      <c r="A1553" t="s">
        <v>1650</v>
      </c>
      <c r="B1553" t="s">
        <v>1639</v>
      </c>
      <c r="C1553" t="s">
        <v>14</v>
      </c>
      <c r="D1553" t="s">
        <v>137</v>
      </c>
      <c r="E1553" t="s">
        <v>16</v>
      </c>
      <c r="F1553" t="s">
        <v>17</v>
      </c>
      <c r="G1553" t="s">
        <v>23</v>
      </c>
      <c r="H1553" t="s">
        <v>19</v>
      </c>
      <c r="I1553" t="s">
        <v>20</v>
      </c>
      <c r="J1553" s="2">
        <v>90</v>
      </c>
      <c r="L1553" t="s">
        <v>29</v>
      </c>
    </row>
    <row r="1554" spans="1:12" ht="19.95" customHeight="1">
      <c r="A1554" t="s">
        <v>1651</v>
      </c>
      <c r="B1554" t="s">
        <v>1639</v>
      </c>
      <c r="C1554" t="s">
        <v>14</v>
      </c>
      <c r="D1554" t="s">
        <v>22</v>
      </c>
      <c r="E1554" t="s">
        <v>16</v>
      </c>
      <c r="F1554" t="s">
        <v>17</v>
      </c>
      <c r="G1554" t="s">
        <v>32</v>
      </c>
      <c r="H1554" t="s">
        <v>19</v>
      </c>
      <c r="I1554" t="s">
        <v>20</v>
      </c>
      <c r="J1554" s="2">
        <v>300</v>
      </c>
    </row>
    <row r="1555" spans="1:12" ht="19.95" customHeight="1">
      <c r="A1555" t="s">
        <v>1652</v>
      </c>
      <c r="B1555" t="s">
        <v>1639</v>
      </c>
      <c r="C1555" t="s">
        <v>14</v>
      </c>
      <c r="D1555" t="s">
        <v>34</v>
      </c>
      <c r="E1555" t="s">
        <v>16</v>
      </c>
      <c r="F1555" t="s">
        <v>17</v>
      </c>
      <c r="G1555" t="s">
        <v>23</v>
      </c>
      <c r="H1555" t="s">
        <v>19</v>
      </c>
      <c r="I1555" t="s">
        <v>20</v>
      </c>
      <c r="J1555" s="2">
        <v>120</v>
      </c>
    </row>
    <row r="1556" spans="1:12" ht="19.95" customHeight="1">
      <c r="A1556" t="s">
        <v>1653</v>
      </c>
      <c r="B1556" t="s">
        <v>1639</v>
      </c>
      <c r="C1556" t="s">
        <v>47</v>
      </c>
      <c r="D1556" t="s">
        <v>59</v>
      </c>
      <c r="E1556" t="s">
        <v>16</v>
      </c>
      <c r="F1556" t="s">
        <v>17</v>
      </c>
      <c r="G1556" t="s">
        <v>23</v>
      </c>
      <c r="H1556" t="s">
        <v>19</v>
      </c>
      <c r="I1556" t="s">
        <v>20</v>
      </c>
      <c r="J1556" s="2">
        <v>120</v>
      </c>
    </row>
    <row r="1557" spans="1:12" ht="19.95" customHeight="1">
      <c r="A1557" t="s">
        <v>1654</v>
      </c>
      <c r="B1557" t="s">
        <v>1639</v>
      </c>
      <c r="C1557" t="s">
        <v>47</v>
      </c>
      <c r="D1557" t="s">
        <v>66</v>
      </c>
      <c r="E1557" t="s">
        <v>16</v>
      </c>
      <c r="F1557" t="s">
        <v>35</v>
      </c>
      <c r="G1557" t="s">
        <v>18</v>
      </c>
      <c r="H1557" t="s">
        <v>19</v>
      </c>
      <c r="I1557" t="s">
        <v>20</v>
      </c>
      <c r="J1557" s="2">
        <v>200</v>
      </c>
    </row>
    <row r="1558" spans="1:12" ht="19.95" customHeight="1">
      <c r="A1558" t="s">
        <v>1655</v>
      </c>
      <c r="B1558" t="s">
        <v>1639</v>
      </c>
      <c r="C1558" t="s">
        <v>47</v>
      </c>
      <c r="D1558" t="s">
        <v>48</v>
      </c>
      <c r="E1558" t="s">
        <v>16</v>
      </c>
      <c r="F1558" t="s">
        <v>17</v>
      </c>
      <c r="G1558" t="s">
        <v>18</v>
      </c>
      <c r="H1558" t="s">
        <v>19</v>
      </c>
      <c r="I1558" t="s">
        <v>20</v>
      </c>
      <c r="J1558" s="2">
        <v>150</v>
      </c>
      <c r="L1558" t="s">
        <v>29</v>
      </c>
    </row>
    <row r="1559" spans="1:12" ht="19.95" customHeight="1">
      <c r="A1559" t="s">
        <v>1656</v>
      </c>
      <c r="B1559" t="s">
        <v>1639</v>
      </c>
      <c r="C1559" t="s">
        <v>47</v>
      </c>
      <c r="D1559" t="s">
        <v>48</v>
      </c>
      <c r="E1559" t="s">
        <v>16</v>
      </c>
      <c r="F1559" t="s">
        <v>17</v>
      </c>
      <c r="G1559" t="s">
        <v>23</v>
      </c>
      <c r="H1559" t="s">
        <v>19</v>
      </c>
      <c r="I1559" t="s">
        <v>20</v>
      </c>
      <c r="J1559" s="2">
        <v>120</v>
      </c>
    </row>
    <row r="1560" spans="1:12" ht="19.95" customHeight="1">
      <c r="A1560" t="s">
        <v>1657</v>
      </c>
      <c r="B1560" t="s">
        <v>1639</v>
      </c>
      <c r="C1560" t="s">
        <v>47</v>
      </c>
      <c r="D1560" t="s">
        <v>71</v>
      </c>
      <c r="E1560" t="s">
        <v>16</v>
      </c>
      <c r="F1560" t="s">
        <v>17</v>
      </c>
      <c r="G1560" t="s">
        <v>23</v>
      </c>
      <c r="H1560" t="s">
        <v>19</v>
      </c>
      <c r="I1560" t="s">
        <v>20</v>
      </c>
      <c r="J1560" s="2">
        <v>90</v>
      </c>
      <c r="L1560" t="s">
        <v>29</v>
      </c>
    </row>
    <row r="1561" spans="1:12" ht="19.95" customHeight="1">
      <c r="A1561" t="s">
        <v>1658</v>
      </c>
      <c r="B1561" t="s">
        <v>1639</v>
      </c>
      <c r="C1561" t="s">
        <v>47</v>
      </c>
      <c r="D1561" t="s">
        <v>62</v>
      </c>
      <c r="E1561" t="s">
        <v>16</v>
      </c>
      <c r="F1561" t="s">
        <v>35</v>
      </c>
      <c r="G1561" t="s">
        <v>32</v>
      </c>
      <c r="H1561" t="s">
        <v>19</v>
      </c>
      <c r="I1561" t="s">
        <v>74</v>
      </c>
      <c r="J1561" s="2">
        <v>300</v>
      </c>
    </row>
    <row r="1562" spans="1:12" ht="19.95" customHeight="1">
      <c r="A1562" t="s">
        <v>1659</v>
      </c>
      <c r="B1562" t="s">
        <v>1639</v>
      </c>
      <c r="C1562" t="s">
        <v>47</v>
      </c>
      <c r="D1562" t="s">
        <v>59</v>
      </c>
      <c r="E1562" t="s">
        <v>16</v>
      </c>
      <c r="F1562" t="s">
        <v>17</v>
      </c>
      <c r="G1562" t="s">
        <v>23</v>
      </c>
      <c r="H1562" t="s">
        <v>19</v>
      </c>
      <c r="I1562" t="s">
        <v>20</v>
      </c>
      <c r="J1562" s="2">
        <v>120</v>
      </c>
    </row>
    <row r="1563" spans="1:12" ht="19.95" customHeight="1">
      <c r="A1563" t="s">
        <v>1660</v>
      </c>
      <c r="B1563" t="s">
        <v>1639</v>
      </c>
      <c r="C1563" t="s">
        <v>47</v>
      </c>
      <c r="D1563" t="s">
        <v>148</v>
      </c>
      <c r="E1563" t="s">
        <v>16</v>
      </c>
      <c r="F1563" t="s">
        <v>17</v>
      </c>
      <c r="G1563" t="s">
        <v>18</v>
      </c>
      <c r="H1563" t="s">
        <v>19</v>
      </c>
      <c r="I1563" t="s">
        <v>20</v>
      </c>
      <c r="J1563" s="2">
        <v>200</v>
      </c>
    </row>
    <row r="1564" spans="1:12" ht="19.95" customHeight="1">
      <c r="A1564" t="s">
        <v>1661</v>
      </c>
      <c r="B1564" t="s">
        <v>1639</v>
      </c>
      <c r="C1564" t="s">
        <v>47</v>
      </c>
      <c r="D1564" t="s">
        <v>152</v>
      </c>
      <c r="E1564" t="s">
        <v>16</v>
      </c>
      <c r="F1564" t="s">
        <v>17</v>
      </c>
      <c r="G1564" t="s">
        <v>18</v>
      </c>
      <c r="H1564" t="s">
        <v>19</v>
      </c>
      <c r="I1564" t="s">
        <v>20</v>
      </c>
      <c r="J1564" s="2">
        <v>200</v>
      </c>
    </row>
    <row r="1565" spans="1:12" ht="19.95" customHeight="1">
      <c r="A1565" t="s">
        <v>1662</v>
      </c>
      <c r="B1565" t="s">
        <v>1639</v>
      </c>
      <c r="C1565" t="s">
        <v>47</v>
      </c>
      <c r="D1565" t="s">
        <v>152</v>
      </c>
      <c r="E1565" t="s">
        <v>16</v>
      </c>
      <c r="F1565" t="s">
        <v>17</v>
      </c>
      <c r="G1565" t="s">
        <v>32</v>
      </c>
      <c r="H1565" t="s">
        <v>19</v>
      </c>
      <c r="I1565" t="s">
        <v>53</v>
      </c>
      <c r="J1565" s="2">
        <v>225</v>
      </c>
      <c r="L1565" t="s">
        <v>29</v>
      </c>
    </row>
    <row r="1566" spans="1:12" ht="19.95" customHeight="1">
      <c r="A1566" t="s">
        <v>1663</v>
      </c>
      <c r="B1566" t="s">
        <v>1639</v>
      </c>
      <c r="C1566" t="s">
        <v>47</v>
      </c>
      <c r="D1566" t="s">
        <v>52</v>
      </c>
      <c r="E1566" t="s">
        <v>16</v>
      </c>
      <c r="F1566" t="s">
        <v>17</v>
      </c>
      <c r="G1566" t="s">
        <v>18</v>
      </c>
      <c r="H1566" t="s">
        <v>19</v>
      </c>
      <c r="I1566" t="s">
        <v>53</v>
      </c>
      <c r="J1566" s="2">
        <v>200</v>
      </c>
    </row>
    <row r="1567" spans="1:12" ht="19.95" customHeight="1">
      <c r="A1567" t="s">
        <v>1664</v>
      </c>
      <c r="B1567" t="s">
        <v>1639</v>
      </c>
      <c r="C1567" t="s">
        <v>47</v>
      </c>
      <c r="D1567" t="s">
        <v>148</v>
      </c>
      <c r="E1567" t="s">
        <v>16</v>
      </c>
      <c r="F1567" t="s">
        <v>17</v>
      </c>
      <c r="G1567" t="s">
        <v>18</v>
      </c>
      <c r="H1567" t="s">
        <v>19</v>
      </c>
      <c r="I1567" t="s">
        <v>20</v>
      </c>
      <c r="J1567" s="2">
        <v>200</v>
      </c>
    </row>
    <row r="1568" spans="1:12" ht="19.95" customHeight="1">
      <c r="A1568" t="s">
        <v>1665</v>
      </c>
      <c r="B1568" t="s">
        <v>1639</v>
      </c>
      <c r="C1568" t="s">
        <v>47</v>
      </c>
      <c r="D1568" t="s">
        <v>48</v>
      </c>
      <c r="E1568" t="s">
        <v>16</v>
      </c>
      <c r="F1568" t="s">
        <v>17</v>
      </c>
      <c r="G1568" t="s">
        <v>32</v>
      </c>
      <c r="H1568" t="s">
        <v>19</v>
      </c>
      <c r="I1568" t="s">
        <v>20</v>
      </c>
      <c r="J1568" s="2">
        <v>225</v>
      </c>
      <c r="L1568" t="s">
        <v>29</v>
      </c>
    </row>
    <row r="1569" spans="1:12" ht="19.95" customHeight="1">
      <c r="A1569" t="s">
        <v>1666</v>
      </c>
      <c r="B1569" t="s">
        <v>1639</v>
      </c>
      <c r="C1569" t="s">
        <v>47</v>
      </c>
      <c r="D1569" t="s">
        <v>50</v>
      </c>
      <c r="E1569" t="s">
        <v>16</v>
      </c>
      <c r="F1569" t="s">
        <v>17</v>
      </c>
      <c r="G1569" t="s">
        <v>18</v>
      </c>
      <c r="H1569" t="s">
        <v>19</v>
      </c>
      <c r="I1569" t="s">
        <v>20</v>
      </c>
      <c r="J1569" s="2">
        <v>200</v>
      </c>
    </row>
    <row r="1570" spans="1:12" ht="19.95" customHeight="1">
      <c r="A1570" t="s">
        <v>1667</v>
      </c>
      <c r="B1570" t="s">
        <v>1639</v>
      </c>
      <c r="C1570" t="s">
        <v>47</v>
      </c>
      <c r="D1570" t="s">
        <v>48</v>
      </c>
      <c r="E1570" t="s">
        <v>16</v>
      </c>
      <c r="F1570" t="s">
        <v>17</v>
      </c>
      <c r="G1570" t="s">
        <v>23</v>
      </c>
      <c r="H1570" t="s">
        <v>19</v>
      </c>
      <c r="I1570" t="s">
        <v>20</v>
      </c>
      <c r="J1570" s="2">
        <v>120</v>
      </c>
    </row>
    <row r="1571" spans="1:12" ht="19.95" customHeight="1">
      <c r="A1571" t="s">
        <v>1668</v>
      </c>
      <c r="B1571" t="s">
        <v>1639</v>
      </c>
      <c r="C1571" t="s">
        <v>47</v>
      </c>
      <c r="D1571" t="s">
        <v>59</v>
      </c>
      <c r="E1571" t="s">
        <v>16</v>
      </c>
      <c r="F1571" t="s">
        <v>35</v>
      </c>
      <c r="G1571" t="s">
        <v>18</v>
      </c>
      <c r="H1571" t="s">
        <v>19</v>
      </c>
      <c r="I1571" t="s">
        <v>20</v>
      </c>
      <c r="J1571" s="2">
        <v>200</v>
      </c>
    </row>
    <row r="1572" spans="1:12" ht="19.95" customHeight="1">
      <c r="A1572" t="s">
        <v>1669</v>
      </c>
      <c r="B1572" t="s">
        <v>1639</v>
      </c>
      <c r="C1572" t="s">
        <v>47</v>
      </c>
      <c r="D1572" t="s">
        <v>50</v>
      </c>
      <c r="E1572" t="s">
        <v>16</v>
      </c>
      <c r="F1572" t="s">
        <v>17</v>
      </c>
      <c r="G1572" t="s">
        <v>18</v>
      </c>
      <c r="H1572" t="s">
        <v>19</v>
      </c>
      <c r="I1572" t="s">
        <v>20</v>
      </c>
      <c r="J1572" s="2">
        <v>200</v>
      </c>
    </row>
    <row r="1573" spans="1:12" ht="19.95" customHeight="1">
      <c r="A1573" t="s">
        <v>1670</v>
      </c>
      <c r="B1573" t="s">
        <v>1639</v>
      </c>
      <c r="C1573" t="s">
        <v>47</v>
      </c>
      <c r="D1573" t="s">
        <v>52</v>
      </c>
      <c r="E1573" t="s">
        <v>16</v>
      </c>
      <c r="F1573" t="s">
        <v>17</v>
      </c>
      <c r="G1573" t="s">
        <v>32</v>
      </c>
      <c r="H1573" t="s">
        <v>19</v>
      </c>
      <c r="I1573" t="s">
        <v>20</v>
      </c>
      <c r="J1573" s="2">
        <v>300</v>
      </c>
    </row>
    <row r="1574" spans="1:12" ht="19.95" customHeight="1">
      <c r="A1574" t="s">
        <v>1671</v>
      </c>
      <c r="B1574" t="s">
        <v>1639</v>
      </c>
      <c r="C1574" t="s">
        <v>47</v>
      </c>
      <c r="D1574" t="s">
        <v>64</v>
      </c>
      <c r="E1574" t="s">
        <v>16</v>
      </c>
      <c r="F1574" t="s">
        <v>17</v>
      </c>
      <c r="G1574" t="s">
        <v>32</v>
      </c>
      <c r="H1574" t="s">
        <v>19</v>
      </c>
      <c r="I1574" t="s">
        <v>20</v>
      </c>
      <c r="J1574" s="2">
        <v>300</v>
      </c>
    </row>
    <row r="1575" spans="1:12" ht="19.95" customHeight="1">
      <c r="A1575" t="s">
        <v>1672</v>
      </c>
      <c r="B1575" t="s">
        <v>1639</v>
      </c>
      <c r="C1575" t="s">
        <v>78</v>
      </c>
      <c r="D1575" t="s">
        <v>85</v>
      </c>
      <c r="E1575" t="s">
        <v>16</v>
      </c>
      <c r="F1575" t="s">
        <v>35</v>
      </c>
      <c r="G1575" t="s">
        <v>32</v>
      </c>
      <c r="H1575" t="s">
        <v>24</v>
      </c>
      <c r="I1575" t="s">
        <v>20</v>
      </c>
      <c r="J1575" s="2">
        <v>300</v>
      </c>
    </row>
    <row r="1576" spans="1:12" ht="19.95" customHeight="1">
      <c r="A1576" t="s">
        <v>1673</v>
      </c>
      <c r="B1576" t="s">
        <v>1639</v>
      </c>
      <c r="C1576" t="s">
        <v>78</v>
      </c>
      <c r="D1576" t="s">
        <v>161</v>
      </c>
      <c r="E1576" t="s">
        <v>16</v>
      </c>
      <c r="F1576" t="s">
        <v>17</v>
      </c>
      <c r="G1576" t="s">
        <v>18</v>
      </c>
      <c r="H1576" t="s">
        <v>19</v>
      </c>
      <c r="I1576" t="s">
        <v>20</v>
      </c>
      <c r="J1576" s="2">
        <v>200</v>
      </c>
    </row>
    <row r="1577" spans="1:12" ht="19.95" customHeight="1">
      <c r="A1577" t="s">
        <v>1674</v>
      </c>
      <c r="B1577" t="s">
        <v>1639</v>
      </c>
      <c r="C1577" t="s">
        <v>78</v>
      </c>
      <c r="D1577" t="s">
        <v>93</v>
      </c>
      <c r="E1577" t="s">
        <v>16</v>
      </c>
      <c r="F1577" t="s">
        <v>17</v>
      </c>
      <c r="G1577" t="s">
        <v>32</v>
      </c>
      <c r="H1577" t="s">
        <v>19</v>
      </c>
      <c r="I1577" t="s">
        <v>20</v>
      </c>
      <c r="J1577" s="2">
        <v>300</v>
      </c>
    </row>
    <row r="1578" spans="1:12" ht="19.95" customHeight="1">
      <c r="A1578" t="s">
        <v>1675</v>
      </c>
      <c r="B1578" t="s">
        <v>1639</v>
      </c>
      <c r="C1578" t="s">
        <v>78</v>
      </c>
      <c r="D1578" t="s">
        <v>97</v>
      </c>
      <c r="E1578" t="s">
        <v>16</v>
      </c>
      <c r="F1578" t="s">
        <v>17</v>
      </c>
      <c r="G1578" t="s">
        <v>23</v>
      </c>
      <c r="H1578" t="s">
        <v>19</v>
      </c>
      <c r="I1578" t="s">
        <v>53</v>
      </c>
      <c r="J1578" s="2">
        <v>102</v>
      </c>
      <c r="L1578" t="s">
        <v>29</v>
      </c>
    </row>
    <row r="1579" spans="1:12" ht="19.95" customHeight="1">
      <c r="A1579" t="s">
        <v>1676</v>
      </c>
      <c r="B1579" t="s">
        <v>1639</v>
      </c>
      <c r="C1579" t="s">
        <v>78</v>
      </c>
      <c r="D1579" t="s">
        <v>83</v>
      </c>
      <c r="E1579" t="s">
        <v>16</v>
      </c>
      <c r="F1579" t="s">
        <v>17</v>
      </c>
      <c r="G1579" t="s">
        <v>32</v>
      </c>
      <c r="H1579" t="s">
        <v>19</v>
      </c>
      <c r="I1579" t="s">
        <v>20</v>
      </c>
      <c r="J1579" s="2">
        <v>300</v>
      </c>
    </row>
    <row r="1580" spans="1:12" ht="19.95" customHeight="1">
      <c r="A1580" t="s">
        <v>1677</v>
      </c>
      <c r="B1580" t="s">
        <v>1639</v>
      </c>
      <c r="C1580" t="s">
        <v>78</v>
      </c>
      <c r="D1580" t="s">
        <v>97</v>
      </c>
      <c r="E1580" t="s">
        <v>16</v>
      </c>
      <c r="F1580" t="s">
        <v>17</v>
      </c>
      <c r="G1580" t="s">
        <v>18</v>
      </c>
      <c r="H1580" t="s">
        <v>19</v>
      </c>
      <c r="I1580" t="s">
        <v>20</v>
      </c>
      <c r="J1580" s="2">
        <v>200</v>
      </c>
    </row>
    <row r="1581" spans="1:12" ht="19.95" customHeight="1">
      <c r="A1581" t="s">
        <v>1678</v>
      </c>
      <c r="B1581" t="s">
        <v>1639</v>
      </c>
      <c r="C1581" t="s">
        <v>78</v>
      </c>
      <c r="D1581" t="s">
        <v>97</v>
      </c>
      <c r="E1581" t="s">
        <v>16</v>
      </c>
      <c r="F1581" t="s">
        <v>35</v>
      </c>
      <c r="G1581" t="s">
        <v>23</v>
      </c>
      <c r="H1581" t="s">
        <v>19</v>
      </c>
      <c r="I1581" t="s">
        <v>53</v>
      </c>
      <c r="J1581" s="2">
        <v>120</v>
      </c>
    </row>
    <row r="1582" spans="1:12" ht="19.95" customHeight="1">
      <c r="A1582" t="s">
        <v>1679</v>
      </c>
      <c r="B1582" t="s">
        <v>1639</v>
      </c>
      <c r="C1582" t="s">
        <v>78</v>
      </c>
      <c r="D1582" t="s">
        <v>102</v>
      </c>
      <c r="E1582" t="s">
        <v>16</v>
      </c>
      <c r="F1582" t="s">
        <v>17</v>
      </c>
      <c r="G1582" t="s">
        <v>32</v>
      </c>
      <c r="H1582" t="s">
        <v>19</v>
      </c>
      <c r="I1582" t="s">
        <v>20</v>
      </c>
      <c r="J1582" s="2">
        <v>300</v>
      </c>
    </row>
    <row r="1583" spans="1:12" ht="19.95" customHeight="1">
      <c r="A1583" t="s">
        <v>1680</v>
      </c>
      <c r="B1583" t="s">
        <v>1639</v>
      </c>
      <c r="C1583" t="s">
        <v>78</v>
      </c>
      <c r="D1583" t="s">
        <v>87</v>
      </c>
      <c r="E1583" t="s">
        <v>16</v>
      </c>
      <c r="F1583" t="s">
        <v>17</v>
      </c>
      <c r="G1583" t="s">
        <v>32</v>
      </c>
      <c r="H1583" t="s">
        <v>19</v>
      </c>
      <c r="I1583" t="s">
        <v>74</v>
      </c>
      <c r="J1583" s="2">
        <v>300</v>
      </c>
    </row>
    <row r="1584" spans="1:12" ht="19.95" customHeight="1">
      <c r="A1584" t="s">
        <v>1681</v>
      </c>
      <c r="B1584" t="s">
        <v>1639</v>
      </c>
      <c r="C1584" t="s">
        <v>78</v>
      </c>
      <c r="D1584" t="s">
        <v>163</v>
      </c>
      <c r="E1584" t="s">
        <v>16</v>
      </c>
      <c r="F1584" t="s">
        <v>17</v>
      </c>
      <c r="G1584" t="s">
        <v>23</v>
      </c>
      <c r="H1584" t="s">
        <v>19</v>
      </c>
      <c r="I1584" t="s">
        <v>20</v>
      </c>
      <c r="J1584" s="2">
        <v>120</v>
      </c>
    </row>
    <row r="1585" spans="1:12" ht="19.95" customHeight="1">
      <c r="A1585" t="s">
        <v>1682</v>
      </c>
      <c r="B1585" t="s">
        <v>1639</v>
      </c>
      <c r="C1585" t="s">
        <v>78</v>
      </c>
      <c r="D1585" t="s">
        <v>89</v>
      </c>
      <c r="E1585" t="s">
        <v>16</v>
      </c>
      <c r="F1585" t="s">
        <v>35</v>
      </c>
      <c r="G1585" t="s">
        <v>18</v>
      </c>
      <c r="H1585" t="s">
        <v>19</v>
      </c>
      <c r="I1585" t="s">
        <v>20</v>
      </c>
      <c r="J1585" s="2">
        <v>170</v>
      </c>
      <c r="L1585" t="s">
        <v>29</v>
      </c>
    </row>
    <row r="1586" spans="1:12" ht="19.95" customHeight="1">
      <c r="A1586" t="s">
        <v>1683</v>
      </c>
      <c r="B1586" t="s">
        <v>1639</v>
      </c>
      <c r="C1586" t="s">
        <v>78</v>
      </c>
      <c r="D1586" t="s">
        <v>83</v>
      </c>
      <c r="E1586" t="s">
        <v>16</v>
      </c>
      <c r="F1586" t="s">
        <v>35</v>
      </c>
      <c r="G1586" t="s">
        <v>18</v>
      </c>
      <c r="H1586" t="s">
        <v>24</v>
      </c>
      <c r="I1586" t="s">
        <v>20</v>
      </c>
      <c r="J1586" s="2">
        <v>200</v>
      </c>
    </row>
    <row r="1587" spans="1:12" ht="19.95" customHeight="1">
      <c r="A1587" t="s">
        <v>1684</v>
      </c>
      <c r="B1587" t="s">
        <v>1639</v>
      </c>
      <c r="C1587" t="s">
        <v>78</v>
      </c>
      <c r="D1587" t="s">
        <v>89</v>
      </c>
      <c r="E1587" t="s">
        <v>16</v>
      </c>
      <c r="F1587" t="s">
        <v>17</v>
      </c>
      <c r="G1587" t="s">
        <v>18</v>
      </c>
      <c r="H1587" t="s">
        <v>19</v>
      </c>
      <c r="I1587" t="s">
        <v>20</v>
      </c>
      <c r="J1587" s="2">
        <v>200</v>
      </c>
    </row>
    <row r="1588" spans="1:12" ht="19.95" customHeight="1">
      <c r="A1588" t="s">
        <v>1685</v>
      </c>
      <c r="B1588" t="s">
        <v>1639</v>
      </c>
      <c r="C1588" t="s">
        <v>105</v>
      </c>
      <c r="D1588" t="s">
        <v>118</v>
      </c>
      <c r="E1588" t="s">
        <v>16</v>
      </c>
      <c r="F1588" t="s">
        <v>17</v>
      </c>
      <c r="G1588" t="s">
        <v>18</v>
      </c>
      <c r="H1588" t="s">
        <v>19</v>
      </c>
      <c r="I1588" t="s">
        <v>74</v>
      </c>
      <c r="J1588" s="2">
        <v>200</v>
      </c>
    </row>
    <row r="1589" spans="1:12" ht="19.95" customHeight="1">
      <c r="A1589" t="s">
        <v>1686</v>
      </c>
      <c r="B1589" t="s">
        <v>1639</v>
      </c>
      <c r="C1589" t="s">
        <v>105</v>
      </c>
      <c r="D1589" t="s">
        <v>120</v>
      </c>
      <c r="E1589" t="s">
        <v>16</v>
      </c>
      <c r="F1589" t="s">
        <v>17</v>
      </c>
      <c r="G1589" t="s">
        <v>32</v>
      </c>
      <c r="H1589" t="s">
        <v>19</v>
      </c>
      <c r="I1589" t="s">
        <v>20</v>
      </c>
      <c r="J1589" s="2">
        <v>300</v>
      </c>
    </row>
    <row r="1590" spans="1:12" ht="19.95" customHeight="1">
      <c r="A1590" t="s">
        <v>1687</v>
      </c>
      <c r="B1590" t="s">
        <v>1639</v>
      </c>
      <c r="C1590" t="s">
        <v>105</v>
      </c>
      <c r="D1590" t="s">
        <v>191</v>
      </c>
      <c r="E1590" t="s">
        <v>16</v>
      </c>
      <c r="F1590" t="s">
        <v>17</v>
      </c>
      <c r="G1590" t="s">
        <v>23</v>
      </c>
      <c r="H1590" t="s">
        <v>19</v>
      </c>
      <c r="I1590" t="s">
        <v>20</v>
      </c>
      <c r="J1590" s="2">
        <v>120</v>
      </c>
    </row>
    <row r="1591" spans="1:12" ht="19.95" customHeight="1">
      <c r="A1591" t="s">
        <v>1688</v>
      </c>
      <c r="B1591" t="s">
        <v>1639</v>
      </c>
      <c r="C1591" t="s">
        <v>105</v>
      </c>
      <c r="D1591" t="s">
        <v>118</v>
      </c>
      <c r="E1591" t="s">
        <v>16</v>
      </c>
      <c r="F1591" t="s">
        <v>17</v>
      </c>
      <c r="G1591" t="s">
        <v>32</v>
      </c>
      <c r="H1591" t="s">
        <v>19</v>
      </c>
      <c r="I1591" t="s">
        <v>20</v>
      </c>
      <c r="J1591" s="2">
        <v>300</v>
      </c>
    </row>
    <row r="1592" spans="1:12" ht="19.95" customHeight="1">
      <c r="A1592" t="s">
        <v>1689</v>
      </c>
      <c r="B1592" t="s">
        <v>1639</v>
      </c>
      <c r="C1592" t="s">
        <v>105</v>
      </c>
      <c r="D1592" t="s">
        <v>191</v>
      </c>
      <c r="E1592" t="s">
        <v>16</v>
      </c>
      <c r="F1592" t="s">
        <v>17</v>
      </c>
      <c r="G1592" t="s">
        <v>18</v>
      </c>
      <c r="H1592" t="s">
        <v>19</v>
      </c>
      <c r="I1592" t="s">
        <v>20</v>
      </c>
      <c r="J1592" s="2">
        <v>200</v>
      </c>
    </row>
    <row r="1593" spans="1:12" ht="19.95" customHeight="1">
      <c r="A1593" t="s">
        <v>1690</v>
      </c>
      <c r="B1593" t="s">
        <v>1639</v>
      </c>
      <c r="C1593" t="s">
        <v>105</v>
      </c>
      <c r="D1593" t="s">
        <v>187</v>
      </c>
      <c r="E1593" t="s">
        <v>16</v>
      </c>
      <c r="F1593" t="s">
        <v>17</v>
      </c>
      <c r="G1593" t="s">
        <v>23</v>
      </c>
      <c r="H1593" t="s">
        <v>19</v>
      </c>
      <c r="I1593" t="s">
        <v>20</v>
      </c>
      <c r="J1593" s="2">
        <v>120</v>
      </c>
    </row>
    <row r="1594" spans="1:12" ht="19.95" customHeight="1">
      <c r="A1594" t="s">
        <v>1691</v>
      </c>
      <c r="B1594" t="s">
        <v>1639</v>
      </c>
      <c r="C1594" t="s">
        <v>105</v>
      </c>
      <c r="D1594" t="s">
        <v>265</v>
      </c>
      <c r="E1594" t="s">
        <v>16</v>
      </c>
      <c r="F1594" t="s">
        <v>17</v>
      </c>
      <c r="G1594" t="s">
        <v>23</v>
      </c>
      <c r="H1594" t="s">
        <v>19</v>
      </c>
      <c r="I1594" t="s">
        <v>20</v>
      </c>
      <c r="J1594" s="2">
        <v>120</v>
      </c>
    </row>
    <row r="1595" spans="1:12" ht="19.95" customHeight="1">
      <c r="A1595" t="s">
        <v>1692</v>
      </c>
      <c r="B1595" t="s">
        <v>1639</v>
      </c>
      <c r="C1595" t="s">
        <v>105</v>
      </c>
      <c r="D1595" t="s">
        <v>265</v>
      </c>
      <c r="E1595" t="s">
        <v>16</v>
      </c>
      <c r="F1595" t="s">
        <v>35</v>
      </c>
      <c r="G1595" t="s">
        <v>32</v>
      </c>
      <c r="H1595" t="s">
        <v>19</v>
      </c>
      <c r="I1595" t="s">
        <v>20</v>
      </c>
      <c r="J1595" s="2">
        <v>300</v>
      </c>
    </row>
    <row r="1596" spans="1:12" ht="19.95" customHeight="1">
      <c r="A1596" t="s">
        <v>1693</v>
      </c>
      <c r="B1596" t="s">
        <v>1639</v>
      </c>
      <c r="C1596" t="s">
        <v>105</v>
      </c>
      <c r="D1596" t="s">
        <v>187</v>
      </c>
      <c r="E1596" t="s">
        <v>16</v>
      </c>
      <c r="F1596" t="s">
        <v>17</v>
      </c>
      <c r="G1596" t="s">
        <v>18</v>
      </c>
      <c r="H1596" t="s">
        <v>19</v>
      </c>
      <c r="I1596" t="s">
        <v>20</v>
      </c>
      <c r="J1596" s="2">
        <v>200</v>
      </c>
    </row>
    <row r="1597" spans="1:12" ht="19.95" customHeight="1">
      <c r="A1597" t="s">
        <v>1694</v>
      </c>
      <c r="B1597" t="s">
        <v>1639</v>
      </c>
      <c r="C1597" t="s">
        <v>105</v>
      </c>
      <c r="D1597" t="s">
        <v>110</v>
      </c>
      <c r="E1597" t="s">
        <v>16</v>
      </c>
      <c r="F1597" t="s">
        <v>35</v>
      </c>
      <c r="G1597" t="s">
        <v>23</v>
      </c>
      <c r="H1597" t="s">
        <v>19</v>
      </c>
      <c r="I1597" t="s">
        <v>20</v>
      </c>
      <c r="J1597" s="2">
        <v>120</v>
      </c>
    </row>
    <row r="1598" spans="1:12" ht="19.95" customHeight="1">
      <c r="A1598" t="s">
        <v>1695</v>
      </c>
      <c r="B1598" t="s">
        <v>1639</v>
      </c>
      <c r="C1598" t="s">
        <v>105</v>
      </c>
      <c r="D1598" t="s">
        <v>191</v>
      </c>
      <c r="E1598" t="s">
        <v>16</v>
      </c>
      <c r="F1598" t="s">
        <v>17</v>
      </c>
      <c r="G1598" t="s">
        <v>23</v>
      </c>
      <c r="H1598" t="s">
        <v>19</v>
      </c>
      <c r="I1598" t="s">
        <v>20</v>
      </c>
      <c r="J1598" s="2">
        <v>120</v>
      </c>
    </row>
    <row r="1599" spans="1:12" ht="19.95" customHeight="1">
      <c r="A1599" t="s">
        <v>1696</v>
      </c>
      <c r="B1599" t="s">
        <v>1639</v>
      </c>
      <c r="C1599" t="s">
        <v>105</v>
      </c>
      <c r="D1599" t="s">
        <v>108</v>
      </c>
      <c r="E1599" t="s">
        <v>16</v>
      </c>
      <c r="F1599" t="s">
        <v>35</v>
      </c>
      <c r="G1599" t="s">
        <v>32</v>
      </c>
      <c r="H1599" t="s">
        <v>24</v>
      </c>
      <c r="I1599" t="s">
        <v>20</v>
      </c>
      <c r="J1599" s="2">
        <v>300</v>
      </c>
    </row>
    <row r="1600" spans="1:12" ht="19.95" customHeight="1">
      <c r="A1600" t="s">
        <v>1697</v>
      </c>
      <c r="B1600" t="s">
        <v>1639</v>
      </c>
      <c r="C1600" t="s">
        <v>105</v>
      </c>
      <c r="D1600" t="s">
        <v>191</v>
      </c>
      <c r="E1600" t="s">
        <v>16</v>
      </c>
      <c r="F1600" t="s">
        <v>17</v>
      </c>
      <c r="G1600" t="s">
        <v>18</v>
      </c>
      <c r="H1600" t="s">
        <v>19</v>
      </c>
      <c r="I1600" t="s">
        <v>20</v>
      </c>
      <c r="J1600" s="2">
        <v>170</v>
      </c>
      <c r="L1600" t="s">
        <v>29</v>
      </c>
    </row>
    <row r="1601" spans="1:12" ht="19.95" customHeight="1">
      <c r="A1601" t="s">
        <v>1698</v>
      </c>
      <c r="B1601" t="s">
        <v>1639</v>
      </c>
      <c r="C1601" t="s">
        <v>105</v>
      </c>
      <c r="D1601" t="s">
        <v>191</v>
      </c>
      <c r="E1601" t="s">
        <v>16</v>
      </c>
      <c r="F1601" t="s">
        <v>17</v>
      </c>
      <c r="G1601" t="s">
        <v>18</v>
      </c>
      <c r="H1601" t="s">
        <v>19</v>
      </c>
      <c r="I1601" t="s">
        <v>20</v>
      </c>
      <c r="J1601" s="2">
        <v>200</v>
      </c>
    </row>
    <row r="1602" spans="1:12" ht="19.95" customHeight="1">
      <c r="A1602" t="s">
        <v>1699</v>
      </c>
      <c r="B1602" t="s">
        <v>1639</v>
      </c>
      <c r="C1602" t="s">
        <v>105</v>
      </c>
      <c r="D1602" t="s">
        <v>108</v>
      </c>
      <c r="E1602" t="s">
        <v>16</v>
      </c>
      <c r="F1602" t="s">
        <v>35</v>
      </c>
      <c r="G1602" t="s">
        <v>23</v>
      </c>
      <c r="H1602" t="s">
        <v>24</v>
      </c>
      <c r="I1602" t="s">
        <v>20</v>
      </c>
      <c r="J1602" s="2">
        <v>120</v>
      </c>
    </row>
    <row r="1603" spans="1:12" ht="19.95" customHeight="1">
      <c r="A1603" t="s">
        <v>1700</v>
      </c>
      <c r="B1603" t="s">
        <v>1639</v>
      </c>
      <c r="C1603" t="s">
        <v>47</v>
      </c>
      <c r="D1603" t="s">
        <v>55</v>
      </c>
      <c r="E1603" t="s">
        <v>402</v>
      </c>
      <c r="F1603" t="s">
        <v>17</v>
      </c>
      <c r="G1603" t="s">
        <v>23</v>
      </c>
      <c r="H1603" t="s">
        <v>19</v>
      </c>
      <c r="I1603" t="s">
        <v>20</v>
      </c>
      <c r="J1603" s="2">
        <v>120</v>
      </c>
      <c r="K1603" t="s">
        <v>1591</v>
      </c>
    </row>
    <row r="1604" spans="1:12" ht="19.95" customHeight="1">
      <c r="A1604" t="s">
        <v>1701</v>
      </c>
      <c r="B1604" t="s">
        <v>1639</v>
      </c>
      <c r="C1604" t="s">
        <v>47</v>
      </c>
      <c r="D1604" t="s">
        <v>59</v>
      </c>
      <c r="E1604" t="s">
        <v>402</v>
      </c>
      <c r="F1604" t="s">
        <v>17</v>
      </c>
      <c r="G1604" t="s">
        <v>23</v>
      </c>
      <c r="H1604" t="s">
        <v>19</v>
      </c>
      <c r="I1604" t="s">
        <v>20</v>
      </c>
      <c r="J1604" s="2">
        <v>120</v>
      </c>
      <c r="K1604" t="s">
        <v>1512</v>
      </c>
    </row>
    <row r="1605" spans="1:12" ht="19.95" customHeight="1">
      <c r="A1605" t="s">
        <v>1702</v>
      </c>
      <c r="B1605" t="s">
        <v>1639</v>
      </c>
      <c r="C1605" t="s">
        <v>78</v>
      </c>
      <c r="D1605" t="s">
        <v>163</v>
      </c>
      <c r="E1605" t="s">
        <v>402</v>
      </c>
      <c r="F1605" t="s">
        <v>35</v>
      </c>
      <c r="G1605" t="s">
        <v>18</v>
      </c>
      <c r="H1605" t="s">
        <v>19</v>
      </c>
      <c r="I1605" t="s">
        <v>20</v>
      </c>
      <c r="J1605" s="2">
        <v>200</v>
      </c>
      <c r="K1605" t="s">
        <v>1612</v>
      </c>
    </row>
    <row r="1606" spans="1:12" ht="19.95" customHeight="1">
      <c r="A1606" t="s">
        <v>1703</v>
      </c>
      <c r="B1606" t="s">
        <v>1704</v>
      </c>
      <c r="C1606" t="s">
        <v>14</v>
      </c>
      <c r="D1606" t="s">
        <v>131</v>
      </c>
      <c r="E1606" t="s">
        <v>16</v>
      </c>
      <c r="F1606" t="s">
        <v>35</v>
      </c>
      <c r="G1606" t="s">
        <v>23</v>
      </c>
      <c r="H1606" t="s">
        <v>19</v>
      </c>
      <c r="I1606" t="s">
        <v>20</v>
      </c>
      <c r="J1606" s="2">
        <v>120</v>
      </c>
    </row>
    <row r="1607" spans="1:12" ht="19.95" customHeight="1">
      <c r="A1607" t="s">
        <v>1705</v>
      </c>
      <c r="B1607" t="s">
        <v>1704</v>
      </c>
      <c r="C1607" t="s">
        <v>14</v>
      </c>
      <c r="D1607" t="s">
        <v>31</v>
      </c>
      <c r="E1607" t="s">
        <v>16</v>
      </c>
      <c r="F1607" t="s">
        <v>17</v>
      </c>
      <c r="G1607" t="s">
        <v>18</v>
      </c>
      <c r="H1607" t="s">
        <v>19</v>
      </c>
      <c r="I1607" t="s">
        <v>20</v>
      </c>
      <c r="J1607" s="2">
        <v>170</v>
      </c>
      <c r="L1607" t="s">
        <v>29</v>
      </c>
    </row>
    <row r="1608" spans="1:12" ht="19.95" customHeight="1">
      <c r="A1608" t="s">
        <v>1706</v>
      </c>
      <c r="B1608" t="s">
        <v>1704</v>
      </c>
      <c r="C1608" t="s">
        <v>14</v>
      </c>
      <c r="D1608" t="s">
        <v>15</v>
      </c>
      <c r="E1608" t="s">
        <v>16</v>
      </c>
      <c r="F1608" t="s">
        <v>17</v>
      </c>
      <c r="G1608" t="s">
        <v>32</v>
      </c>
      <c r="H1608" t="s">
        <v>19</v>
      </c>
      <c r="I1608" t="s">
        <v>20</v>
      </c>
      <c r="J1608" s="2">
        <v>300</v>
      </c>
    </row>
    <row r="1609" spans="1:12" ht="19.95" customHeight="1">
      <c r="A1609" t="s">
        <v>1707</v>
      </c>
      <c r="B1609" t="s">
        <v>1704</v>
      </c>
      <c r="C1609" t="s">
        <v>14</v>
      </c>
      <c r="D1609" t="s">
        <v>131</v>
      </c>
      <c r="E1609" t="s">
        <v>16</v>
      </c>
      <c r="F1609" t="s">
        <v>17</v>
      </c>
      <c r="G1609" t="s">
        <v>18</v>
      </c>
      <c r="H1609" t="s">
        <v>19</v>
      </c>
      <c r="I1609" t="s">
        <v>20</v>
      </c>
      <c r="J1609" s="2">
        <v>200</v>
      </c>
    </row>
    <row r="1610" spans="1:12" ht="19.95" customHeight="1">
      <c r="A1610" t="s">
        <v>1708</v>
      </c>
      <c r="B1610" t="s">
        <v>1704</v>
      </c>
      <c r="C1610" t="s">
        <v>14</v>
      </c>
      <c r="D1610" t="s">
        <v>28</v>
      </c>
      <c r="E1610" t="s">
        <v>16</v>
      </c>
      <c r="F1610" t="s">
        <v>17</v>
      </c>
      <c r="G1610" t="s">
        <v>23</v>
      </c>
      <c r="H1610" t="s">
        <v>19</v>
      </c>
      <c r="I1610" t="s">
        <v>20</v>
      </c>
      <c r="J1610" s="2">
        <v>120</v>
      </c>
    </row>
    <row r="1611" spans="1:12" ht="19.95" customHeight="1">
      <c r="A1611" t="s">
        <v>1709</v>
      </c>
      <c r="B1611" t="s">
        <v>1704</v>
      </c>
      <c r="C1611" t="s">
        <v>14</v>
      </c>
      <c r="D1611" t="s">
        <v>137</v>
      </c>
      <c r="E1611" t="s">
        <v>16</v>
      </c>
      <c r="F1611" t="s">
        <v>17</v>
      </c>
      <c r="G1611" t="s">
        <v>23</v>
      </c>
      <c r="H1611" t="s">
        <v>19</v>
      </c>
      <c r="I1611" t="s">
        <v>20</v>
      </c>
      <c r="J1611" s="2">
        <v>120</v>
      </c>
    </row>
    <row r="1612" spans="1:12" ht="19.95" customHeight="1">
      <c r="A1612" t="s">
        <v>1710</v>
      </c>
      <c r="B1612" t="s">
        <v>1704</v>
      </c>
      <c r="C1612" t="s">
        <v>14</v>
      </c>
      <c r="D1612" t="s">
        <v>22</v>
      </c>
      <c r="E1612" t="s">
        <v>16</v>
      </c>
      <c r="F1612" t="s">
        <v>17</v>
      </c>
      <c r="G1612" t="s">
        <v>23</v>
      </c>
      <c r="H1612" t="s">
        <v>19</v>
      </c>
      <c r="I1612" t="s">
        <v>20</v>
      </c>
      <c r="J1612" s="2">
        <v>120</v>
      </c>
    </row>
    <row r="1613" spans="1:12" ht="19.95" customHeight="1">
      <c r="A1613" t="s">
        <v>1711</v>
      </c>
      <c r="B1613" t="s">
        <v>1704</v>
      </c>
      <c r="C1613" t="s">
        <v>14</v>
      </c>
      <c r="D1613" t="s">
        <v>131</v>
      </c>
      <c r="E1613" t="s">
        <v>16</v>
      </c>
      <c r="F1613" t="s">
        <v>17</v>
      </c>
      <c r="G1613" t="s">
        <v>23</v>
      </c>
      <c r="H1613" t="s">
        <v>24</v>
      </c>
      <c r="I1613" t="s">
        <v>20</v>
      </c>
      <c r="J1613" s="2">
        <v>102</v>
      </c>
      <c r="L1613" t="s">
        <v>29</v>
      </c>
    </row>
    <row r="1614" spans="1:12" ht="19.95" customHeight="1">
      <c r="A1614" t="s">
        <v>1712</v>
      </c>
      <c r="B1614" t="s">
        <v>1704</v>
      </c>
      <c r="C1614" t="s">
        <v>14</v>
      </c>
      <c r="D1614" t="s">
        <v>15</v>
      </c>
      <c r="E1614" t="s">
        <v>16</v>
      </c>
      <c r="F1614" t="s">
        <v>35</v>
      </c>
      <c r="G1614" t="s">
        <v>32</v>
      </c>
      <c r="H1614" t="s">
        <v>19</v>
      </c>
      <c r="I1614" t="s">
        <v>20</v>
      </c>
      <c r="J1614" s="2">
        <v>300</v>
      </c>
    </row>
    <row r="1615" spans="1:12" ht="19.95" customHeight="1">
      <c r="A1615" t="s">
        <v>1713</v>
      </c>
      <c r="B1615" t="s">
        <v>1704</v>
      </c>
      <c r="C1615" t="s">
        <v>14</v>
      </c>
      <c r="D1615" t="s">
        <v>28</v>
      </c>
      <c r="E1615" t="s">
        <v>16</v>
      </c>
      <c r="F1615" t="s">
        <v>17</v>
      </c>
      <c r="G1615" t="s">
        <v>18</v>
      </c>
      <c r="H1615" t="s">
        <v>19</v>
      </c>
      <c r="I1615" t="s">
        <v>53</v>
      </c>
      <c r="J1615" s="2">
        <v>200</v>
      </c>
    </row>
    <row r="1616" spans="1:12" ht="19.95" customHeight="1">
      <c r="A1616" t="s">
        <v>1714</v>
      </c>
      <c r="B1616" t="s">
        <v>1704</v>
      </c>
      <c r="C1616" t="s">
        <v>14</v>
      </c>
      <c r="D1616" t="s">
        <v>26</v>
      </c>
      <c r="E1616" t="s">
        <v>16</v>
      </c>
      <c r="F1616" t="s">
        <v>17</v>
      </c>
      <c r="G1616" t="s">
        <v>18</v>
      </c>
      <c r="H1616" t="s">
        <v>19</v>
      </c>
      <c r="I1616" t="s">
        <v>20</v>
      </c>
      <c r="J1616" s="2">
        <v>200</v>
      </c>
    </row>
    <row r="1617" spans="1:12" ht="19.95" customHeight="1">
      <c r="A1617" t="s">
        <v>1715</v>
      </c>
      <c r="B1617" t="s">
        <v>1704</v>
      </c>
      <c r="C1617" t="s">
        <v>14</v>
      </c>
      <c r="D1617" t="s">
        <v>26</v>
      </c>
      <c r="E1617" t="s">
        <v>16</v>
      </c>
      <c r="F1617" t="s">
        <v>17</v>
      </c>
      <c r="G1617" t="s">
        <v>23</v>
      </c>
      <c r="H1617" t="s">
        <v>24</v>
      </c>
      <c r="I1617" t="s">
        <v>20</v>
      </c>
      <c r="J1617" s="2">
        <v>120</v>
      </c>
    </row>
    <row r="1618" spans="1:12" ht="19.95" customHeight="1">
      <c r="A1618" t="s">
        <v>1716</v>
      </c>
      <c r="B1618" t="s">
        <v>1704</v>
      </c>
      <c r="C1618" t="s">
        <v>14</v>
      </c>
      <c r="D1618" t="s">
        <v>37</v>
      </c>
      <c r="E1618" t="s">
        <v>16</v>
      </c>
      <c r="F1618" t="s">
        <v>35</v>
      </c>
      <c r="G1618" t="s">
        <v>18</v>
      </c>
      <c r="H1618" t="s">
        <v>19</v>
      </c>
      <c r="I1618" t="s">
        <v>20</v>
      </c>
      <c r="J1618" s="2">
        <v>200</v>
      </c>
    </row>
    <row r="1619" spans="1:12" ht="19.95" customHeight="1">
      <c r="A1619" t="s">
        <v>1717</v>
      </c>
      <c r="B1619" t="s">
        <v>1704</v>
      </c>
      <c r="C1619" t="s">
        <v>14</v>
      </c>
      <c r="D1619" t="s">
        <v>22</v>
      </c>
      <c r="E1619" t="s">
        <v>16</v>
      </c>
      <c r="F1619" t="s">
        <v>17</v>
      </c>
      <c r="G1619" t="s">
        <v>23</v>
      </c>
      <c r="H1619" t="s">
        <v>24</v>
      </c>
      <c r="I1619" t="s">
        <v>20</v>
      </c>
      <c r="J1619" s="2">
        <v>120</v>
      </c>
    </row>
    <row r="1620" spans="1:12" ht="19.95" customHeight="1">
      <c r="A1620" t="s">
        <v>1718</v>
      </c>
      <c r="B1620" t="s">
        <v>1704</v>
      </c>
      <c r="C1620" t="s">
        <v>14</v>
      </c>
      <c r="D1620" t="s">
        <v>131</v>
      </c>
      <c r="E1620" t="s">
        <v>16</v>
      </c>
      <c r="F1620" t="s">
        <v>17</v>
      </c>
      <c r="G1620" t="s">
        <v>18</v>
      </c>
      <c r="H1620" t="s">
        <v>19</v>
      </c>
      <c r="I1620" t="s">
        <v>20</v>
      </c>
      <c r="J1620" s="2">
        <v>200</v>
      </c>
    </row>
    <row r="1621" spans="1:12" ht="19.95" customHeight="1">
      <c r="A1621" t="s">
        <v>1719</v>
      </c>
      <c r="B1621" t="s">
        <v>1704</v>
      </c>
      <c r="C1621" t="s">
        <v>14</v>
      </c>
      <c r="D1621" t="s">
        <v>34</v>
      </c>
      <c r="E1621" t="s">
        <v>16</v>
      </c>
      <c r="F1621" t="s">
        <v>17</v>
      </c>
      <c r="G1621" t="s">
        <v>32</v>
      </c>
      <c r="H1621" t="s">
        <v>19</v>
      </c>
      <c r="I1621" t="s">
        <v>20</v>
      </c>
      <c r="J1621" s="2">
        <v>225</v>
      </c>
      <c r="L1621" t="s">
        <v>29</v>
      </c>
    </row>
    <row r="1622" spans="1:12" ht="19.95" customHeight="1">
      <c r="A1622" t="s">
        <v>1720</v>
      </c>
      <c r="B1622" t="s">
        <v>1704</v>
      </c>
      <c r="C1622" t="s">
        <v>47</v>
      </c>
      <c r="D1622" t="s">
        <v>48</v>
      </c>
      <c r="E1622" t="s">
        <v>16</v>
      </c>
      <c r="F1622" t="s">
        <v>17</v>
      </c>
      <c r="G1622" t="s">
        <v>18</v>
      </c>
      <c r="H1622" t="s">
        <v>24</v>
      </c>
      <c r="I1622" t="s">
        <v>20</v>
      </c>
      <c r="J1622" s="2">
        <v>200</v>
      </c>
    </row>
    <row r="1623" spans="1:12" ht="19.95" customHeight="1">
      <c r="A1623" t="s">
        <v>1721</v>
      </c>
      <c r="B1623" t="s">
        <v>1704</v>
      </c>
      <c r="C1623" t="s">
        <v>47</v>
      </c>
      <c r="D1623" t="s">
        <v>64</v>
      </c>
      <c r="E1623" t="s">
        <v>16</v>
      </c>
      <c r="F1623" t="s">
        <v>17</v>
      </c>
      <c r="G1623" t="s">
        <v>32</v>
      </c>
      <c r="H1623" t="s">
        <v>19</v>
      </c>
      <c r="I1623" t="s">
        <v>20</v>
      </c>
      <c r="J1623" s="2">
        <v>300</v>
      </c>
    </row>
    <row r="1624" spans="1:12" ht="19.95" customHeight="1">
      <c r="A1624" t="s">
        <v>1722</v>
      </c>
      <c r="B1624" t="s">
        <v>1704</v>
      </c>
      <c r="C1624" t="s">
        <v>47</v>
      </c>
      <c r="D1624" t="s">
        <v>64</v>
      </c>
      <c r="E1624" t="s">
        <v>16</v>
      </c>
      <c r="F1624" t="s">
        <v>17</v>
      </c>
      <c r="G1624" t="s">
        <v>18</v>
      </c>
      <c r="H1624" t="s">
        <v>24</v>
      </c>
      <c r="I1624" t="s">
        <v>20</v>
      </c>
      <c r="J1624" s="2">
        <v>200</v>
      </c>
    </row>
    <row r="1625" spans="1:12" ht="19.95" customHeight="1">
      <c r="A1625" t="s">
        <v>1723</v>
      </c>
      <c r="B1625" t="s">
        <v>1704</v>
      </c>
      <c r="C1625" t="s">
        <v>47</v>
      </c>
      <c r="D1625" t="s">
        <v>62</v>
      </c>
      <c r="E1625" t="s">
        <v>16</v>
      </c>
      <c r="F1625" t="s">
        <v>17</v>
      </c>
      <c r="G1625" t="s">
        <v>23</v>
      </c>
      <c r="H1625" t="s">
        <v>19</v>
      </c>
      <c r="I1625" t="s">
        <v>20</v>
      </c>
      <c r="J1625" s="2">
        <v>90</v>
      </c>
      <c r="L1625" t="s">
        <v>29</v>
      </c>
    </row>
    <row r="1626" spans="1:12" ht="19.95" customHeight="1">
      <c r="A1626" t="s">
        <v>1724</v>
      </c>
      <c r="B1626" t="s">
        <v>1704</v>
      </c>
      <c r="C1626" t="s">
        <v>47</v>
      </c>
      <c r="D1626" t="s">
        <v>66</v>
      </c>
      <c r="E1626" t="s">
        <v>16</v>
      </c>
      <c r="F1626" t="s">
        <v>17</v>
      </c>
      <c r="G1626" t="s">
        <v>32</v>
      </c>
      <c r="H1626" t="s">
        <v>19</v>
      </c>
      <c r="I1626" t="s">
        <v>20</v>
      </c>
      <c r="J1626" s="2">
        <v>300</v>
      </c>
    </row>
    <row r="1627" spans="1:12" ht="19.95" customHeight="1">
      <c r="A1627" t="s">
        <v>1725</v>
      </c>
      <c r="B1627" t="s">
        <v>1704</v>
      </c>
      <c r="C1627" t="s">
        <v>47</v>
      </c>
      <c r="D1627" t="s">
        <v>55</v>
      </c>
      <c r="E1627" t="s">
        <v>16</v>
      </c>
      <c r="F1627" t="s">
        <v>17</v>
      </c>
      <c r="G1627" t="s">
        <v>23</v>
      </c>
      <c r="H1627" t="s">
        <v>19</v>
      </c>
      <c r="I1627" t="s">
        <v>20</v>
      </c>
      <c r="J1627" s="2">
        <v>120</v>
      </c>
    </row>
    <row r="1628" spans="1:12" ht="19.95" customHeight="1">
      <c r="A1628" t="s">
        <v>1726</v>
      </c>
      <c r="B1628" t="s">
        <v>1704</v>
      </c>
      <c r="C1628" t="s">
        <v>47</v>
      </c>
      <c r="D1628" t="s">
        <v>62</v>
      </c>
      <c r="E1628" t="s">
        <v>16</v>
      </c>
      <c r="F1628" t="s">
        <v>17</v>
      </c>
      <c r="G1628" t="s">
        <v>18</v>
      </c>
      <c r="H1628" t="s">
        <v>19</v>
      </c>
      <c r="I1628" t="s">
        <v>20</v>
      </c>
      <c r="J1628" s="2">
        <v>200</v>
      </c>
    </row>
    <row r="1629" spans="1:12" ht="19.95" customHeight="1">
      <c r="A1629" t="s">
        <v>1727</v>
      </c>
      <c r="B1629" t="s">
        <v>1704</v>
      </c>
      <c r="C1629" t="s">
        <v>47</v>
      </c>
      <c r="D1629" t="s">
        <v>55</v>
      </c>
      <c r="E1629" t="s">
        <v>16</v>
      </c>
      <c r="F1629" t="s">
        <v>17</v>
      </c>
      <c r="G1629" t="s">
        <v>32</v>
      </c>
      <c r="H1629" t="s">
        <v>19</v>
      </c>
      <c r="I1629" t="s">
        <v>20</v>
      </c>
      <c r="J1629" s="2">
        <v>300</v>
      </c>
    </row>
    <row r="1630" spans="1:12" ht="19.95" customHeight="1">
      <c r="A1630" t="s">
        <v>1728</v>
      </c>
      <c r="B1630" t="s">
        <v>1704</v>
      </c>
      <c r="C1630" t="s">
        <v>47</v>
      </c>
      <c r="D1630" t="s">
        <v>66</v>
      </c>
      <c r="E1630" t="s">
        <v>16</v>
      </c>
      <c r="F1630" t="s">
        <v>17</v>
      </c>
      <c r="G1630" t="s">
        <v>18</v>
      </c>
      <c r="H1630" t="s">
        <v>19</v>
      </c>
      <c r="I1630" t="s">
        <v>20</v>
      </c>
      <c r="J1630" s="2">
        <v>200</v>
      </c>
    </row>
    <row r="1631" spans="1:12" ht="19.95" customHeight="1">
      <c r="A1631" t="s">
        <v>1729</v>
      </c>
      <c r="B1631" t="s">
        <v>1704</v>
      </c>
      <c r="C1631" t="s">
        <v>47</v>
      </c>
      <c r="D1631" t="s">
        <v>71</v>
      </c>
      <c r="E1631" t="s">
        <v>16</v>
      </c>
      <c r="F1631" t="s">
        <v>17</v>
      </c>
      <c r="G1631" t="s">
        <v>32</v>
      </c>
      <c r="H1631" t="s">
        <v>19</v>
      </c>
      <c r="I1631" t="s">
        <v>20</v>
      </c>
      <c r="J1631" s="2">
        <v>300</v>
      </c>
    </row>
    <row r="1632" spans="1:12" ht="19.95" customHeight="1">
      <c r="A1632" t="s">
        <v>1730</v>
      </c>
      <c r="B1632" t="s">
        <v>1704</v>
      </c>
      <c r="C1632" t="s">
        <v>47</v>
      </c>
      <c r="D1632" t="s">
        <v>66</v>
      </c>
      <c r="E1632" t="s">
        <v>16</v>
      </c>
      <c r="F1632" t="s">
        <v>35</v>
      </c>
      <c r="G1632" t="s">
        <v>23</v>
      </c>
      <c r="H1632" t="s">
        <v>19</v>
      </c>
      <c r="I1632" t="s">
        <v>20</v>
      </c>
      <c r="J1632" s="2">
        <v>120</v>
      </c>
    </row>
    <row r="1633" spans="1:12" ht="19.95" customHeight="1">
      <c r="A1633" t="s">
        <v>1731</v>
      </c>
      <c r="B1633" t="s">
        <v>1704</v>
      </c>
      <c r="C1633" t="s">
        <v>47</v>
      </c>
      <c r="D1633" t="s">
        <v>66</v>
      </c>
      <c r="E1633" t="s">
        <v>16</v>
      </c>
      <c r="F1633" t="s">
        <v>17</v>
      </c>
      <c r="G1633" t="s">
        <v>32</v>
      </c>
      <c r="H1633" t="s">
        <v>19</v>
      </c>
      <c r="I1633" t="s">
        <v>20</v>
      </c>
      <c r="J1633" s="2">
        <v>300</v>
      </c>
    </row>
    <row r="1634" spans="1:12" ht="19.95" customHeight="1">
      <c r="A1634" t="s">
        <v>1732</v>
      </c>
      <c r="B1634" t="s">
        <v>1704</v>
      </c>
      <c r="C1634" t="s">
        <v>47</v>
      </c>
      <c r="D1634" t="s">
        <v>59</v>
      </c>
      <c r="E1634" t="s">
        <v>16</v>
      </c>
      <c r="F1634" t="s">
        <v>35</v>
      </c>
      <c r="G1634" t="s">
        <v>32</v>
      </c>
      <c r="H1634" t="s">
        <v>19</v>
      </c>
      <c r="I1634" t="s">
        <v>20</v>
      </c>
      <c r="J1634" s="2">
        <v>300</v>
      </c>
    </row>
    <row r="1635" spans="1:12" ht="19.95" customHeight="1">
      <c r="A1635" t="s">
        <v>1733</v>
      </c>
      <c r="B1635" t="s">
        <v>1704</v>
      </c>
      <c r="C1635" t="s">
        <v>47</v>
      </c>
      <c r="D1635" t="s">
        <v>62</v>
      </c>
      <c r="E1635" t="s">
        <v>16</v>
      </c>
      <c r="F1635" t="s">
        <v>17</v>
      </c>
      <c r="G1635" t="s">
        <v>32</v>
      </c>
      <c r="H1635" t="s">
        <v>19</v>
      </c>
      <c r="I1635" t="s">
        <v>20</v>
      </c>
      <c r="J1635" s="2">
        <v>300</v>
      </c>
    </row>
    <row r="1636" spans="1:12" ht="19.95" customHeight="1">
      <c r="A1636" t="s">
        <v>1734</v>
      </c>
      <c r="B1636" t="s">
        <v>1704</v>
      </c>
      <c r="C1636" t="s">
        <v>47</v>
      </c>
      <c r="D1636" t="s">
        <v>48</v>
      </c>
      <c r="E1636" t="s">
        <v>16</v>
      </c>
      <c r="F1636" t="s">
        <v>17</v>
      </c>
      <c r="G1636" t="s">
        <v>18</v>
      </c>
      <c r="H1636" t="s">
        <v>24</v>
      </c>
      <c r="I1636" t="s">
        <v>20</v>
      </c>
      <c r="J1636" s="2">
        <v>200</v>
      </c>
    </row>
    <row r="1637" spans="1:12" ht="19.95" customHeight="1">
      <c r="A1637" t="s">
        <v>1735</v>
      </c>
      <c r="B1637" t="s">
        <v>1704</v>
      </c>
      <c r="C1637" t="s">
        <v>78</v>
      </c>
      <c r="D1637" t="s">
        <v>102</v>
      </c>
      <c r="E1637" t="s">
        <v>16</v>
      </c>
      <c r="F1637" t="s">
        <v>35</v>
      </c>
      <c r="G1637" t="s">
        <v>32</v>
      </c>
      <c r="H1637" t="s">
        <v>19</v>
      </c>
      <c r="I1637" t="s">
        <v>20</v>
      </c>
      <c r="J1637" s="2">
        <v>300</v>
      </c>
    </row>
    <row r="1638" spans="1:12" ht="19.95" customHeight="1">
      <c r="A1638" t="s">
        <v>1736</v>
      </c>
      <c r="B1638" t="s">
        <v>1704</v>
      </c>
      <c r="C1638" t="s">
        <v>78</v>
      </c>
      <c r="D1638" t="s">
        <v>242</v>
      </c>
      <c r="E1638" t="s">
        <v>16</v>
      </c>
      <c r="F1638" t="s">
        <v>17</v>
      </c>
      <c r="G1638" t="s">
        <v>32</v>
      </c>
      <c r="H1638" t="s">
        <v>19</v>
      </c>
      <c r="I1638" t="s">
        <v>20</v>
      </c>
      <c r="J1638" s="2">
        <v>225</v>
      </c>
      <c r="L1638" t="s">
        <v>29</v>
      </c>
    </row>
    <row r="1639" spans="1:12" ht="19.95" customHeight="1">
      <c r="A1639" t="s">
        <v>1737</v>
      </c>
      <c r="B1639" t="s">
        <v>1704</v>
      </c>
      <c r="C1639" t="s">
        <v>78</v>
      </c>
      <c r="D1639" t="s">
        <v>242</v>
      </c>
      <c r="E1639" t="s">
        <v>16</v>
      </c>
      <c r="F1639" t="s">
        <v>17</v>
      </c>
      <c r="G1639" t="s">
        <v>18</v>
      </c>
      <c r="H1639" t="s">
        <v>19</v>
      </c>
      <c r="I1639" t="s">
        <v>20</v>
      </c>
      <c r="J1639" s="2">
        <v>200</v>
      </c>
    </row>
    <row r="1640" spans="1:12" ht="19.95" customHeight="1">
      <c r="A1640" t="s">
        <v>1738</v>
      </c>
      <c r="B1640" t="s">
        <v>1704</v>
      </c>
      <c r="C1640" t="s">
        <v>78</v>
      </c>
      <c r="D1640" t="s">
        <v>87</v>
      </c>
      <c r="E1640" t="s">
        <v>16</v>
      </c>
      <c r="F1640" t="s">
        <v>35</v>
      </c>
      <c r="G1640" t="s">
        <v>23</v>
      </c>
      <c r="H1640" t="s">
        <v>19</v>
      </c>
      <c r="I1640" t="s">
        <v>20</v>
      </c>
      <c r="J1640" s="2">
        <v>120</v>
      </c>
    </row>
    <row r="1641" spans="1:12" ht="19.95" customHeight="1">
      <c r="A1641" t="s">
        <v>1739</v>
      </c>
      <c r="B1641" t="s">
        <v>1704</v>
      </c>
      <c r="C1641" t="s">
        <v>78</v>
      </c>
      <c r="D1641" t="s">
        <v>102</v>
      </c>
      <c r="E1641" t="s">
        <v>16</v>
      </c>
      <c r="F1641" t="s">
        <v>17</v>
      </c>
      <c r="G1641" t="s">
        <v>32</v>
      </c>
      <c r="H1641" t="s">
        <v>19</v>
      </c>
      <c r="I1641" t="s">
        <v>20</v>
      </c>
      <c r="J1641" s="2">
        <v>300</v>
      </c>
    </row>
    <row r="1642" spans="1:12" ht="19.95" customHeight="1">
      <c r="A1642" t="s">
        <v>1740</v>
      </c>
      <c r="B1642" t="s">
        <v>1704</v>
      </c>
      <c r="C1642" t="s">
        <v>78</v>
      </c>
      <c r="D1642" t="s">
        <v>87</v>
      </c>
      <c r="E1642" t="s">
        <v>16</v>
      </c>
      <c r="F1642" t="s">
        <v>35</v>
      </c>
      <c r="G1642" t="s">
        <v>32</v>
      </c>
      <c r="H1642" t="s">
        <v>19</v>
      </c>
      <c r="I1642" t="s">
        <v>20</v>
      </c>
      <c r="J1642" s="2">
        <v>300</v>
      </c>
    </row>
    <row r="1643" spans="1:12" ht="19.95" customHeight="1">
      <c r="A1643" t="s">
        <v>1741</v>
      </c>
      <c r="B1643" t="s">
        <v>1704</v>
      </c>
      <c r="C1643" t="s">
        <v>78</v>
      </c>
      <c r="D1643" t="s">
        <v>83</v>
      </c>
      <c r="E1643" t="s">
        <v>16</v>
      </c>
      <c r="F1643" t="s">
        <v>17</v>
      </c>
      <c r="G1643" t="s">
        <v>32</v>
      </c>
      <c r="H1643" t="s">
        <v>19</v>
      </c>
      <c r="I1643" t="s">
        <v>20</v>
      </c>
      <c r="J1643" s="2">
        <v>300</v>
      </c>
    </row>
    <row r="1644" spans="1:12" ht="19.95" customHeight="1">
      <c r="A1644" t="s">
        <v>1742</v>
      </c>
      <c r="B1644" t="s">
        <v>1704</v>
      </c>
      <c r="C1644" t="s">
        <v>78</v>
      </c>
      <c r="D1644" t="s">
        <v>81</v>
      </c>
      <c r="E1644" t="s">
        <v>16</v>
      </c>
      <c r="F1644" t="s">
        <v>17</v>
      </c>
      <c r="G1644" t="s">
        <v>23</v>
      </c>
      <c r="H1644" t="s">
        <v>19</v>
      </c>
      <c r="I1644" t="s">
        <v>20</v>
      </c>
      <c r="J1644" s="2">
        <v>90</v>
      </c>
      <c r="L1644" t="s">
        <v>29</v>
      </c>
    </row>
    <row r="1645" spans="1:12" ht="19.95" customHeight="1">
      <c r="A1645" t="s">
        <v>1743</v>
      </c>
      <c r="B1645" t="s">
        <v>1704</v>
      </c>
      <c r="C1645" t="s">
        <v>78</v>
      </c>
      <c r="D1645" t="s">
        <v>85</v>
      </c>
      <c r="E1645" t="s">
        <v>16</v>
      </c>
      <c r="F1645" t="s">
        <v>17</v>
      </c>
      <c r="G1645" t="s">
        <v>32</v>
      </c>
      <c r="H1645" t="s">
        <v>19</v>
      </c>
      <c r="I1645" t="s">
        <v>20</v>
      </c>
      <c r="J1645" s="2">
        <v>300</v>
      </c>
    </row>
    <row r="1646" spans="1:12" ht="19.95" customHeight="1">
      <c r="A1646" t="s">
        <v>1744</v>
      </c>
      <c r="B1646" t="s">
        <v>1704</v>
      </c>
      <c r="C1646" t="s">
        <v>78</v>
      </c>
      <c r="D1646" t="s">
        <v>81</v>
      </c>
      <c r="E1646" t="s">
        <v>16</v>
      </c>
      <c r="F1646" t="s">
        <v>35</v>
      </c>
      <c r="G1646" t="s">
        <v>18</v>
      </c>
      <c r="H1646" t="s">
        <v>19</v>
      </c>
      <c r="I1646" t="s">
        <v>20</v>
      </c>
      <c r="J1646" s="2">
        <v>200</v>
      </c>
    </row>
    <row r="1647" spans="1:12" ht="19.95" customHeight="1">
      <c r="A1647" t="s">
        <v>1745</v>
      </c>
      <c r="B1647" t="s">
        <v>1704</v>
      </c>
      <c r="C1647" t="s">
        <v>78</v>
      </c>
      <c r="D1647" t="s">
        <v>97</v>
      </c>
      <c r="E1647" t="s">
        <v>16</v>
      </c>
      <c r="F1647" t="s">
        <v>35</v>
      </c>
      <c r="G1647" t="s">
        <v>23</v>
      </c>
      <c r="H1647" t="s">
        <v>19</v>
      </c>
      <c r="I1647" t="s">
        <v>20</v>
      </c>
      <c r="J1647" s="2">
        <v>120</v>
      </c>
    </row>
    <row r="1648" spans="1:12" ht="19.95" customHeight="1">
      <c r="A1648" t="s">
        <v>1746</v>
      </c>
      <c r="B1648" t="s">
        <v>1704</v>
      </c>
      <c r="C1648" t="s">
        <v>78</v>
      </c>
      <c r="D1648" t="s">
        <v>85</v>
      </c>
      <c r="E1648" t="s">
        <v>16</v>
      </c>
      <c r="F1648" t="s">
        <v>17</v>
      </c>
      <c r="G1648" t="s">
        <v>23</v>
      </c>
      <c r="H1648" t="s">
        <v>19</v>
      </c>
      <c r="I1648" t="s">
        <v>20</v>
      </c>
      <c r="J1648" s="2">
        <v>120</v>
      </c>
    </row>
    <row r="1649" spans="1:12" ht="19.95" customHeight="1">
      <c r="A1649" t="s">
        <v>1747</v>
      </c>
      <c r="B1649" t="s">
        <v>1704</v>
      </c>
      <c r="C1649" t="s">
        <v>78</v>
      </c>
      <c r="D1649" t="s">
        <v>87</v>
      </c>
      <c r="E1649" t="s">
        <v>16</v>
      </c>
      <c r="F1649" t="s">
        <v>17</v>
      </c>
      <c r="G1649" t="s">
        <v>32</v>
      </c>
      <c r="H1649" t="s">
        <v>19</v>
      </c>
      <c r="I1649" t="s">
        <v>20</v>
      </c>
      <c r="J1649" s="2">
        <v>300</v>
      </c>
    </row>
    <row r="1650" spans="1:12" ht="19.95" customHeight="1">
      <c r="A1650" t="s">
        <v>1748</v>
      </c>
      <c r="B1650" t="s">
        <v>1704</v>
      </c>
      <c r="C1650" t="s">
        <v>78</v>
      </c>
      <c r="D1650" t="s">
        <v>79</v>
      </c>
      <c r="E1650" t="s">
        <v>16</v>
      </c>
      <c r="F1650" t="s">
        <v>17</v>
      </c>
      <c r="G1650" t="s">
        <v>23</v>
      </c>
      <c r="H1650" t="s">
        <v>19</v>
      </c>
      <c r="I1650" t="s">
        <v>20</v>
      </c>
      <c r="J1650" s="2">
        <v>102</v>
      </c>
      <c r="L1650" t="s">
        <v>29</v>
      </c>
    </row>
    <row r="1651" spans="1:12" ht="19.95" customHeight="1">
      <c r="A1651" t="s">
        <v>1749</v>
      </c>
      <c r="B1651" t="s">
        <v>1704</v>
      </c>
      <c r="C1651" t="s">
        <v>105</v>
      </c>
      <c r="D1651" t="s">
        <v>116</v>
      </c>
      <c r="E1651" t="s">
        <v>16</v>
      </c>
      <c r="F1651" t="s">
        <v>17</v>
      </c>
      <c r="G1651" t="s">
        <v>23</v>
      </c>
      <c r="H1651" t="s">
        <v>19</v>
      </c>
      <c r="I1651" t="s">
        <v>20</v>
      </c>
      <c r="J1651" s="2">
        <v>120</v>
      </c>
    </row>
    <row r="1652" spans="1:12" ht="19.95" customHeight="1">
      <c r="A1652" t="s">
        <v>1750</v>
      </c>
      <c r="B1652" t="s">
        <v>1704</v>
      </c>
      <c r="C1652" t="s">
        <v>105</v>
      </c>
      <c r="D1652" t="s">
        <v>112</v>
      </c>
      <c r="E1652" t="s">
        <v>16</v>
      </c>
      <c r="F1652" t="s">
        <v>17</v>
      </c>
      <c r="G1652" t="s">
        <v>23</v>
      </c>
      <c r="H1652" t="s">
        <v>19</v>
      </c>
      <c r="I1652" t="s">
        <v>20</v>
      </c>
      <c r="J1652" s="2">
        <v>102</v>
      </c>
      <c r="L1652" t="s">
        <v>29</v>
      </c>
    </row>
    <row r="1653" spans="1:12" ht="19.95" customHeight="1">
      <c r="A1653" t="s">
        <v>1751</v>
      </c>
      <c r="B1653" t="s">
        <v>1704</v>
      </c>
      <c r="C1653" t="s">
        <v>105</v>
      </c>
      <c r="D1653" t="s">
        <v>116</v>
      </c>
      <c r="E1653" t="s">
        <v>16</v>
      </c>
      <c r="F1653" t="s">
        <v>35</v>
      </c>
      <c r="G1653" t="s">
        <v>18</v>
      </c>
      <c r="H1653" t="s">
        <v>19</v>
      </c>
      <c r="I1653" t="s">
        <v>20</v>
      </c>
      <c r="J1653" s="2">
        <v>200</v>
      </c>
    </row>
    <row r="1654" spans="1:12" ht="19.95" customHeight="1">
      <c r="A1654" t="s">
        <v>1752</v>
      </c>
      <c r="B1654" t="s">
        <v>1704</v>
      </c>
      <c r="C1654" t="s">
        <v>105</v>
      </c>
      <c r="D1654" t="s">
        <v>191</v>
      </c>
      <c r="E1654" t="s">
        <v>16</v>
      </c>
      <c r="F1654" t="s">
        <v>17</v>
      </c>
      <c r="G1654" t="s">
        <v>18</v>
      </c>
      <c r="H1654" t="s">
        <v>19</v>
      </c>
      <c r="I1654" t="s">
        <v>20</v>
      </c>
      <c r="J1654" s="2">
        <v>170</v>
      </c>
      <c r="L1654" t="s">
        <v>29</v>
      </c>
    </row>
    <row r="1655" spans="1:12" ht="19.95" customHeight="1">
      <c r="A1655" t="s">
        <v>1753</v>
      </c>
      <c r="B1655" t="s">
        <v>1704</v>
      </c>
      <c r="C1655" t="s">
        <v>105</v>
      </c>
      <c r="D1655" t="s">
        <v>108</v>
      </c>
      <c r="E1655" t="s">
        <v>16</v>
      </c>
      <c r="F1655" t="s">
        <v>17</v>
      </c>
      <c r="G1655" t="s">
        <v>32</v>
      </c>
      <c r="H1655" t="s">
        <v>19</v>
      </c>
      <c r="I1655" t="s">
        <v>20</v>
      </c>
      <c r="J1655" s="2">
        <v>300</v>
      </c>
    </row>
    <row r="1656" spans="1:12" ht="19.95" customHeight="1">
      <c r="A1656" t="s">
        <v>1754</v>
      </c>
      <c r="B1656" t="s">
        <v>1704</v>
      </c>
      <c r="C1656" t="s">
        <v>105</v>
      </c>
      <c r="D1656" t="s">
        <v>118</v>
      </c>
      <c r="E1656" t="s">
        <v>16</v>
      </c>
      <c r="F1656" t="s">
        <v>17</v>
      </c>
      <c r="G1656" t="s">
        <v>18</v>
      </c>
      <c r="H1656" t="s">
        <v>19</v>
      </c>
      <c r="I1656" t="s">
        <v>20</v>
      </c>
      <c r="J1656" s="2">
        <v>200</v>
      </c>
    </row>
    <row r="1657" spans="1:12" ht="19.95" customHeight="1">
      <c r="A1657" t="s">
        <v>1755</v>
      </c>
      <c r="B1657" t="s">
        <v>1704</v>
      </c>
      <c r="C1657" t="s">
        <v>105</v>
      </c>
      <c r="D1657" t="s">
        <v>112</v>
      </c>
      <c r="E1657" t="s">
        <v>16</v>
      </c>
      <c r="F1657" t="s">
        <v>17</v>
      </c>
      <c r="G1657" t="s">
        <v>32</v>
      </c>
      <c r="H1657" t="s">
        <v>19</v>
      </c>
      <c r="I1657" t="s">
        <v>20</v>
      </c>
      <c r="J1657" s="2">
        <v>225</v>
      </c>
      <c r="L1657" t="s">
        <v>29</v>
      </c>
    </row>
    <row r="1658" spans="1:12" ht="19.95" customHeight="1">
      <c r="A1658" t="s">
        <v>1756</v>
      </c>
      <c r="B1658" t="s">
        <v>1704</v>
      </c>
      <c r="C1658" t="s">
        <v>105</v>
      </c>
      <c r="D1658" t="s">
        <v>187</v>
      </c>
      <c r="E1658" t="s">
        <v>16</v>
      </c>
      <c r="F1658" t="s">
        <v>17</v>
      </c>
      <c r="G1658" t="s">
        <v>18</v>
      </c>
      <c r="H1658" t="s">
        <v>19</v>
      </c>
      <c r="I1658" t="s">
        <v>20</v>
      </c>
      <c r="J1658" s="2">
        <v>170</v>
      </c>
      <c r="L1658" t="s">
        <v>29</v>
      </c>
    </row>
    <row r="1659" spans="1:12" ht="19.95" customHeight="1">
      <c r="A1659" t="s">
        <v>1757</v>
      </c>
      <c r="B1659" t="s">
        <v>1704</v>
      </c>
      <c r="C1659" t="s">
        <v>105</v>
      </c>
      <c r="D1659" t="s">
        <v>116</v>
      </c>
      <c r="E1659" t="s">
        <v>16</v>
      </c>
      <c r="F1659" t="s">
        <v>35</v>
      </c>
      <c r="G1659" t="s">
        <v>32</v>
      </c>
      <c r="H1659" t="s">
        <v>24</v>
      </c>
      <c r="I1659" t="s">
        <v>20</v>
      </c>
      <c r="J1659" s="2">
        <v>300</v>
      </c>
    </row>
    <row r="1660" spans="1:12" ht="19.95" customHeight="1">
      <c r="A1660" t="s">
        <v>1758</v>
      </c>
      <c r="B1660" t="s">
        <v>1704</v>
      </c>
      <c r="C1660" t="s">
        <v>105</v>
      </c>
      <c r="D1660" t="s">
        <v>118</v>
      </c>
      <c r="E1660" t="s">
        <v>16</v>
      </c>
      <c r="F1660" t="s">
        <v>17</v>
      </c>
      <c r="G1660" t="s">
        <v>23</v>
      </c>
      <c r="H1660" t="s">
        <v>19</v>
      </c>
      <c r="I1660" t="s">
        <v>20</v>
      </c>
      <c r="J1660" s="2">
        <v>120</v>
      </c>
    </row>
    <row r="1661" spans="1:12" ht="19.95" customHeight="1">
      <c r="A1661" t="s">
        <v>1759</v>
      </c>
      <c r="B1661" t="s">
        <v>1704</v>
      </c>
      <c r="C1661" t="s">
        <v>105</v>
      </c>
      <c r="D1661" t="s">
        <v>112</v>
      </c>
      <c r="E1661" t="s">
        <v>16</v>
      </c>
      <c r="F1661" t="s">
        <v>17</v>
      </c>
      <c r="G1661" t="s">
        <v>32</v>
      </c>
      <c r="H1661" t="s">
        <v>19</v>
      </c>
      <c r="I1661" t="s">
        <v>20</v>
      </c>
      <c r="J1661" s="2">
        <v>300</v>
      </c>
    </row>
    <row r="1662" spans="1:12" ht="19.95" customHeight="1">
      <c r="A1662" t="s">
        <v>1760</v>
      </c>
      <c r="B1662" t="s">
        <v>1704</v>
      </c>
      <c r="C1662" t="s">
        <v>105</v>
      </c>
      <c r="D1662" t="s">
        <v>194</v>
      </c>
      <c r="E1662" t="s">
        <v>16</v>
      </c>
      <c r="F1662" t="s">
        <v>17</v>
      </c>
      <c r="G1662" t="s">
        <v>32</v>
      </c>
      <c r="H1662" t="s">
        <v>19</v>
      </c>
      <c r="I1662" t="s">
        <v>20</v>
      </c>
      <c r="J1662" s="2">
        <v>300</v>
      </c>
    </row>
    <row r="1663" spans="1:12" ht="19.95" customHeight="1">
      <c r="A1663" t="s">
        <v>1761</v>
      </c>
      <c r="B1663" t="s">
        <v>1704</v>
      </c>
      <c r="C1663" t="s">
        <v>105</v>
      </c>
      <c r="D1663" t="s">
        <v>187</v>
      </c>
      <c r="E1663" t="s">
        <v>16</v>
      </c>
      <c r="F1663" t="s">
        <v>17</v>
      </c>
      <c r="G1663" t="s">
        <v>18</v>
      </c>
      <c r="H1663" t="s">
        <v>19</v>
      </c>
      <c r="I1663" t="s">
        <v>20</v>
      </c>
      <c r="J1663" s="2">
        <v>200</v>
      </c>
    </row>
    <row r="1664" spans="1:12" ht="19.95" customHeight="1">
      <c r="A1664" t="s">
        <v>1762</v>
      </c>
      <c r="B1664" t="s">
        <v>1704</v>
      </c>
      <c r="C1664" t="s">
        <v>105</v>
      </c>
      <c r="D1664" t="s">
        <v>120</v>
      </c>
      <c r="E1664" t="s">
        <v>16</v>
      </c>
      <c r="F1664" t="s">
        <v>35</v>
      </c>
      <c r="G1664" t="s">
        <v>32</v>
      </c>
      <c r="H1664" t="s">
        <v>24</v>
      </c>
      <c r="I1664" t="s">
        <v>20</v>
      </c>
      <c r="J1664" s="2">
        <v>255</v>
      </c>
      <c r="L1664" t="s">
        <v>29</v>
      </c>
    </row>
    <row r="1665" spans="1:12" ht="19.95" customHeight="1">
      <c r="A1665" t="s">
        <v>1763</v>
      </c>
      <c r="B1665" t="s">
        <v>1704</v>
      </c>
      <c r="C1665" t="s">
        <v>105</v>
      </c>
      <c r="D1665" t="s">
        <v>265</v>
      </c>
      <c r="E1665" t="s">
        <v>16</v>
      </c>
      <c r="F1665" t="s">
        <v>17</v>
      </c>
      <c r="G1665" t="s">
        <v>18</v>
      </c>
      <c r="H1665" t="s">
        <v>19</v>
      </c>
      <c r="I1665" t="s">
        <v>20</v>
      </c>
      <c r="J1665" s="2">
        <v>150</v>
      </c>
      <c r="L1665" t="s">
        <v>29</v>
      </c>
    </row>
    <row r="1666" spans="1:12" ht="19.95" customHeight="1">
      <c r="A1666" t="s">
        <v>1764</v>
      </c>
      <c r="B1666" t="s">
        <v>1704</v>
      </c>
      <c r="C1666" t="s">
        <v>105</v>
      </c>
      <c r="D1666" t="s">
        <v>116</v>
      </c>
      <c r="E1666" t="s">
        <v>16</v>
      </c>
      <c r="F1666" t="s">
        <v>35</v>
      </c>
      <c r="G1666" t="s">
        <v>32</v>
      </c>
      <c r="H1666" t="s">
        <v>19</v>
      </c>
      <c r="I1666" t="s">
        <v>20</v>
      </c>
      <c r="J1666" s="2">
        <v>300</v>
      </c>
    </row>
    <row r="1667" spans="1:12" ht="19.95" customHeight="1">
      <c r="A1667" t="s">
        <v>1765</v>
      </c>
      <c r="B1667" t="s">
        <v>1704</v>
      </c>
      <c r="C1667" t="s">
        <v>105</v>
      </c>
      <c r="D1667" t="s">
        <v>106</v>
      </c>
      <c r="E1667" t="s">
        <v>16</v>
      </c>
      <c r="F1667" t="s">
        <v>17</v>
      </c>
      <c r="G1667" t="s">
        <v>18</v>
      </c>
      <c r="H1667" t="s">
        <v>19</v>
      </c>
      <c r="I1667" t="s">
        <v>20</v>
      </c>
      <c r="J1667" s="2">
        <v>200</v>
      </c>
    </row>
    <row r="1668" spans="1:12" ht="19.95" customHeight="1">
      <c r="A1668" t="s">
        <v>1766</v>
      </c>
      <c r="B1668" t="s">
        <v>1704</v>
      </c>
      <c r="C1668" t="s">
        <v>78</v>
      </c>
      <c r="D1668" t="s">
        <v>87</v>
      </c>
      <c r="E1668" t="s">
        <v>402</v>
      </c>
      <c r="F1668" t="s">
        <v>17</v>
      </c>
      <c r="G1668" t="s">
        <v>32</v>
      </c>
      <c r="H1668" t="s">
        <v>19</v>
      </c>
      <c r="I1668" t="s">
        <v>20</v>
      </c>
      <c r="J1668" s="2">
        <v>225</v>
      </c>
      <c r="K1668" t="s">
        <v>1367</v>
      </c>
      <c r="L1668" t="s">
        <v>1270</v>
      </c>
    </row>
    <row r="1669" spans="1:12" ht="19.95" customHeight="1">
      <c r="A1669" t="s">
        <v>1767</v>
      </c>
      <c r="B1669" t="s">
        <v>1704</v>
      </c>
      <c r="C1669" t="s">
        <v>78</v>
      </c>
      <c r="D1669" t="s">
        <v>102</v>
      </c>
      <c r="E1669" t="s">
        <v>402</v>
      </c>
      <c r="F1669" t="s">
        <v>17</v>
      </c>
      <c r="G1669" t="s">
        <v>32</v>
      </c>
      <c r="H1669" t="s">
        <v>19</v>
      </c>
      <c r="I1669" t="s">
        <v>20</v>
      </c>
      <c r="J1669" s="2">
        <v>225</v>
      </c>
      <c r="K1669" t="s">
        <v>1372</v>
      </c>
      <c r="L1669" t="s">
        <v>1270</v>
      </c>
    </row>
    <row r="1670" spans="1:12" ht="19.95" customHeight="1">
      <c r="A1670" t="s">
        <v>1768</v>
      </c>
      <c r="B1670" t="s">
        <v>1704</v>
      </c>
      <c r="C1670" t="s">
        <v>78</v>
      </c>
      <c r="D1670" t="s">
        <v>81</v>
      </c>
      <c r="E1670" t="s">
        <v>402</v>
      </c>
      <c r="F1670" t="s">
        <v>17</v>
      </c>
      <c r="G1670" t="s">
        <v>32</v>
      </c>
      <c r="H1670" t="s">
        <v>19</v>
      </c>
      <c r="I1670" t="s">
        <v>20</v>
      </c>
      <c r="J1670" s="2">
        <v>225</v>
      </c>
      <c r="K1670" t="s">
        <v>1377</v>
      </c>
      <c r="L1670" t="s">
        <v>1270</v>
      </c>
    </row>
    <row r="1671" spans="1:12" ht="19.95" customHeight="1">
      <c r="A1671" t="s">
        <v>1769</v>
      </c>
      <c r="B1671" t="s">
        <v>1704</v>
      </c>
      <c r="C1671" t="s">
        <v>78</v>
      </c>
      <c r="D1671" t="s">
        <v>97</v>
      </c>
      <c r="E1671" t="s">
        <v>402</v>
      </c>
      <c r="F1671" t="s">
        <v>17</v>
      </c>
      <c r="G1671" t="s">
        <v>32</v>
      </c>
      <c r="H1671" t="s">
        <v>19</v>
      </c>
      <c r="I1671" t="s">
        <v>20</v>
      </c>
      <c r="J1671" s="2">
        <v>225</v>
      </c>
      <c r="K1671" t="s">
        <v>1453</v>
      </c>
      <c r="L1671" t="s">
        <v>1270</v>
      </c>
    </row>
    <row r="1672" spans="1:12" ht="19.95" customHeight="1">
      <c r="A1672" t="s">
        <v>1770</v>
      </c>
      <c r="B1672" t="s">
        <v>1704</v>
      </c>
      <c r="C1672" t="s">
        <v>78</v>
      </c>
      <c r="D1672" t="s">
        <v>97</v>
      </c>
      <c r="E1672" t="s">
        <v>402</v>
      </c>
      <c r="F1672" t="s">
        <v>17</v>
      </c>
      <c r="G1672" t="s">
        <v>32</v>
      </c>
      <c r="H1672" t="s">
        <v>19</v>
      </c>
      <c r="I1672" t="s">
        <v>20</v>
      </c>
      <c r="J1672" s="2">
        <v>225</v>
      </c>
      <c r="K1672" t="s">
        <v>1461</v>
      </c>
      <c r="L1672" t="s">
        <v>1270</v>
      </c>
    </row>
    <row r="1673" spans="1:12" ht="19.95" customHeight="1">
      <c r="A1673" t="s">
        <v>1771</v>
      </c>
      <c r="B1673" t="s">
        <v>1704</v>
      </c>
      <c r="C1673" t="s">
        <v>78</v>
      </c>
      <c r="D1673" t="s">
        <v>89</v>
      </c>
      <c r="E1673" t="s">
        <v>402</v>
      </c>
      <c r="F1673" t="s">
        <v>17</v>
      </c>
      <c r="G1673" t="s">
        <v>18</v>
      </c>
      <c r="H1673" t="s">
        <v>19</v>
      </c>
      <c r="I1673" t="s">
        <v>20</v>
      </c>
      <c r="J1673" s="2">
        <v>150</v>
      </c>
      <c r="K1673" t="s">
        <v>1190</v>
      </c>
      <c r="L1673" t="s">
        <v>29</v>
      </c>
    </row>
    <row r="1674" spans="1:12" ht="19.95" customHeight="1">
      <c r="A1674" t="s">
        <v>1772</v>
      </c>
      <c r="B1674" t="s">
        <v>1704</v>
      </c>
      <c r="C1674" t="s">
        <v>14</v>
      </c>
      <c r="D1674" t="s">
        <v>26</v>
      </c>
      <c r="E1674" t="s">
        <v>402</v>
      </c>
      <c r="F1674" t="s">
        <v>35</v>
      </c>
      <c r="G1674" t="s">
        <v>32</v>
      </c>
      <c r="H1674" t="s">
        <v>24</v>
      </c>
      <c r="I1674" t="s">
        <v>20</v>
      </c>
      <c r="J1674" s="2">
        <v>255</v>
      </c>
      <c r="K1674" t="s">
        <v>1319</v>
      </c>
      <c r="L1674" t="s">
        <v>29</v>
      </c>
    </row>
    <row r="1675" spans="1:12" ht="19.95" customHeight="1">
      <c r="A1675" t="s">
        <v>1773</v>
      </c>
      <c r="B1675" t="s">
        <v>1774</v>
      </c>
      <c r="C1675" t="s">
        <v>14</v>
      </c>
      <c r="D1675" t="s">
        <v>15</v>
      </c>
      <c r="E1675" t="s">
        <v>16</v>
      </c>
      <c r="F1675" t="s">
        <v>17</v>
      </c>
      <c r="G1675" t="s">
        <v>23</v>
      </c>
      <c r="H1675" t="s">
        <v>19</v>
      </c>
      <c r="I1675" t="s">
        <v>20</v>
      </c>
      <c r="J1675" s="2">
        <v>120</v>
      </c>
    </row>
    <row r="1676" spans="1:12" ht="19.95" customHeight="1">
      <c r="A1676" t="s">
        <v>1775</v>
      </c>
      <c r="B1676" t="s">
        <v>1774</v>
      </c>
      <c r="C1676" t="s">
        <v>14</v>
      </c>
      <c r="D1676" t="s">
        <v>28</v>
      </c>
      <c r="E1676" t="s">
        <v>16</v>
      </c>
      <c r="F1676" t="s">
        <v>17</v>
      </c>
      <c r="G1676" t="s">
        <v>32</v>
      </c>
      <c r="H1676" t="s">
        <v>19</v>
      </c>
      <c r="I1676" t="s">
        <v>20</v>
      </c>
      <c r="J1676" s="2">
        <v>300</v>
      </c>
    </row>
    <row r="1677" spans="1:12" ht="19.95" customHeight="1">
      <c r="A1677" t="s">
        <v>1776</v>
      </c>
      <c r="B1677" t="s">
        <v>1774</v>
      </c>
      <c r="C1677" t="s">
        <v>14</v>
      </c>
      <c r="D1677" t="s">
        <v>26</v>
      </c>
      <c r="E1677" t="s">
        <v>16</v>
      </c>
      <c r="F1677" t="s">
        <v>17</v>
      </c>
      <c r="G1677" t="s">
        <v>18</v>
      </c>
      <c r="H1677" t="s">
        <v>19</v>
      </c>
      <c r="I1677" t="s">
        <v>20</v>
      </c>
      <c r="J1677" s="2">
        <v>200</v>
      </c>
    </row>
    <row r="1678" spans="1:12" ht="19.95" customHeight="1">
      <c r="A1678" t="s">
        <v>1777</v>
      </c>
      <c r="B1678" t="s">
        <v>1774</v>
      </c>
      <c r="C1678" t="s">
        <v>14</v>
      </c>
      <c r="D1678" t="s">
        <v>28</v>
      </c>
      <c r="E1678" t="s">
        <v>16</v>
      </c>
      <c r="F1678" t="s">
        <v>17</v>
      </c>
      <c r="G1678" t="s">
        <v>18</v>
      </c>
      <c r="H1678" t="s">
        <v>19</v>
      </c>
      <c r="I1678" t="s">
        <v>20</v>
      </c>
      <c r="J1678" s="2">
        <v>150</v>
      </c>
      <c r="L1678" t="s">
        <v>29</v>
      </c>
    </row>
    <row r="1679" spans="1:12" ht="19.95" customHeight="1">
      <c r="A1679" t="s">
        <v>1778</v>
      </c>
      <c r="B1679" t="s">
        <v>1774</v>
      </c>
      <c r="C1679" t="s">
        <v>14</v>
      </c>
      <c r="D1679" t="s">
        <v>40</v>
      </c>
      <c r="E1679" t="s">
        <v>16</v>
      </c>
      <c r="F1679" t="s">
        <v>17</v>
      </c>
      <c r="G1679" t="s">
        <v>23</v>
      </c>
      <c r="H1679" t="s">
        <v>19</v>
      </c>
      <c r="I1679" t="s">
        <v>20</v>
      </c>
      <c r="J1679" s="2">
        <v>102</v>
      </c>
      <c r="L1679" t="s">
        <v>29</v>
      </c>
    </row>
    <row r="1680" spans="1:12" ht="19.95" customHeight="1">
      <c r="A1680" t="s">
        <v>1779</v>
      </c>
      <c r="B1680" t="s">
        <v>1774</v>
      </c>
      <c r="C1680" t="s">
        <v>14</v>
      </c>
      <c r="D1680" t="s">
        <v>40</v>
      </c>
      <c r="E1680" t="s">
        <v>16</v>
      </c>
      <c r="F1680" t="s">
        <v>35</v>
      </c>
      <c r="G1680" t="s">
        <v>32</v>
      </c>
      <c r="H1680" t="s">
        <v>19</v>
      </c>
      <c r="I1680" t="s">
        <v>20</v>
      </c>
      <c r="J1680" s="2">
        <v>300</v>
      </c>
    </row>
    <row r="1681" spans="1:12" ht="19.95" customHeight="1">
      <c r="A1681" t="s">
        <v>1780</v>
      </c>
      <c r="B1681" t="s">
        <v>1774</v>
      </c>
      <c r="C1681" t="s">
        <v>14</v>
      </c>
      <c r="D1681" t="s">
        <v>131</v>
      </c>
      <c r="E1681" t="s">
        <v>16</v>
      </c>
      <c r="F1681" t="s">
        <v>17</v>
      </c>
      <c r="G1681" t="s">
        <v>32</v>
      </c>
      <c r="H1681" t="s">
        <v>19</v>
      </c>
      <c r="I1681" t="s">
        <v>20</v>
      </c>
      <c r="J1681" s="2">
        <v>300</v>
      </c>
    </row>
    <row r="1682" spans="1:12" ht="19.95" customHeight="1">
      <c r="A1682" t="s">
        <v>1781</v>
      </c>
      <c r="B1682" t="s">
        <v>1774</v>
      </c>
      <c r="C1682" t="s">
        <v>14</v>
      </c>
      <c r="D1682" t="s">
        <v>31</v>
      </c>
      <c r="E1682" t="s">
        <v>16</v>
      </c>
      <c r="F1682" t="s">
        <v>17</v>
      </c>
      <c r="G1682" t="s">
        <v>23</v>
      </c>
      <c r="H1682" t="s">
        <v>19</v>
      </c>
      <c r="I1682" t="s">
        <v>20</v>
      </c>
      <c r="J1682" s="2">
        <v>120</v>
      </c>
    </row>
    <row r="1683" spans="1:12" ht="19.95" customHeight="1">
      <c r="A1683" t="s">
        <v>1782</v>
      </c>
      <c r="B1683" t="s">
        <v>1774</v>
      </c>
      <c r="C1683" t="s">
        <v>14</v>
      </c>
      <c r="D1683" t="s">
        <v>22</v>
      </c>
      <c r="E1683" t="s">
        <v>16</v>
      </c>
      <c r="F1683" t="s">
        <v>17</v>
      </c>
      <c r="G1683" t="s">
        <v>18</v>
      </c>
      <c r="H1683" t="s">
        <v>19</v>
      </c>
      <c r="I1683" t="s">
        <v>20</v>
      </c>
      <c r="J1683" s="2">
        <v>200</v>
      </c>
    </row>
    <row r="1684" spans="1:12" ht="19.95" customHeight="1">
      <c r="A1684" t="s">
        <v>1783</v>
      </c>
      <c r="B1684" t="s">
        <v>1774</v>
      </c>
      <c r="C1684" t="s">
        <v>14</v>
      </c>
      <c r="D1684" t="s">
        <v>26</v>
      </c>
      <c r="E1684" t="s">
        <v>16</v>
      </c>
      <c r="F1684" t="s">
        <v>17</v>
      </c>
      <c r="G1684" t="s">
        <v>18</v>
      </c>
      <c r="H1684" t="s">
        <v>19</v>
      </c>
      <c r="I1684" t="s">
        <v>20</v>
      </c>
      <c r="J1684" s="2">
        <v>200</v>
      </c>
    </row>
    <row r="1685" spans="1:12" ht="19.95" customHeight="1">
      <c r="A1685" t="s">
        <v>1784</v>
      </c>
      <c r="B1685" t="s">
        <v>1774</v>
      </c>
      <c r="C1685" t="s">
        <v>14</v>
      </c>
      <c r="D1685" t="s">
        <v>15</v>
      </c>
      <c r="E1685" t="s">
        <v>16</v>
      </c>
      <c r="F1685" t="s">
        <v>17</v>
      </c>
      <c r="G1685" t="s">
        <v>18</v>
      </c>
      <c r="H1685" t="s">
        <v>19</v>
      </c>
      <c r="I1685" t="s">
        <v>20</v>
      </c>
      <c r="J1685" s="2">
        <v>200</v>
      </c>
    </row>
    <row r="1686" spans="1:12" ht="19.95" customHeight="1">
      <c r="A1686" t="s">
        <v>1785</v>
      </c>
      <c r="B1686" t="s">
        <v>1774</v>
      </c>
      <c r="C1686" t="s">
        <v>14</v>
      </c>
      <c r="D1686" t="s">
        <v>34</v>
      </c>
      <c r="E1686" t="s">
        <v>16</v>
      </c>
      <c r="F1686" t="s">
        <v>17</v>
      </c>
      <c r="G1686" t="s">
        <v>32</v>
      </c>
      <c r="H1686" t="s">
        <v>19</v>
      </c>
      <c r="I1686" t="s">
        <v>20</v>
      </c>
      <c r="J1686" s="2">
        <v>300</v>
      </c>
    </row>
    <row r="1687" spans="1:12" ht="19.95" customHeight="1">
      <c r="A1687" t="s">
        <v>1786</v>
      </c>
      <c r="B1687" t="s">
        <v>1774</v>
      </c>
      <c r="C1687" t="s">
        <v>14</v>
      </c>
      <c r="D1687" t="s">
        <v>42</v>
      </c>
      <c r="E1687" t="s">
        <v>16</v>
      </c>
      <c r="F1687" t="s">
        <v>17</v>
      </c>
      <c r="G1687" t="s">
        <v>32</v>
      </c>
      <c r="H1687" t="s">
        <v>19</v>
      </c>
      <c r="I1687" t="s">
        <v>20</v>
      </c>
      <c r="J1687" s="2">
        <v>300</v>
      </c>
    </row>
    <row r="1688" spans="1:12" ht="19.95" customHeight="1">
      <c r="A1688" t="s">
        <v>1787</v>
      </c>
      <c r="B1688" t="s">
        <v>1774</v>
      </c>
      <c r="C1688" t="s">
        <v>14</v>
      </c>
      <c r="D1688" t="s">
        <v>210</v>
      </c>
      <c r="E1688" t="s">
        <v>16</v>
      </c>
      <c r="F1688" t="s">
        <v>35</v>
      </c>
      <c r="G1688" t="s">
        <v>18</v>
      </c>
      <c r="H1688" t="s">
        <v>19</v>
      </c>
      <c r="I1688" t="s">
        <v>20</v>
      </c>
      <c r="J1688" s="2">
        <v>200</v>
      </c>
    </row>
    <row r="1689" spans="1:12" ht="19.95" customHeight="1">
      <c r="A1689" t="s">
        <v>1788</v>
      </c>
      <c r="B1689" t="s">
        <v>1774</v>
      </c>
      <c r="C1689" t="s">
        <v>14</v>
      </c>
      <c r="D1689" t="s">
        <v>137</v>
      </c>
      <c r="E1689" t="s">
        <v>16</v>
      </c>
      <c r="F1689" t="s">
        <v>17</v>
      </c>
      <c r="G1689" t="s">
        <v>23</v>
      </c>
      <c r="H1689" t="s">
        <v>19</v>
      </c>
      <c r="I1689" t="s">
        <v>20</v>
      </c>
      <c r="J1689" s="2">
        <v>120</v>
      </c>
    </row>
    <row r="1690" spans="1:12" ht="19.95" customHeight="1">
      <c r="A1690" t="s">
        <v>1789</v>
      </c>
      <c r="B1690" t="s">
        <v>1774</v>
      </c>
      <c r="C1690" t="s">
        <v>14</v>
      </c>
      <c r="D1690" t="s">
        <v>26</v>
      </c>
      <c r="E1690" t="s">
        <v>16</v>
      </c>
      <c r="F1690" t="s">
        <v>35</v>
      </c>
      <c r="G1690" t="s">
        <v>23</v>
      </c>
      <c r="H1690" t="s">
        <v>19</v>
      </c>
      <c r="I1690" t="s">
        <v>20</v>
      </c>
      <c r="J1690" s="2">
        <v>120</v>
      </c>
    </row>
    <row r="1691" spans="1:12" ht="19.95" customHeight="1">
      <c r="A1691" t="s">
        <v>1790</v>
      </c>
      <c r="B1691" t="s">
        <v>1774</v>
      </c>
      <c r="C1691" t="s">
        <v>14</v>
      </c>
      <c r="D1691" t="s">
        <v>40</v>
      </c>
      <c r="E1691" t="s">
        <v>16</v>
      </c>
      <c r="F1691" t="s">
        <v>17</v>
      </c>
      <c r="G1691" t="s">
        <v>32</v>
      </c>
      <c r="H1691" t="s">
        <v>19</v>
      </c>
      <c r="I1691" t="s">
        <v>20</v>
      </c>
      <c r="J1691" s="2">
        <v>255</v>
      </c>
      <c r="L1691" t="s">
        <v>29</v>
      </c>
    </row>
    <row r="1692" spans="1:12" ht="19.95" customHeight="1">
      <c r="A1692" t="s">
        <v>1791</v>
      </c>
      <c r="B1692" t="s">
        <v>1774</v>
      </c>
      <c r="C1692" t="s">
        <v>14</v>
      </c>
      <c r="D1692" t="s">
        <v>40</v>
      </c>
      <c r="E1692" t="s">
        <v>16</v>
      </c>
      <c r="F1692" t="s">
        <v>35</v>
      </c>
      <c r="G1692" t="s">
        <v>18</v>
      </c>
      <c r="H1692" t="s">
        <v>19</v>
      </c>
      <c r="I1692" t="s">
        <v>20</v>
      </c>
      <c r="J1692" s="2">
        <v>200</v>
      </c>
    </row>
    <row r="1693" spans="1:12" ht="19.95" customHeight="1">
      <c r="A1693" t="s">
        <v>1792</v>
      </c>
      <c r="B1693" t="s">
        <v>1774</v>
      </c>
      <c r="C1693" t="s">
        <v>14</v>
      </c>
      <c r="D1693" t="s">
        <v>137</v>
      </c>
      <c r="E1693" t="s">
        <v>16</v>
      </c>
      <c r="F1693" t="s">
        <v>35</v>
      </c>
      <c r="G1693" t="s">
        <v>32</v>
      </c>
      <c r="H1693" t="s">
        <v>19</v>
      </c>
      <c r="I1693" t="s">
        <v>20</v>
      </c>
      <c r="J1693" s="2">
        <v>300</v>
      </c>
    </row>
    <row r="1694" spans="1:12" ht="19.95" customHeight="1">
      <c r="A1694" t="s">
        <v>1793</v>
      </c>
      <c r="B1694" t="s">
        <v>1774</v>
      </c>
      <c r="C1694" t="s">
        <v>47</v>
      </c>
      <c r="D1694" t="s">
        <v>50</v>
      </c>
      <c r="E1694" t="s">
        <v>16</v>
      </c>
      <c r="F1694" t="s">
        <v>17</v>
      </c>
      <c r="G1694" t="s">
        <v>32</v>
      </c>
      <c r="H1694" t="s">
        <v>19</v>
      </c>
      <c r="I1694" t="s">
        <v>53</v>
      </c>
      <c r="J1694" s="2">
        <v>225</v>
      </c>
      <c r="L1694" t="s">
        <v>29</v>
      </c>
    </row>
    <row r="1695" spans="1:12" ht="19.95" customHeight="1">
      <c r="A1695" t="s">
        <v>1794</v>
      </c>
      <c r="B1695" t="s">
        <v>1774</v>
      </c>
      <c r="C1695" t="s">
        <v>47</v>
      </c>
      <c r="D1695" t="s">
        <v>52</v>
      </c>
      <c r="E1695" t="s">
        <v>16</v>
      </c>
      <c r="F1695" t="s">
        <v>17</v>
      </c>
      <c r="G1695" t="s">
        <v>32</v>
      </c>
      <c r="H1695" t="s">
        <v>19</v>
      </c>
      <c r="I1695" t="s">
        <v>53</v>
      </c>
      <c r="J1695" s="2">
        <v>300</v>
      </c>
    </row>
    <row r="1696" spans="1:12" ht="19.95" customHeight="1">
      <c r="A1696" t="s">
        <v>1795</v>
      </c>
      <c r="B1696" t="s">
        <v>1774</v>
      </c>
      <c r="C1696" t="s">
        <v>47</v>
      </c>
      <c r="D1696" t="s">
        <v>148</v>
      </c>
      <c r="E1696" t="s">
        <v>16</v>
      </c>
      <c r="F1696" t="s">
        <v>17</v>
      </c>
      <c r="G1696" t="s">
        <v>23</v>
      </c>
      <c r="H1696" t="s">
        <v>19</v>
      </c>
      <c r="I1696" t="s">
        <v>20</v>
      </c>
      <c r="J1696" s="2">
        <v>120</v>
      </c>
    </row>
    <row r="1697" spans="1:12" ht="19.95" customHeight="1">
      <c r="A1697" t="s">
        <v>1796</v>
      </c>
      <c r="B1697" t="s">
        <v>1774</v>
      </c>
      <c r="C1697" t="s">
        <v>47</v>
      </c>
      <c r="D1697" t="s">
        <v>148</v>
      </c>
      <c r="E1697" t="s">
        <v>16</v>
      </c>
      <c r="F1697" t="s">
        <v>17</v>
      </c>
      <c r="G1697" t="s">
        <v>23</v>
      </c>
      <c r="H1697" t="s">
        <v>24</v>
      </c>
      <c r="I1697" t="s">
        <v>20</v>
      </c>
      <c r="J1697" s="2">
        <v>120</v>
      </c>
    </row>
    <row r="1698" spans="1:12" ht="19.95" customHeight="1">
      <c r="A1698" t="s">
        <v>1797</v>
      </c>
      <c r="B1698" t="s">
        <v>1774</v>
      </c>
      <c r="C1698" t="s">
        <v>47</v>
      </c>
      <c r="D1698" t="s">
        <v>148</v>
      </c>
      <c r="E1698" t="s">
        <v>16</v>
      </c>
      <c r="F1698" t="s">
        <v>17</v>
      </c>
      <c r="G1698" t="s">
        <v>18</v>
      </c>
      <c r="H1698" t="s">
        <v>19</v>
      </c>
      <c r="I1698" t="s">
        <v>20</v>
      </c>
      <c r="J1698" s="2">
        <v>200</v>
      </c>
    </row>
    <row r="1699" spans="1:12" ht="19.95" customHeight="1">
      <c r="A1699" t="s">
        <v>1798</v>
      </c>
      <c r="B1699" t="s">
        <v>1774</v>
      </c>
      <c r="C1699" t="s">
        <v>47</v>
      </c>
      <c r="D1699" t="s">
        <v>48</v>
      </c>
      <c r="E1699" t="s">
        <v>16</v>
      </c>
      <c r="F1699" t="s">
        <v>17</v>
      </c>
      <c r="G1699" t="s">
        <v>23</v>
      </c>
      <c r="H1699" t="s">
        <v>19</v>
      </c>
      <c r="I1699" t="s">
        <v>20</v>
      </c>
      <c r="J1699" s="2">
        <v>120</v>
      </c>
    </row>
    <row r="1700" spans="1:12" ht="19.95" customHeight="1">
      <c r="A1700" t="s">
        <v>1799</v>
      </c>
      <c r="B1700" t="s">
        <v>1774</v>
      </c>
      <c r="C1700" t="s">
        <v>47</v>
      </c>
      <c r="D1700" t="s">
        <v>64</v>
      </c>
      <c r="E1700" t="s">
        <v>16</v>
      </c>
      <c r="F1700" t="s">
        <v>17</v>
      </c>
      <c r="G1700" t="s">
        <v>32</v>
      </c>
      <c r="H1700" t="s">
        <v>19</v>
      </c>
      <c r="I1700" t="s">
        <v>20</v>
      </c>
      <c r="J1700" s="2">
        <v>300</v>
      </c>
    </row>
    <row r="1701" spans="1:12" ht="19.95" customHeight="1">
      <c r="A1701" t="s">
        <v>1800</v>
      </c>
      <c r="B1701" t="s">
        <v>1774</v>
      </c>
      <c r="C1701" t="s">
        <v>47</v>
      </c>
      <c r="D1701" t="s">
        <v>55</v>
      </c>
      <c r="E1701" t="s">
        <v>16</v>
      </c>
      <c r="F1701" t="s">
        <v>35</v>
      </c>
      <c r="G1701" t="s">
        <v>32</v>
      </c>
      <c r="H1701" t="s">
        <v>19</v>
      </c>
      <c r="I1701" t="s">
        <v>20</v>
      </c>
      <c r="J1701" s="2">
        <v>300</v>
      </c>
    </row>
    <row r="1702" spans="1:12" ht="19.95" customHeight="1">
      <c r="A1702" t="s">
        <v>1801</v>
      </c>
      <c r="B1702" t="s">
        <v>1774</v>
      </c>
      <c r="C1702" t="s">
        <v>47</v>
      </c>
      <c r="D1702" t="s">
        <v>152</v>
      </c>
      <c r="E1702" t="s">
        <v>16</v>
      </c>
      <c r="F1702" t="s">
        <v>17</v>
      </c>
      <c r="G1702" t="s">
        <v>18</v>
      </c>
      <c r="H1702" t="s">
        <v>19</v>
      </c>
      <c r="I1702" t="s">
        <v>53</v>
      </c>
      <c r="J1702" s="2">
        <v>150</v>
      </c>
      <c r="L1702" t="s">
        <v>29</v>
      </c>
    </row>
    <row r="1703" spans="1:12" ht="19.95" customHeight="1">
      <c r="A1703" t="s">
        <v>1802</v>
      </c>
      <c r="B1703" t="s">
        <v>1774</v>
      </c>
      <c r="C1703" t="s">
        <v>47</v>
      </c>
      <c r="D1703" t="s">
        <v>71</v>
      </c>
      <c r="E1703" t="s">
        <v>16</v>
      </c>
      <c r="F1703" t="s">
        <v>17</v>
      </c>
      <c r="G1703" t="s">
        <v>32</v>
      </c>
      <c r="H1703" t="s">
        <v>19</v>
      </c>
      <c r="I1703" t="s">
        <v>20</v>
      </c>
      <c r="J1703" s="2">
        <v>300</v>
      </c>
    </row>
    <row r="1704" spans="1:12" ht="19.95" customHeight="1">
      <c r="A1704" t="s">
        <v>1803</v>
      </c>
      <c r="B1704" t="s">
        <v>1774</v>
      </c>
      <c r="C1704" t="s">
        <v>47</v>
      </c>
      <c r="D1704" t="s">
        <v>59</v>
      </c>
      <c r="E1704" t="s">
        <v>16</v>
      </c>
      <c r="F1704" t="s">
        <v>17</v>
      </c>
      <c r="G1704" t="s">
        <v>32</v>
      </c>
      <c r="H1704" t="s">
        <v>19</v>
      </c>
      <c r="I1704" t="s">
        <v>20</v>
      </c>
      <c r="J1704" s="2">
        <v>300</v>
      </c>
    </row>
    <row r="1705" spans="1:12" ht="19.95" customHeight="1">
      <c r="A1705" t="s">
        <v>1804</v>
      </c>
      <c r="B1705" t="s">
        <v>1774</v>
      </c>
      <c r="C1705" t="s">
        <v>47</v>
      </c>
      <c r="D1705" t="s">
        <v>73</v>
      </c>
      <c r="E1705" t="s">
        <v>16</v>
      </c>
      <c r="F1705" t="s">
        <v>17</v>
      </c>
      <c r="G1705" t="s">
        <v>18</v>
      </c>
      <c r="H1705" t="s">
        <v>19</v>
      </c>
      <c r="I1705" t="s">
        <v>20</v>
      </c>
      <c r="J1705" s="2">
        <v>200</v>
      </c>
    </row>
    <row r="1706" spans="1:12" ht="19.95" customHeight="1">
      <c r="A1706" t="s">
        <v>1805</v>
      </c>
      <c r="B1706" t="s">
        <v>1774</v>
      </c>
      <c r="C1706" t="s">
        <v>47</v>
      </c>
      <c r="D1706" t="s">
        <v>55</v>
      </c>
      <c r="E1706" t="s">
        <v>16</v>
      </c>
      <c r="F1706" t="s">
        <v>17</v>
      </c>
      <c r="G1706" t="s">
        <v>32</v>
      </c>
      <c r="H1706" t="s">
        <v>19</v>
      </c>
      <c r="I1706" t="s">
        <v>20</v>
      </c>
      <c r="J1706" s="2">
        <v>300</v>
      </c>
    </row>
    <row r="1707" spans="1:12" ht="19.95" customHeight="1">
      <c r="A1707" t="s">
        <v>1806</v>
      </c>
      <c r="B1707" t="s">
        <v>1774</v>
      </c>
      <c r="C1707" t="s">
        <v>78</v>
      </c>
      <c r="D1707" t="s">
        <v>89</v>
      </c>
      <c r="E1707" t="s">
        <v>16</v>
      </c>
      <c r="F1707" t="s">
        <v>17</v>
      </c>
      <c r="G1707" t="s">
        <v>23</v>
      </c>
      <c r="H1707" t="s">
        <v>19</v>
      </c>
      <c r="I1707" t="s">
        <v>20</v>
      </c>
      <c r="J1707" s="2">
        <v>120</v>
      </c>
    </row>
    <row r="1708" spans="1:12" ht="19.95" customHeight="1">
      <c r="A1708" t="s">
        <v>1807</v>
      </c>
      <c r="B1708" t="s">
        <v>1774</v>
      </c>
      <c r="C1708" t="s">
        <v>78</v>
      </c>
      <c r="D1708" t="s">
        <v>97</v>
      </c>
      <c r="E1708" t="s">
        <v>16</v>
      </c>
      <c r="F1708" t="s">
        <v>17</v>
      </c>
      <c r="G1708" t="s">
        <v>23</v>
      </c>
      <c r="H1708" t="s">
        <v>19</v>
      </c>
      <c r="I1708" t="s">
        <v>53</v>
      </c>
      <c r="J1708" s="2">
        <v>120</v>
      </c>
    </row>
    <row r="1709" spans="1:12" ht="19.95" customHeight="1">
      <c r="A1709" t="s">
        <v>1808</v>
      </c>
      <c r="B1709" t="s">
        <v>1774</v>
      </c>
      <c r="C1709" t="s">
        <v>78</v>
      </c>
      <c r="D1709" t="s">
        <v>79</v>
      </c>
      <c r="E1709" t="s">
        <v>16</v>
      </c>
      <c r="F1709" t="s">
        <v>17</v>
      </c>
      <c r="G1709" t="s">
        <v>32</v>
      </c>
      <c r="H1709" t="s">
        <v>24</v>
      </c>
      <c r="I1709" t="s">
        <v>20</v>
      </c>
      <c r="J1709" s="2">
        <v>300</v>
      </c>
    </row>
    <row r="1710" spans="1:12" ht="19.95" customHeight="1">
      <c r="A1710" t="s">
        <v>1809</v>
      </c>
      <c r="B1710" t="s">
        <v>1774</v>
      </c>
      <c r="C1710" t="s">
        <v>78</v>
      </c>
      <c r="D1710" t="s">
        <v>97</v>
      </c>
      <c r="E1710" t="s">
        <v>16</v>
      </c>
      <c r="F1710" t="s">
        <v>17</v>
      </c>
      <c r="G1710" t="s">
        <v>32</v>
      </c>
      <c r="H1710" t="s">
        <v>19</v>
      </c>
      <c r="I1710" t="s">
        <v>20</v>
      </c>
      <c r="J1710" s="2">
        <v>300</v>
      </c>
    </row>
    <row r="1711" spans="1:12" ht="19.95" customHeight="1">
      <c r="A1711" t="s">
        <v>1810</v>
      </c>
      <c r="B1711" t="s">
        <v>1774</v>
      </c>
      <c r="C1711" t="s">
        <v>78</v>
      </c>
      <c r="D1711" t="s">
        <v>102</v>
      </c>
      <c r="E1711" t="s">
        <v>16</v>
      </c>
      <c r="F1711" t="s">
        <v>17</v>
      </c>
      <c r="G1711" t="s">
        <v>23</v>
      </c>
      <c r="H1711" t="s">
        <v>19</v>
      </c>
      <c r="I1711" t="s">
        <v>20</v>
      </c>
      <c r="J1711" s="2">
        <v>120</v>
      </c>
    </row>
    <row r="1712" spans="1:12" ht="19.95" customHeight="1">
      <c r="A1712" t="s">
        <v>1811</v>
      </c>
      <c r="B1712" t="s">
        <v>1774</v>
      </c>
      <c r="C1712" t="s">
        <v>78</v>
      </c>
      <c r="D1712" t="s">
        <v>242</v>
      </c>
      <c r="E1712" t="s">
        <v>16</v>
      </c>
      <c r="F1712" t="s">
        <v>17</v>
      </c>
      <c r="G1712" t="s">
        <v>32</v>
      </c>
      <c r="H1712" t="s">
        <v>19</v>
      </c>
      <c r="I1712" t="s">
        <v>20</v>
      </c>
      <c r="J1712" s="2">
        <v>300</v>
      </c>
    </row>
    <row r="1713" spans="1:12" ht="19.95" customHeight="1">
      <c r="A1713" t="s">
        <v>1812</v>
      </c>
      <c r="B1713" t="s">
        <v>1774</v>
      </c>
      <c r="C1713" t="s">
        <v>78</v>
      </c>
      <c r="D1713" t="s">
        <v>89</v>
      </c>
      <c r="E1713" t="s">
        <v>16</v>
      </c>
      <c r="F1713" t="s">
        <v>17</v>
      </c>
      <c r="G1713" t="s">
        <v>32</v>
      </c>
      <c r="H1713" t="s">
        <v>19</v>
      </c>
      <c r="I1713" t="s">
        <v>20</v>
      </c>
      <c r="J1713" s="2">
        <v>300</v>
      </c>
    </row>
    <row r="1714" spans="1:12" ht="19.95" customHeight="1">
      <c r="A1714" t="s">
        <v>1813</v>
      </c>
      <c r="B1714" t="s">
        <v>1774</v>
      </c>
      <c r="C1714" t="s">
        <v>78</v>
      </c>
      <c r="D1714" t="s">
        <v>161</v>
      </c>
      <c r="E1714" t="s">
        <v>16</v>
      </c>
      <c r="F1714" t="s">
        <v>17</v>
      </c>
      <c r="G1714" t="s">
        <v>23</v>
      </c>
      <c r="H1714" t="s">
        <v>19</v>
      </c>
      <c r="I1714" t="s">
        <v>20</v>
      </c>
      <c r="J1714" s="2">
        <v>120</v>
      </c>
    </row>
    <row r="1715" spans="1:12" ht="19.95" customHeight="1">
      <c r="A1715" t="s">
        <v>1814</v>
      </c>
      <c r="B1715" t="s">
        <v>1774</v>
      </c>
      <c r="C1715" t="s">
        <v>78</v>
      </c>
      <c r="D1715" t="s">
        <v>97</v>
      </c>
      <c r="E1715" t="s">
        <v>16</v>
      </c>
      <c r="F1715" t="s">
        <v>17</v>
      </c>
      <c r="G1715" t="s">
        <v>18</v>
      </c>
      <c r="H1715" t="s">
        <v>19</v>
      </c>
      <c r="I1715" t="s">
        <v>20</v>
      </c>
      <c r="J1715" s="2">
        <v>200</v>
      </c>
    </row>
    <row r="1716" spans="1:12" ht="19.95" customHeight="1">
      <c r="A1716" t="s">
        <v>1815</v>
      </c>
      <c r="B1716" t="s">
        <v>1774</v>
      </c>
      <c r="C1716" t="s">
        <v>78</v>
      </c>
      <c r="D1716" t="s">
        <v>83</v>
      </c>
      <c r="E1716" t="s">
        <v>16</v>
      </c>
      <c r="F1716" t="s">
        <v>17</v>
      </c>
      <c r="G1716" t="s">
        <v>18</v>
      </c>
      <c r="H1716" t="s">
        <v>19</v>
      </c>
      <c r="I1716" t="s">
        <v>20</v>
      </c>
      <c r="J1716" s="2">
        <v>150</v>
      </c>
      <c r="L1716" t="s">
        <v>29</v>
      </c>
    </row>
    <row r="1717" spans="1:12" ht="19.95" customHeight="1">
      <c r="A1717" t="s">
        <v>1816</v>
      </c>
      <c r="B1717" t="s">
        <v>1774</v>
      </c>
      <c r="C1717" t="s">
        <v>78</v>
      </c>
      <c r="D1717" t="s">
        <v>79</v>
      </c>
      <c r="E1717" t="s">
        <v>16</v>
      </c>
      <c r="F1717" t="s">
        <v>17</v>
      </c>
      <c r="G1717" t="s">
        <v>32</v>
      </c>
      <c r="H1717" t="s">
        <v>19</v>
      </c>
      <c r="I1717" t="s">
        <v>20</v>
      </c>
      <c r="J1717" s="2">
        <v>300</v>
      </c>
    </row>
    <row r="1718" spans="1:12" ht="19.95" customHeight="1">
      <c r="A1718" t="s">
        <v>1817</v>
      </c>
      <c r="B1718" t="s">
        <v>1774</v>
      </c>
      <c r="C1718" t="s">
        <v>78</v>
      </c>
      <c r="D1718" t="s">
        <v>85</v>
      </c>
      <c r="E1718" t="s">
        <v>16</v>
      </c>
      <c r="F1718" t="s">
        <v>17</v>
      </c>
      <c r="G1718" t="s">
        <v>18</v>
      </c>
      <c r="H1718" t="s">
        <v>19</v>
      </c>
      <c r="I1718" t="s">
        <v>20</v>
      </c>
      <c r="J1718" s="2">
        <v>150</v>
      </c>
      <c r="L1718" t="s">
        <v>29</v>
      </c>
    </row>
    <row r="1719" spans="1:12" ht="19.95" customHeight="1">
      <c r="A1719" t="s">
        <v>1818</v>
      </c>
      <c r="B1719" t="s">
        <v>1774</v>
      </c>
      <c r="C1719" t="s">
        <v>78</v>
      </c>
      <c r="D1719" t="s">
        <v>163</v>
      </c>
      <c r="E1719" t="s">
        <v>16</v>
      </c>
      <c r="F1719" t="s">
        <v>17</v>
      </c>
      <c r="G1719" t="s">
        <v>32</v>
      </c>
      <c r="H1719" t="s">
        <v>19</v>
      </c>
      <c r="I1719" t="s">
        <v>20</v>
      </c>
      <c r="J1719" s="2">
        <v>300</v>
      </c>
    </row>
    <row r="1720" spans="1:12" ht="19.95" customHeight="1">
      <c r="A1720" t="s">
        <v>1819</v>
      </c>
      <c r="B1720" t="s">
        <v>1774</v>
      </c>
      <c r="C1720" t="s">
        <v>78</v>
      </c>
      <c r="D1720" t="s">
        <v>89</v>
      </c>
      <c r="E1720" t="s">
        <v>16</v>
      </c>
      <c r="F1720" t="s">
        <v>17</v>
      </c>
      <c r="G1720" t="s">
        <v>18</v>
      </c>
      <c r="H1720" t="s">
        <v>19</v>
      </c>
      <c r="I1720" t="s">
        <v>20</v>
      </c>
      <c r="J1720" s="2">
        <v>200</v>
      </c>
    </row>
    <row r="1721" spans="1:12" ht="19.95" customHeight="1">
      <c r="A1721" t="s">
        <v>1820</v>
      </c>
      <c r="B1721" t="s">
        <v>1774</v>
      </c>
      <c r="C1721" t="s">
        <v>78</v>
      </c>
      <c r="D1721" t="s">
        <v>83</v>
      </c>
      <c r="E1721" t="s">
        <v>16</v>
      </c>
      <c r="F1721" t="s">
        <v>17</v>
      </c>
      <c r="G1721" t="s">
        <v>32</v>
      </c>
      <c r="H1721" t="s">
        <v>24</v>
      </c>
      <c r="I1721" t="s">
        <v>20</v>
      </c>
      <c r="J1721" s="2">
        <v>300</v>
      </c>
    </row>
    <row r="1722" spans="1:12" ht="19.95" customHeight="1">
      <c r="A1722" t="s">
        <v>1821</v>
      </c>
      <c r="B1722" t="s">
        <v>1774</v>
      </c>
      <c r="C1722" t="s">
        <v>78</v>
      </c>
      <c r="D1722" t="s">
        <v>85</v>
      </c>
      <c r="E1722" t="s">
        <v>16</v>
      </c>
      <c r="F1722" t="s">
        <v>17</v>
      </c>
      <c r="G1722" t="s">
        <v>18</v>
      </c>
      <c r="H1722" t="s">
        <v>19</v>
      </c>
      <c r="I1722" t="s">
        <v>20</v>
      </c>
      <c r="J1722" s="2">
        <v>200</v>
      </c>
    </row>
    <row r="1723" spans="1:12" ht="19.95" customHeight="1">
      <c r="A1723" t="s">
        <v>1822</v>
      </c>
      <c r="B1723" t="s">
        <v>1774</v>
      </c>
      <c r="C1723" t="s">
        <v>78</v>
      </c>
      <c r="D1723" t="s">
        <v>93</v>
      </c>
      <c r="E1723" t="s">
        <v>16</v>
      </c>
      <c r="F1723" t="s">
        <v>35</v>
      </c>
      <c r="G1723" t="s">
        <v>18</v>
      </c>
      <c r="H1723" t="s">
        <v>19</v>
      </c>
      <c r="I1723" t="s">
        <v>20</v>
      </c>
      <c r="J1723" s="2">
        <v>200</v>
      </c>
    </row>
    <row r="1724" spans="1:12" ht="19.95" customHeight="1">
      <c r="A1724" t="s">
        <v>1823</v>
      </c>
      <c r="B1724" t="s">
        <v>1774</v>
      </c>
      <c r="C1724" t="s">
        <v>78</v>
      </c>
      <c r="D1724" t="s">
        <v>163</v>
      </c>
      <c r="E1724" t="s">
        <v>16</v>
      </c>
      <c r="F1724" t="s">
        <v>17</v>
      </c>
      <c r="G1724" t="s">
        <v>18</v>
      </c>
      <c r="H1724" t="s">
        <v>19</v>
      </c>
      <c r="I1724" t="s">
        <v>20</v>
      </c>
      <c r="J1724" s="2">
        <v>150</v>
      </c>
      <c r="L1724" t="s">
        <v>29</v>
      </c>
    </row>
    <row r="1725" spans="1:12" ht="19.95" customHeight="1">
      <c r="A1725" t="s">
        <v>1824</v>
      </c>
      <c r="B1725" t="s">
        <v>1774</v>
      </c>
      <c r="C1725" t="s">
        <v>105</v>
      </c>
      <c r="D1725" t="s">
        <v>191</v>
      </c>
      <c r="E1725" t="s">
        <v>16</v>
      </c>
      <c r="F1725" t="s">
        <v>17</v>
      </c>
      <c r="G1725" t="s">
        <v>18</v>
      </c>
      <c r="H1725" t="s">
        <v>19</v>
      </c>
      <c r="I1725" t="s">
        <v>20</v>
      </c>
      <c r="J1725" s="2">
        <v>200</v>
      </c>
    </row>
    <row r="1726" spans="1:12" ht="19.95" customHeight="1">
      <c r="A1726" t="s">
        <v>1825</v>
      </c>
      <c r="B1726" t="s">
        <v>1774</v>
      </c>
      <c r="C1726" t="s">
        <v>105</v>
      </c>
      <c r="D1726" t="s">
        <v>116</v>
      </c>
      <c r="E1726" t="s">
        <v>16</v>
      </c>
      <c r="F1726" t="s">
        <v>17</v>
      </c>
      <c r="G1726" t="s">
        <v>18</v>
      </c>
      <c r="H1726" t="s">
        <v>19</v>
      </c>
      <c r="I1726" t="s">
        <v>20</v>
      </c>
      <c r="J1726" s="2">
        <v>200</v>
      </c>
    </row>
    <row r="1727" spans="1:12" ht="19.95" customHeight="1">
      <c r="A1727" t="s">
        <v>1826</v>
      </c>
      <c r="B1727" t="s">
        <v>1774</v>
      </c>
      <c r="C1727" t="s">
        <v>105</v>
      </c>
      <c r="D1727" t="s">
        <v>265</v>
      </c>
      <c r="E1727" t="s">
        <v>16</v>
      </c>
      <c r="F1727" t="s">
        <v>17</v>
      </c>
      <c r="G1727" t="s">
        <v>23</v>
      </c>
      <c r="H1727" t="s">
        <v>19</v>
      </c>
      <c r="I1727" t="s">
        <v>20</v>
      </c>
      <c r="J1727" s="2">
        <v>120</v>
      </c>
    </row>
    <row r="1728" spans="1:12" ht="19.95" customHeight="1">
      <c r="A1728" t="s">
        <v>1827</v>
      </c>
      <c r="B1728" t="s">
        <v>1774</v>
      </c>
      <c r="C1728" t="s">
        <v>105</v>
      </c>
      <c r="D1728" t="s">
        <v>194</v>
      </c>
      <c r="E1728" t="s">
        <v>16</v>
      </c>
      <c r="F1728" t="s">
        <v>17</v>
      </c>
      <c r="G1728" t="s">
        <v>18</v>
      </c>
      <c r="H1728" t="s">
        <v>19</v>
      </c>
      <c r="I1728" t="s">
        <v>20</v>
      </c>
      <c r="J1728" s="2">
        <v>200</v>
      </c>
    </row>
    <row r="1729" spans="1:12" ht="19.95" customHeight="1">
      <c r="A1729" t="s">
        <v>1828</v>
      </c>
      <c r="B1729" t="s">
        <v>1774</v>
      </c>
      <c r="C1729" t="s">
        <v>105</v>
      </c>
      <c r="D1729" t="s">
        <v>106</v>
      </c>
      <c r="E1729" t="s">
        <v>16</v>
      </c>
      <c r="F1729" t="s">
        <v>35</v>
      </c>
      <c r="G1729" t="s">
        <v>18</v>
      </c>
      <c r="H1729" t="s">
        <v>19</v>
      </c>
      <c r="I1729" t="s">
        <v>20</v>
      </c>
      <c r="J1729" s="2">
        <v>200</v>
      </c>
    </row>
    <row r="1730" spans="1:12" ht="19.95" customHeight="1">
      <c r="A1730" t="s">
        <v>1829</v>
      </c>
      <c r="B1730" t="s">
        <v>1774</v>
      </c>
      <c r="C1730" t="s">
        <v>105</v>
      </c>
      <c r="D1730" t="s">
        <v>265</v>
      </c>
      <c r="E1730" t="s">
        <v>16</v>
      </c>
      <c r="F1730" t="s">
        <v>17</v>
      </c>
      <c r="G1730" t="s">
        <v>32</v>
      </c>
      <c r="H1730" t="s">
        <v>19</v>
      </c>
      <c r="I1730" t="s">
        <v>20</v>
      </c>
      <c r="J1730" s="2">
        <v>300</v>
      </c>
    </row>
    <row r="1731" spans="1:12" ht="19.95" customHeight="1">
      <c r="A1731" t="s">
        <v>1830</v>
      </c>
      <c r="B1731" t="s">
        <v>1774</v>
      </c>
      <c r="C1731" t="s">
        <v>105</v>
      </c>
      <c r="D1731" t="s">
        <v>108</v>
      </c>
      <c r="E1731" t="s">
        <v>16</v>
      </c>
      <c r="F1731" t="s">
        <v>17</v>
      </c>
      <c r="G1731" t="s">
        <v>18</v>
      </c>
      <c r="H1731" t="s">
        <v>24</v>
      </c>
      <c r="I1731" t="s">
        <v>20</v>
      </c>
      <c r="J1731" s="2">
        <v>170</v>
      </c>
      <c r="L1731" t="s">
        <v>29</v>
      </c>
    </row>
    <row r="1732" spans="1:12" ht="19.95" customHeight="1">
      <c r="A1732" t="s">
        <v>1831</v>
      </c>
      <c r="B1732" t="s">
        <v>1774</v>
      </c>
      <c r="C1732" t="s">
        <v>105</v>
      </c>
      <c r="D1732" t="s">
        <v>116</v>
      </c>
      <c r="E1732" t="s">
        <v>16</v>
      </c>
      <c r="F1732" t="s">
        <v>35</v>
      </c>
      <c r="G1732" t="s">
        <v>18</v>
      </c>
      <c r="H1732" t="s">
        <v>19</v>
      </c>
      <c r="I1732" t="s">
        <v>20</v>
      </c>
      <c r="J1732" s="2">
        <v>200</v>
      </c>
    </row>
    <row r="1733" spans="1:12" ht="19.95" customHeight="1">
      <c r="A1733" t="s">
        <v>1832</v>
      </c>
      <c r="B1733" t="s">
        <v>1774</v>
      </c>
      <c r="C1733" t="s">
        <v>105</v>
      </c>
      <c r="D1733" t="s">
        <v>106</v>
      </c>
      <c r="E1733" t="s">
        <v>16</v>
      </c>
      <c r="F1733" t="s">
        <v>35</v>
      </c>
      <c r="G1733" t="s">
        <v>18</v>
      </c>
      <c r="H1733" t="s">
        <v>19</v>
      </c>
      <c r="I1733" t="s">
        <v>20</v>
      </c>
      <c r="J1733" s="2">
        <v>200</v>
      </c>
    </row>
    <row r="1734" spans="1:12" ht="19.95" customHeight="1">
      <c r="A1734" t="s">
        <v>1833</v>
      </c>
      <c r="B1734" t="s">
        <v>1774</v>
      </c>
      <c r="C1734" t="s">
        <v>105</v>
      </c>
      <c r="D1734" t="s">
        <v>112</v>
      </c>
      <c r="E1734" t="s">
        <v>16</v>
      </c>
      <c r="F1734" t="s">
        <v>17</v>
      </c>
      <c r="G1734" t="s">
        <v>18</v>
      </c>
      <c r="H1734" t="s">
        <v>24</v>
      </c>
      <c r="I1734" t="s">
        <v>20</v>
      </c>
      <c r="J1734" s="2">
        <v>200</v>
      </c>
    </row>
    <row r="1735" spans="1:12" ht="19.95" customHeight="1">
      <c r="A1735" t="s">
        <v>1834</v>
      </c>
      <c r="B1735" t="s">
        <v>1774</v>
      </c>
      <c r="C1735" t="s">
        <v>105</v>
      </c>
      <c r="D1735" t="s">
        <v>110</v>
      </c>
      <c r="E1735" t="s">
        <v>16</v>
      </c>
      <c r="F1735" t="s">
        <v>17</v>
      </c>
      <c r="G1735" t="s">
        <v>18</v>
      </c>
      <c r="H1735" t="s">
        <v>19</v>
      </c>
      <c r="I1735" t="s">
        <v>20</v>
      </c>
      <c r="J1735" s="2">
        <v>200</v>
      </c>
    </row>
    <row r="1736" spans="1:12" ht="19.95" customHeight="1">
      <c r="A1736" t="s">
        <v>1835</v>
      </c>
      <c r="B1736" t="s">
        <v>1774</v>
      </c>
      <c r="C1736" t="s">
        <v>105</v>
      </c>
      <c r="D1736" t="s">
        <v>108</v>
      </c>
      <c r="E1736" t="s">
        <v>16</v>
      </c>
      <c r="F1736" t="s">
        <v>17</v>
      </c>
      <c r="G1736" t="s">
        <v>23</v>
      </c>
      <c r="H1736" t="s">
        <v>19</v>
      </c>
      <c r="I1736" t="s">
        <v>74</v>
      </c>
      <c r="J1736" s="2">
        <v>120</v>
      </c>
    </row>
    <row r="1737" spans="1:12" ht="19.95" customHeight="1">
      <c r="A1737" t="s">
        <v>1836</v>
      </c>
      <c r="B1737" t="s">
        <v>1774</v>
      </c>
      <c r="C1737" t="s">
        <v>105</v>
      </c>
      <c r="D1737" t="s">
        <v>106</v>
      </c>
      <c r="E1737" t="s">
        <v>16</v>
      </c>
      <c r="F1737" t="s">
        <v>17</v>
      </c>
      <c r="G1737" t="s">
        <v>18</v>
      </c>
      <c r="H1737" t="s">
        <v>19</v>
      </c>
      <c r="I1737" t="s">
        <v>74</v>
      </c>
      <c r="J1737" s="2">
        <v>200</v>
      </c>
    </row>
    <row r="1738" spans="1:12" ht="19.95" customHeight="1">
      <c r="A1738" t="s">
        <v>1837</v>
      </c>
      <c r="B1738" t="s">
        <v>1774</v>
      </c>
      <c r="C1738" t="s">
        <v>105</v>
      </c>
      <c r="D1738" t="s">
        <v>194</v>
      </c>
      <c r="E1738" t="s">
        <v>16</v>
      </c>
      <c r="F1738" t="s">
        <v>35</v>
      </c>
      <c r="G1738" t="s">
        <v>18</v>
      </c>
      <c r="H1738" t="s">
        <v>19</v>
      </c>
      <c r="I1738" t="s">
        <v>20</v>
      </c>
      <c r="J1738" s="2">
        <v>200</v>
      </c>
    </row>
    <row r="1739" spans="1:12" ht="19.95" customHeight="1">
      <c r="A1739" t="s">
        <v>1838</v>
      </c>
      <c r="B1739" t="s">
        <v>1774</v>
      </c>
      <c r="C1739" t="s">
        <v>105</v>
      </c>
      <c r="D1739" t="s">
        <v>194</v>
      </c>
      <c r="E1739" t="s">
        <v>16</v>
      </c>
      <c r="F1739" t="s">
        <v>17</v>
      </c>
      <c r="G1739" t="s">
        <v>18</v>
      </c>
      <c r="H1739" t="s">
        <v>19</v>
      </c>
      <c r="I1739" t="s">
        <v>20</v>
      </c>
      <c r="J1739" s="2">
        <v>200</v>
      </c>
    </row>
    <row r="1740" spans="1:12" ht="19.95" customHeight="1">
      <c r="A1740" t="s">
        <v>1839</v>
      </c>
      <c r="B1740" t="s">
        <v>1774</v>
      </c>
      <c r="C1740" t="s">
        <v>105</v>
      </c>
      <c r="D1740" t="s">
        <v>194</v>
      </c>
      <c r="E1740" t="s">
        <v>16</v>
      </c>
      <c r="F1740" t="s">
        <v>17</v>
      </c>
      <c r="G1740" t="s">
        <v>32</v>
      </c>
      <c r="H1740" t="s">
        <v>19</v>
      </c>
      <c r="I1740" t="s">
        <v>20</v>
      </c>
      <c r="J1740" s="2">
        <v>300</v>
      </c>
    </row>
    <row r="1741" spans="1:12" ht="19.95" customHeight="1">
      <c r="A1741" t="s">
        <v>1840</v>
      </c>
      <c r="B1741" t="s">
        <v>1774</v>
      </c>
      <c r="C1741" t="s">
        <v>78</v>
      </c>
      <c r="D1741" t="s">
        <v>163</v>
      </c>
      <c r="E1741" t="s">
        <v>402</v>
      </c>
      <c r="F1741" t="s">
        <v>17</v>
      </c>
      <c r="G1741" t="s">
        <v>32</v>
      </c>
      <c r="H1741" t="s">
        <v>19</v>
      </c>
      <c r="I1741" t="s">
        <v>20</v>
      </c>
      <c r="J1741" s="2">
        <v>225</v>
      </c>
      <c r="K1741" t="s">
        <v>1269</v>
      </c>
      <c r="L1741" t="s">
        <v>1270</v>
      </c>
    </row>
    <row r="1742" spans="1:12" ht="19.95" customHeight="1">
      <c r="A1742" t="s">
        <v>1841</v>
      </c>
      <c r="B1742" t="s">
        <v>1774</v>
      </c>
      <c r="C1742" t="s">
        <v>78</v>
      </c>
      <c r="D1742" t="s">
        <v>87</v>
      </c>
      <c r="E1742" t="s">
        <v>402</v>
      </c>
      <c r="F1742" t="s">
        <v>17</v>
      </c>
      <c r="G1742" t="s">
        <v>32</v>
      </c>
      <c r="H1742" t="s">
        <v>19</v>
      </c>
      <c r="I1742" t="s">
        <v>20</v>
      </c>
      <c r="J1742" s="2">
        <v>225</v>
      </c>
      <c r="K1742" t="s">
        <v>1277</v>
      </c>
      <c r="L1742" t="s">
        <v>1270</v>
      </c>
    </row>
    <row r="1743" spans="1:12" ht="19.95" customHeight="1">
      <c r="A1743" t="s">
        <v>1842</v>
      </c>
      <c r="B1743" t="s">
        <v>1774</v>
      </c>
      <c r="C1743" t="s">
        <v>78</v>
      </c>
      <c r="D1743" t="s">
        <v>83</v>
      </c>
      <c r="E1743" t="s">
        <v>402</v>
      </c>
      <c r="F1743" t="s">
        <v>17</v>
      </c>
      <c r="G1743" t="s">
        <v>32</v>
      </c>
      <c r="H1743" t="s">
        <v>19</v>
      </c>
      <c r="I1743" t="s">
        <v>20</v>
      </c>
      <c r="J1743" s="2">
        <v>225</v>
      </c>
      <c r="K1743" t="s">
        <v>1283</v>
      </c>
      <c r="L1743" t="s">
        <v>1270</v>
      </c>
    </row>
    <row r="1744" spans="1:12" ht="19.95" customHeight="1">
      <c r="A1744" t="s">
        <v>1843</v>
      </c>
      <c r="B1744" t="s">
        <v>1774</v>
      </c>
      <c r="C1744" t="s">
        <v>78</v>
      </c>
      <c r="D1744" t="s">
        <v>85</v>
      </c>
      <c r="E1744" t="s">
        <v>402</v>
      </c>
      <c r="F1744" t="s">
        <v>17</v>
      </c>
      <c r="G1744" t="s">
        <v>32</v>
      </c>
      <c r="H1744" t="s">
        <v>19</v>
      </c>
      <c r="I1744" t="s">
        <v>20</v>
      </c>
      <c r="J1744" s="2">
        <v>225</v>
      </c>
      <c r="K1744" t="s">
        <v>1364</v>
      </c>
      <c r="L1744" t="s">
        <v>1270</v>
      </c>
    </row>
    <row r="1745" spans="1:12" ht="19.95" customHeight="1">
      <c r="A1745" t="s">
        <v>1844</v>
      </c>
      <c r="B1745" t="s">
        <v>1774</v>
      </c>
      <c r="C1745" t="s">
        <v>78</v>
      </c>
      <c r="D1745" t="s">
        <v>83</v>
      </c>
      <c r="E1745" t="s">
        <v>402</v>
      </c>
      <c r="F1745" t="s">
        <v>17</v>
      </c>
      <c r="G1745" t="s">
        <v>32</v>
      </c>
      <c r="H1745" t="s">
        <v>19</v>
      </c>
      <c r="I1745" t="s">
        <v>20</v>
      </c>
      <c r="J1745" s="2">
        <v>225</v>
      </c>
      <c r="K1745" t="s">
        <v>1371</v>
      </c>
      <c r="L1745" t="s">
        <v>1270</v>
      </c>
    </row>
    <row r="1746" spans="1:12" ht="19.95" customHeight="1">
      <c r="A1746" t="s">
        <v>1845</v>
      </c>
      <c r="B1746" t="s">
        <v>1774</v>
      </c>
      <c r="C1746" t="s">
        <v>78</v>
      </c>
      <c r="D1746" t="s">
        <v>97</v>
      </c>
      <c r="E1746" t="s">
        <v>402</v>
      </c>
      <c r="F1746" t="s">
        <v>17</v>
      </c>
      <c r="G1746" t="s">
        <v>32</v>
      </c>
      <c r="H1746" t="s">
        <v>19</v>
      </c>
      <c r="I1746" t="s">
        <v>20</v>
      </c>
      <c r="J1746" s="2">
        <v>225</v>
      </c>
      <c r="K1746" t="s">
        <v>1375</v>
      </c>
      <c r="L1746" t="s">
        <v>1270</v>
      </c>
    </row>
    <row r="1747" spans="1:12" ht="19.95" customHeight="1">
      <c r="A1747" t="s">
        <v>1846</v>
      </c>
      <c r="B1747" t="s">
        <v>1774</v>
      </c>
      <c r="C1747" t="s">
        <v>78</v>
      </c>
      <c r="D1747" t="s">
        <v>97</v>
      </c>
      <c r="E1747" t="s">
        <v>402</v>
      </c>
      <c r="F1747" t="s">
        <v>17</v>
      </c>
      <c r="G1747" t="s">
        <v>32</v>
      </c>
      <c r="H1747" t="s">
        <v>19</v>
      </c>
      <c r="I1747" t="s">
        <v>20</v>
      </c>
      <c r="J1747" s="2">
        <v>225</v>
      </c>
      <c r="K1747" t="s">
        <v>1448</v>
      </c>
      <c r="L1747" t="s">
        <v>1270</v>
      </c>
    </row>
    <row r="1748" spans="1:12" ht="19.95" customHeight="1">
      <c r="A1748" t="s">
        <v>1847</v>
      </c>
      <c r="B1748" t="s">
        <v>1774</v>
      </c>
      <c r="C1748" t="s">
        <v>78</v>
      </c>
      <c r="D1748" t="s">
        <v>163</v>
      </c>
      <c r="E1748" t="s">
        <v>402</v>
      </c>
      <c r="F1748" t="s">
        <v>17</v>
      </c>
      <c r="G1748" t="s">
        <v>32</v>
      </c>
      <c r="H1748" t="s">
        <v>19</v>
      </c>
      <c r="I1748" t="s">
        <v>20</v>
      </c>
      <c r="J1748" s="2">
        <v>225</v>
      </c>
      <c r="K1748" t="s">
        <v>1450</v>
      </c>
      <c r="L1748" t="s">
        <v>1270</v>
      </c>
    </row>
    <row r="1749" spans="1:12" ht="19.95" customHeight="1">
      <c r="A1749" t="s">
        <v>1848</v>
      </c>
      <c r="B1749" t="s">
        <v>1774</v>
      </c>
      <c r="C1749" t="s">
        <v>78</v>
      </c>
      <c r="D1749" t="s">
        <v>163</v>
      </c>
      <c r="E1749" t="s">
        <v>402</v>
      </c>
      <c r="F1749" t="s">
        <v>17</v>
      </c>
      <c r="G1749" t="s">
        <v>32</v>
      </c>
      <c r="H1749" t="s">
        <v>19</v>
      </c>
      <c r="I1749" t="s">
        <v>20</v>
      </c>
      <c r="J1749" s="2">
        <v>225</v>
      </c>
      <c r="K1749" t="s">
        <v>1451</v>
      </c>
      <c r="L1749" t="s">
        <v>1270</v>
      </c>
    </row>
    <row r="1750" spans="1:12" ht="19.95" customHeight="1">
      <c r="A1750" t="s">
        <v>1849</v>
      </c>
      <c r="B1750" t="s">
        <v>1774</v>
      </c>
      <c r="C1750" t="s">
        <v>78</v>
      </c>
      <c r="D1750" t="s">
        <v>97</v>
      </c>
      <c r="E1750" t="s">
        <v>402</v>
      </c>
      <c r="F1750" t="s">
        <v>17</v>
      </c>
      <c r="G1750" t="s">
        <v>32</v>
      </c>
      <c r="H1750" t="s">
        <v>19</v>
      </c>
      <c r="I1750" t="s">
        <v>20</v>
      </c>
      <c r="J1750" s="2">
        <v>225</v>
      </c>
      <c r="K1750" t="s">
        <v>1452</v>
      </c>
      <c r="L1750" t="s">
        <v>1270</v>
      </c>
    </row>
    <row r="1751" spans="1:12" ht="19.95" customHeight="1">
      <c r="A1751" t="s">
        <v>1850</v>
      </c>
      <c r="B1751" t="s">
        <v>1774</v>
      </c>
      <c r="C1751" t="s">
        <v>78</v>
      </c>
      <c r="D1751" t="s">
        <v>87</v>
      </c>
      <c r="E1751" t="s">
        <v>402</v>
      </c>
      <c r="F1751" t="s">
        <v>17</v>
      </c>
      <c r="G1751" t="s">
        <v>32</v>
      </c>
      <c r="H1751" t="s">
        <v>19</v>
      </c>
      <c r="I1751" t="s">
        <v>20</v>
      </c>
      <c r="J1751" s="2">
        <v>225</v>
      </c>
      <c r="K1751" t="s">
        <v>1455</v>
      </c>
      <c r="L1751" t="s">
        <v>1270</v>
      </c>
    </row>
    <row r="1752" spans="1:12" ht="19.95" customHeight="1">
      <c r="A1752" t="s">
        <v>1851</v>
      </c>
      <c r="B1752" t="s">
        <v>1774</v>
      </c>
      <c r="C1752" t="s">
        <v>78</v>
      </c>
      <c r="D1752" t="s">
        <v>79</v>
      </c>
      <c r="E1752" t="s">
        <v>402</v>
      </c>
      <c r="F1752" t="s">
        <v>17</v>
      </c>
      <c r="G1752" t="s">
        <v>32</v>
      </c>
      <c r="H1752" t="s">
        <v>19</v>
      </c>
      <c r="I1752" t="s">
        <v>20</v>
      </c>
      <c r="J1752" s="2">
        <v>225</v>
      </c>
      <c r="K1752" t="s">
        <v>1456</v>
      </c>
      <c r="L1752" t="s">
        <v>1270</v>
      </c>
    </row>
    <row r="1753" spans="1:12" ht="19.95" customHeight="1">
      <c r="A1753" t="s">
        <v>1852</v>
      </c>
      <c r="B1753" t="s">
        <v>1774</v>
      </c>
      <c r="C1753" t="s">
        <v>78</v>
      </c>
      <c r="D1753" t="s">
        <v>97</v>
      </c>
      <c r="E1753" t="s">
        <v>402</v>
      </c>
      <c r="F1753" t="s">
        <v>17</v>
      </c>
      <c r="G1753" t="s">
        <v>32</v>
      </c>
      <c r="H1753" t="s">
        <v>19</v>
      </c>
      <c r="I1753" t="s">
        <v>20</v>
      </c>
      <c r="J1753" s="2">
        <v>225</v>
      </c>
      <c r="K1753" t="s">
        <v>1457</v>
      </c>
      <c r="L1753" t="s">
        <v>1270</v>
      </c>
    </row>
    <row r="1754" spans="1:12" ht="19.95" customHeight="1">
      <c r="A1754" t="s">
        <v>1853</v>
      </c>
      <c r="B1754" t="s">
        <v>1774</v>
      </c>
      <c r="C1754" t="s">
        <v>78</v>
      </c>
      <c r="D1754" t="s">
        <v>97</v>
      </c>
      <c r="E1754" t="s">
        <v>402</v>
      </c>
      <c r="F1754" t="s">
        <v>17</v>
      </c>
      <c r="G1754" t="s">
        <v>23</v>
      </c>
      <c r="H1754" t="s">
        <v>19</v>
      </c>
      <c r="I1754" t="s">
        <v>20</v>
      </c>
      <c r="J1754" s="2">
        <v>120</v>
      </c>
      <c r="K1754" t="s">
        <v>1358</v>
      </c>
    </row>
    <row r="1755" spans="1:12" ht="19.95" customHeight="1">
      <c r="A1755" t="s">
        <v>1854</v>
      </c>
      <c r="B1755" t="s">
        <v>1774</v>
      </c>
      <c r="C1755" t="s">
        <v>78</v>
      </c>
      <c r="D1755" t="s">
        <v>81</v>
      </c>
      <c r="E1755" t="s">
        <v>402</v>
      </c>
      <c r="F1755" t="s">
        <v>17</v>
      </c>
      <c r="G1755" t="s">
        <v>23</v>
      </c>
      <c r="H1755" t="s">
        <v>19</v>
      </c>
      <c r="I1755" t="s">
        <v>20</v>
      </c>
      <c r="J1755" s="2">
        <v>120</v>
      </c>
      <c r="K1755" t="s">
        <v>1524</v>
      </c>
    </row>
    <row r="1756" spans="1:12" ht="19.95" customHeight="1">
      <c r="A1756" t="s">
        <v>1855</v>
      </c>
      <c r="B1756" t="s">
        <v>1774</v>
      </c>
      <c r="C1756" t="s">
        <v>105</v>
      </c>
      <c r="D1756" t="s">
        <v>187</v>
      </c>
      <c r="E1756" t="s">
        <v>402</v>
      </c>
      <c r="F1756" t="s">
        <v>17</v>
      </c>
      <c r="G1756" t="s">
        <v>18</v>
      </c>
      <c r="H1756" t="s">
        <v>19</v>
      </c>
      <c r="I1756" t="s">
        <v>20</v>
      </c>
      <c r="J1756" s="2">
        <v>200</v>
      </c>
      <c r="K1756" t="s">
        <v>1689</v>
      </c>
    </row>
    <row r="1757" spans="1:12" ht="19.95" customHeight="1">
      <c r="A1757" t="s">
        <v>1856</v>
      </c>
      <c r="B1757" t="s">
        <v>1774</v>
      </c>
      <c r="C1757" t="s">
        <v>47</v>
      </c>
      <c r="D1757" t="s">
        <v>71</v>
      </c>
      <c r="E1757" t="s">
        <v>402</v>
      </c>
      <c r="F1757" t="s">
        <v>17</v>
      </c>
      <c r="G1757" t="s">
        <v>23</v>
      </c>
      <c r="H1757" t="s">
        <v>19</v>
      </c>
      <c r="I1757" t="s">
        <v>20</v>
      </c>
      <c r="J1757" s="2">
        <v>120</v>
      </c>
      <c r="K1757" t="s">
        <v>1585</v>
      </c>
    </row>
    <row r="1758" spans="1:12" ht="19.95" customHeight="1">
      <c r="A1758" t="s">
        <v>1857</v>
      </c>
      <c r="B1758" t="s">
        <v>1774</v>
      </c>
      <c r="C1758" t="s">
        <v>105</v>
      </c>
      <c r="D1758" t="s">
        <v>191</v>
      </c>
      <c r="E1758" t="s">
        <v>402</v>
      </c>
      <c r="F1758" t="s">
        <v>17</v>
      </c>
      <c r="G1758" t="s">
        <v>18</v>
      </c>
      <c r="H1758" t="s">
        <v>19</v>
      </c>
      <c r="I1758" t="s">
        <v>20</v>
      </c>
      <c r="J1758" s="2">
        <v>170</v>
      </c>
      <c r="K1758" t="s">
        <v>1552</v>
      </c>
      <c r="L1758" t="s">
        <v>29</v>
      </c>
    </row>
    <row r="1759" spans="1:12" ht="19.95" customHeight="1">
      <c r="A1759" t="s">
        <v>1858</v>
      </c>
      <c r="B1759" t="s">
        <v>1859</v>
      </c>
      <c r="C1759" t="s">
        <v>14</v>
      </c>
      <c r="D1759" t="s">
        <v>137</v>
      </c>
      <c r="E1759" t="s">
        <v>16</v>
      </c>
      <c r="F1759" t="s">
        <v>17</v>
      </c>
      <c r="G1759" t="s">
        <v>23</v>
      </c>
      <c r="H1759" t="s">
        <v>19</v>
      </c>
      <c r="I1759" t="s">
        <v>20</v>
      </c>
      <c r="J1759" s="2">
        <v>120</v>
      </c>
    </row>
    <row r="1760" spans="1:12" ht="19.95" customHeight="1">
      <c r="A1760" t="s">
        <v>1860</v>
      </c>
      <c r="B1760" t="s">
        <v>1859</v>
      </c>
      <c r="C1760" t="s">
        <v>14</v>
      </c>
      <c r="D1760" t="s">
        <v>26</v>
      </c>
      <c r="E1760" t="s">
        <v>16</v>
      </c>
      <c r="F1760" t="s">
        <v>17</v>
      </c>
      <c r="G1760" t="s">
        <v>32</v>
      </c>
      <c r="H1760" t="s">
        <v>19</v>
      </c>
      <c r="I1760" t="s">
        <v>20</v>
      </c>
      <c r="J1760" s="2">
        <v>300</v>
      </c>
    </row>
    <row r="1761" spans="1:12" ht="19.95" customHeight="1">
      <c r="A1761" t="s">
        <v>1861</v>
      </c>
      <c r="B1761" t="s">
        <v>1859</v>
      </c>
      <c r="C1761" t="s">
        <v>14</v>
      </c>
      <c r="D1761" t="s">
        <v>28</v>
      </c>
      <c r="E1761" t="s">
        <v>16</v>
      </c>
      <c r="F1761" t="s">
        <v>17</v>
      </c>
      <c r="G1761" t="s">
        <v>32</v>
      </c>
      <c r="H1761" t="s">
        <v>19</v>
      </c>
      <c r="I1761" t="s">
        <v>20</v>
      </c>
      <c r="J1761" s="2">
        <v>300</v>
      </c>
    </row>
    <row r="1762" spans="1:12" ht="19.95" customHeight="1">
      <c r="A1762" t="s">
        <v>1862</v>
      </c>
      <c r="B1762" t="s">
        <v>1859</v>
      </c>
      <c r="C1762" t="s">
        <v>14</v>
      </c>
      <c r="D1762" t="s">
        <v>131</v>
      </c>
      <c r="E1762" t="s">
        <v>16</v>
      </c>
      <c r="F1762" t="s">
        <v>35</v>
      </c>
      <c r="G1762" t="s">
        <v>18</v>
      </c>
      <c r="H1762" t="s">
        <v>19</v>
      </c>
      <c r="I1762" t="s">
        <v>20</v>
      </c>
      <c r="J1762" s="2">
        <v>200</v>
      </c>
    </row>
    <row r="1763" spans="1:12" ht="19.95" customHeight="1">
      <c r="A1763" t="s">
        <v>1863</v>
      </c>
      <c r="B1763" t="s">
        <v>1859</v>
      </c>
      <c r="C1763" t="s">
        <v>14</v>
      </c>
      <c r="D1763" t="s">
        <v>37</v>
      </c>
      <c r="E1763" t="s">
        <v>16</v>
      </c>
      <c r="F1763" t="s">
        <v>17</v>
      </c>
      <c r="G1763" t="s">
        <v>32</v>
      </c>
      <c r="H1763" t="s">
        <v>24</v>
      </c>
      <c r="I1763" t="s">
        <v>20</v>
      </c>
      <c r="J1763" s="2">
        <v>225</v>
      </c>
      <c r="L1763" t="s">
        <v>29</v>
      </c>
    </row>
    <row r="1764" spans="1:12" ht="19.95" customHeight="1">
      <c r="A1764" t="s">
        <v>1864</v>
      </c>
      <c r="B1764" t="s">
        <v>1859</v>
      </c>
      <c r="C1764" t="s">
        <v>14</v>
      </c>
      <c r="D1764" t="s">
        <v>26</v>
      </c>
      <c r="E1764" t="s">
        <v>16</v>
      </c>
      <c r="F1764" t="s">
        <v>17</v>
      </c>
      <c r="G1764" t="s">
        <v>18</v>
      </c>
      <c r="H1764" t="s">
        <v>19</v>
      </c>
      <c r="I1764" t="s">
        <v>20</v>
      </c>
      <c r="J1764" s="2">
        <v>200</v>
      </c>
    </row>
    <row r="1765" spans="1:12" ht="19.95" customHeight="1">
      <c r="A1765" t="s">
        <v>1865</v>
      </c>
      <c r="B1765" t="s">
        <v>1859</v>
      </c>
      <c r="C1765" t="s">
        <v>14</v>
      </c>
      <c r="D1765" t="s">
        <v>28</v>
      </c>
      <c r="E1765" t="s">
        <v>16</v>
      </c>
      <c r="F1765" t="s">
        <v>17</v>
      </c>
      <c r="G1765" t="s">
        <v>18</v>
      </c>
      <c r="H1765" t="s">
        <v>19</v>
      </c>
      <c r="I1765" t="s">
        <v>20</v>
      </c>
      <c r="J1765" s="2">
        <v>170</v>
      </c>
      <c r="L1765" t="s">
        <v>29</v>
      </c>
    </row>
    <row r="1766" spans="1:12" ht="19.95" customHeight="1">
      <c r="A1766" t="s">
        <v>1866</v>
      </c>
      <c r="B1766" t="s">
        <v>1859</v>
      </c>
      <c r="C1766" t="s">
        <v>14</v>
      </c>
      <c r="D1766" t="s">
        <v>210</v>
      </c>
      <c r="E1766" t="s">
        <v>16</v>
      </c>
      <c r="F1766" t="s">
        <v>35</v>
      </c>
      <c r="G1766" t="s">
        <v>18</v>
      </c>
      <c r="H1766" t="s">
        <v>24</v>
      </c>
      <c r="I1766" t="s">
        <v>20</v>
      </c>
      <c r="J1766" s="2">
        <v>170</v>
      </c>
      <c r="L1766" t="s">
        <v>29</v>
      </c>
    </row>
    <row r="1767" spans="1:12" ht="19.95" customHeight="1">
      <c r="A1767" t="s">
        <v>1867</v>
      </c>
      <c r="B1767" t="s">
        <v>1859</v>
      </c>
      <c r="C1767" t="s">
        <v>14</v>
      </c>
      <c r="D1767" t="s">
        <v>26</v>
      </c>
      <c r="E1767" t="s">
        <v>16</v>
      </c>
      <c r="F1767" t="s">
        <v>17</v>
      </c>
      <c r="G1767" t="s">
        <v>23</v>
      </c>
      <c r="H1767" t="s">
        <v>19</v>
      </c>
      <c r="I1767" t="s">
        <v>20</v>
      </c>
      <c r="J1767" s="2">
        <v>102</v>
      </c>
      <c r="L1767" t="s">
        <v>29</v>
      </c>
    </row>
    <row r="1768" spans="1:12" ht="19.95" customHeight="1">
      <c r="A1768" t="s">
        <v>1868</v>
      </c>
      <c r="B1768" t="s">
        <v>1859</v>
      </c>
      <c r="C1768" t="s">
        <v>14</v>
      </c>
      <c r="D1768" t="s">
        <v>26</v>
      </c>
      <c r="E1768" t="s">
        <v>16</v>
      </c>
      <c r="F1768" t="s">
        <v>17</v>
      </c>
      <c r="G1768" t="s">
        <v>18</v>
      </c>
      <c r="H1768" t="s">
        <v>19</v>
      </c>
      <c r="I1768" t="s">
        <v>20</v>
      </c>
      <c r="J1768" s="2">
        <v>150</v>
      </c>
      <c r="L1768" t="s">
        <v>29</v>
      </c>
    </row>
    <row r="1769" spans="1:12" ht="19.95" customHeight="1">
      <c r="A1769" t="s">
        <v>1869</v>
      </c>
      <c r="B1769" t="s">
        <v>1859</v>
      </c>
      <c r="C1769" t="s">
        <v>14</v>
      </c>
      <c r="D1769" t="s">
        <v>34</v>
      </c>
      <c r="E1769" t="s">
        <v>16</v>
      </c>
      <c r="F1769" t="s">
        <v>17</v>
      </c>
      <c r="G1769" t="s">
        <v>18</v>
      </c>
      <c r="H1769" t="s">
        <v>19</v>
      </c>
      <c r="I1769" t="s">
        <v>20</v>
      </c>
      <c r="J1769" s="2">
        <v>200</v>
      </c>
    </row>
    <row r="1770" spans="1:12" ht="19.95" customHeight="1">
      <c r="A1770" t="s">
        <v>1870</v>
      </c>
      <c r="B1770" t="s">
        <v>1859</v>
      </c>
      <c r="C1770" t="s">
        <v>14</v>
      </c>
      <c r="D1770" t="s">
        <v>40</v>
      </c>
      <c r="E1770" t="s">
        <v>16</v>
      </c>
      <c r="F1770" t="s">
        <v>17</v>
      </c>
      <c r="G1770" t="s">
        <v>18</v>
      </c>
      <c r="H1770" t="s">
        <v>19</v>
      </c>
      <c r="I1770" t="s">
        <v>20</v>
      </c>
      <c r="J1770" s="2">
        <v>200</v>
      </c>
    </row>
    <row r="1771" spans="1:12" ht="19.95" customHeight="1">
      <c r="A1771" t="s">
        <v>1871</v>
      </c>
      <c r="B1771" t="s">
        <v>1859</v>
      </c>
      <c r="C1771" t="s">
        <v>14</v>
      </c>
      <c r="D1771" t="s">
        <v>42</v>
      </c>
      <c r="E1771" t="s">
        <v>16</v>
      </c>
      <c r="F1771" t="s">
        <v>17</v>
      </c>
      <c r="G1771" t="s">
        <v>18</v>
      </c>
      <c r="H1771" t="s">
        <v>24</v>
      </c>
      <c r="I1771" t="s">
        <v>20</v>
      </c>
      <c r="J1771" s="2">
        <v>200</v>
      </c>
    </row>
    <row r="1772" spans="1:12" ht="19.95" customHeight="1">
      <c r="A1772" t="s">
        <v>1872</v>
      </c>
      <c r="B1772" t="s">
        <v>1859</v>
      </c>
      <c r="C1772" t="s">
        <v>14</v>
      </c>
      <c r="D1772" t="s">
        <v>37</v>
      </c>
      <c r="E1772" t="s">
        <v>16</v>
      </c>
      <c r="F1772" t="s">
        <v>35</v>
      </c>
      <c r="G1772" t="s">
        <v>32</v>
      </c>
      <c r="H1772" t="s">
        <v>19</v>
      </c>
      <c r="I1772" t="s">
        <v>20</v>
      </c>
      <c r="J1772" s="2">
        <v>255</v>
      </c>
      <c r="L1772" t="s">
        <v>29</v>
      </c>
    </row>
    <row r="1773" spans="1:12" ht="19.95" customHeight="1">
      <c r="A1773" t="s">
        <v>1873</v>
      </c>
      <c r="B1773" t="s">
        <v>1859</v>
      </c>
      <c r="C1773" t="s">
        <v>14</v>
      </c>
      <c r="D1773" t="s">
        <v>40</v>
      </c>
      <c r="E1773" t="s">
        <v>16</v>
      </c>
      <c r="F1773" t="s">
        <v>17</v>
      </c>
      <c r="G1773" t="s">
        <v>32</v>
      </c>
      <c r="H1773" t="s">
        <v>19</v>
      </c>
      <c r="I1773" t="s">
        <v>20</v>
      </c>
      <c r="J1773" s="2">
        <v>300</v>
      </c>
    </row>
    <row r="1774" spans="1:12" ht="19.95" customHeight="1">
      <c r="A1774" t="s">
        <v>1874</v>
      </c>
      <c r="B1774" t="s">
        <v>1859</v>
      </c>
      <c r="C1774" t="s">
        <v>14</v>
      </c>
      <c r="D1774" t="s">
        <v>26</v>
      </c>
      <c r="E1774" t="s">
        <v>16</v>
      </c>
      <c r="F1774" t="s">
        <v>17</v>
      </c>
      <c r="G1774" t="s">
        <v>18</v>
      </c>
      <c r="H1774" t="s">
        <v>24</v>
      </c>
      <c r="I1774" t="s">
        <v>20</v>
      </c>
      <c r="J1774" s="2">
        <v>200</v>
      </c>
    </row>
    <row r="1775" spans="1:12" ht="19.95" customHeight="1">
      <c r="A1775" t="s">
        <v>1875</v>
      </c>
      <c r="B1775" t="s">
        <v>1859</v>
      </c>
      <c r="C1775" t="s">
        <v>14</v>
      </c>
      <c r="D1775" t="s">
        <v>26</v>
      </c>
      <c r="E1775" t="s">
        <v>16</v>
      </c>
      <c r="F1775" t="s">
        <v>17</v>
      </c>
      <c r="G1775" t="s">
        <v>32</v>
      </c>
      <c r="H1775" t="s">
        <v>19</v>
      </c>
      <c r="I1775" t="s">
        <v>20</v>
      </c>
      <c r="J1775" s="2">
        <v>300</v>
      </c>
    </row>
    <row r="1776" spans="1:12" ht="19.95" customHeight="1">
      <c r="A1776" t="s">
        <v>1876</v>
      </c>
      <c r="B1776" t="s">
        <v>1859</v>
      </c>
      <c r="C1776" t="s">
        <v>47</v>
      </c>
      <c r="D1776" t="s">
        <v>64</v>
      </c>
      <c r="E1776" t="s">
        <v>16</v>
      </c>
      <c r="F1776" t="s">
        <v>17</v>
      </c>
      <c r="G1776" t="s">
        <v>23</v>
      </c>
      <c r="H1776" t="s">
        <v>19</v>
      </c>
      <c r="I1776" t="s">
        <v>20</v>
      </c>
      <c r="J1776" s="2">
        <v>120</v>
      </c>
    </row>
    <row r="1777" spans="1:12" ht="19.95" customHeight="1">
      <c r="A1777" t="s">
        <v>1877</v>
      </c>
      <c r="B1777" t="s">
        <v>1859</v>
      </c>
      <c r="C1777" t="s">
        <v>47</v>
      </c>
      <c r="D1777" t="s">
        <v>64</v>
      </c>
      <c r="E1777" t="s">
        <v>16</v>
      </c>
      <c r="F1777" t="s">
        <v>35</v>
      </c>
      <c r="G1777" t="s">
        <v>32</v>
      </c>
      <c r="H1777" t="s">
        <v>19</v>
      </c>
      <c r="I1777" t="s">
        <v>20</v>
      </c>
      <c r="J1777" s="2">
        <v>225</v>
      </c>
      <c r="L1777" t="s">
        <v>29</v>
      </c>
    </row>
    <row r="1778" spans="1:12" ht="19.95" customHeight="1">
      <c r="A1778" t="s">
        <v>1878</v>
      </c>
      <c r="B1778" t="s">
        <v>1859</v>
      </c>
      <c r="C1778" t="s">
        <v>47</v>
      </c>
      <c r="D1778" t="s">
        <v>52</v>
      </c>
      <c r="E1778" t="s">
        <v>16</v>
      </c>
      <c r="F1778" t="s">
        <v>17</v>
      </c>
      <c r="G1778" t="s">
        <v>23</v>
      </c>
      <c r="H1778" t="s">
        <v>19</v>
      </c>
      <c r="I1778" t="s">
        <v>20</v>
      </c>
      <c r="J1778" s="2">
        <v>120</v>
      </c>
    </row>
    <row r="1779" spans="1:12" ht="19.95" customHeight="1">
      <c r="A1779" t="s">
        <v>1879</v>
      </c>
      <c r="B1779" t="s">
        <v>1859</v>
      </c>
      <c r="C1779" t="s">
        <v>47</v>
      </c>
      <c r="D1779" t="s">
        <v>66</v>
      </c>
      <c r="E1779" t="s">
        <v>16</v>
      </c>
      <c r="F1779" t="s">
        <v>17</v>
      </c>
      <c r="G1779" t="s">
        <v>23</v>
      </c>
      <c r="H1779" t="s">
        <v>19</v>
      </c>
      <c r="I1779" t="s">
        <v>20</v>
      </c>
      <c r="J1779" s="2">
        <v>120</v>
      </c>
    </row>
    <row r="1780" spans="1:12" ht="19.95" customHeight="1">
      <c r="A1780" t="s">
        <v>1880</v>
      </c>
      <c r="B1780" t="s">
        <v>1859</v>
      </c>
      <c r="C1780" t="s">
        <v>47</v>
      </c>
      <c r="D1780" t="s">
        <v>152</v>
      </c>
      <c r="E1780" t="s">
        <v>16</v>
      </c>
      <c r="F1780" t="s">
        <v>17</v>
      </c>
      <c r="G1780" t="s">
        <v>23</v>
      </c>
      <c r="H1780" t="s">
        <v>19</v>
      </c>
      <c r="I1780" t="s">
        <v>20</v>
      </c>
      <c r="J1780" s="2">
        <v>120</v>
      </c>
    </row>
    <row r="1781" spans="1:12" ht="19.95" customHeight="1">
      <c r="A1781" t="s">
        <v>1881</v>
      </c>
      <c r="B1781" t="s">
        <v>1859</v>
      </c>
      <c r="C1781" t="s">
        <v>47</v>
      </c>
      <c r="D1781" t="s">
        <v>73</v>
      </c>
      <c r="E1781" t="s">
        <v>16</v>
      </c>
      <c r="F1781" t="s">
        <v>17</v>
      </c>
      <c r="G1781" t="s">
        <v>23</v>
      </c>
      <c r="H1781" t="s">
        <v>19</v>
      </c>
      <c r="I1781" t="s">
        <v>20</v>
      </c>
      <c r="J1781" s="2">
        <v>120</v>
      </c>
    </row>
    <row r="1782" spans="1:12" ht="19.95" customHeight="1">
      <c r="A1782" t="s">
        <v>1882</v>
      </c>
      <c r="B1782" t="s">
        <v>1859</v>
      </c>
      <c r="C1782" t="s">
        <v>47</v>
      </c>
      <c r="D1782" t="s">
        <v>62</v>
      </c>
      <c r="E1782" t="s">
        <v>16</v>
      </c>
      <c r="F1782" t="s">
        <v>17</v>
      </c>
      <c r="G1782" t="s">
        <v>23</v>
      </c>
      <c r="H1782" t="s">
        <v>24</v>
      </c>
      <c r="I1782" t="s">
        <v>20</v>
      </c>
      <c r="J1782" s="2">
        <v>120</v>
      </c>
    </row>
    <row r="1783" spans="1:12" ht="19.95" customHeight="1">
      <c r="A1783" t="s">
        <v>1883</v>
      </c>
      <c r="B1783" t="s">
        <v>1859</v>
      </c>
      <c r="C1783" t="s">
        <v>47</v>
      </c>
      <c r="D1783" t="s">
        <v>52</v>
      </c>
      <c r="E1783" t="s">
        <v>16</v>
      </c>
      <c r="F1783" t="s">
        <v>35</v>
      </c>
      <c r="G1783" t="s">
        <v>32</v>
      </c>
      <c r="H1783" t="s">
        <v>19</v>
      </c>
      <c r="I1783" t="s">
        <v>20</v>
      </c>
      <c r="J1783" s="2">
        <v>300</v>
      </c>
    </row>
    <row r="1784" spans="1:12" ht="19.95" customHeight="1">
      <c r="A1784" t="s">
        <v>1884</v>
      </c>
      <c r="B1784" t="s">
        <v>1859</v>
      </c>
      <c r="C1784" t="s">
        <v>47</v>
      </c>
      <c r="D1784" t="s">
        <v>62</v>
      </c>
      <c r="E1784" t="s">
        <v>16</v>
      </c>
      <c r="F1784" t="s">
        <v>17</v>
      </c>
      <c r="G1784" t="s">
        <v>18</v>
      </c>
      <c r="H1784" t="s">
        <v>19</v>
      </c>
      <c r="I1784" t="s">
        <v>20</v>
      </c>
      <c r="J1784" s="2">
        <v>200</v>
      </c>
    </row>
    <row r="1785" spans="1:12" ht="19.95" customHeight="1">
      <c r="A1785" t="s">
        <v>1885</v>
      </c>
      <c r="B1785" t="s">
        <v>1859</v>
      </c>
      <c r="C1785" t="s">
        <v>47</v>
      </c>
      <c r="D1785" t="s">
        <v>64</v>
      </c>
      <c r="E1785" t="s">
        <v>16</v>
      </c>
      <c r="F1785" t="s">
        <v>17</v>
      </c>
      <c r="G1785" t="s">
        <v>18</v>
      </c>
      <c r="H1785" t="s">
        <v>19</v>
      </c>
      <c r="I1785" t="s">
        <v>20</v>
      </c>
      <c r="J1785" s="2">
        <v>200</v>
      </c>
    </row>
    <row r="1786" spans="1:12" ht="19.95" customHeight="1">
      <c r="A1786" t="s">
        <v>1886</v>
      </c>
      <c r="B1786" t="s">
        <v>1859</v>
      </c>
      <c r="C1786" t="s">
        <v>47</v>
      </c>
      <c r="D1786" t="s">
        <v>64</v>
      </c>
      <c r="E1786" t="s">
        <v>16</v>
      </c>
      <c r="F1786" t="s">
        <v>17</v>
      </c>
      <c r="G1786" t="s">
        <v>18</v>
      </c>
      <c r="H1786" t="s">
        <v>19</v>
      </c>
      <c r="I1786" t="s">
        <v>20</v>
      </c>
      <c r="J1786" s="2">
        <v>200</v>
      </c>
    </row>
    <row r="1787" spans="1:12" ht="19.95" customHeight="1">
      <c r="A1787" t="s">
        <v>1887</v>
      </c>
      <c r="B1787" t="s">
        <v>1859</v>
      </c>
      <c r="C1787" t="s">
        <v>47</v>
      </c>
      <c r="D1787" t="s">
        <v>64</v>
      </c>
      <c r="E1787" t="s">
        <v>16</v>
      </c>
      <c r="F1787" t="s">
        <v>17</v>
      </c>
      <c r="G1787" t="s">
        <v>32</v>
      </c>
      <c r="H1787" t="s">
        <v>24</v>
      </c>
      <c r="I1787" t="s">
        <v>20</v>
      </c>
      <c r="J1787" s="2">
        <v>225</v>
      </c>
      <c r="L1787" t="s">
        <v>29</v>
      </c>
    </row>
    <row r="1788" spans="1:12" ht="19.95" customHeight="1">
      <c r="A1788" t="s">
        <v>1888</v>
      </c>
      <c r="B1788" t="s">
        <v>1859</v>
      </c>
      <c r="C1788" t="s">
        <v>47</v>
      </c>
      <c r="D1788" t="s">
        <v>50</v>
      </c>
      <c r="E1788" t="s">
        <v>16</v>
      </c>
      <c r="F1788" t="s">
        <v>17</v>
      </c>
      <c r="G1788" t="s">
        <v>18</v>
      </c>
      <c r="H1788" t="s">
        <v>19</v>
      </c>
      <c r="I1788" t="s">
        <v>20</v>
      </c>
      <c r="J1788" s="2">
        <v>150</v>
      </c>
      <c r="L1788" t="s">
        <v>29</v>
      </c>
    </row>
    <row r="1789" spans="1:12" ht="19.95" customHeight="1">
      <c r="A1789" t="s">
        <v>1889</v>
      </c>
      <c r="B1789" t="s">
        <v>1859</v>
      </c>
      <c r="C1789" t="s">
        <v>47</v>
      </c>
      <c r="D1789" t="s">
        <v>71</v>
      </c>
      <c r="E1789" t="s">
        <v>16</v>
      </c>
      <c r="F1789" t="s">
        <v>17</v>
      </c>
      <c r="G1789" t="s">
        <v>18</v>
      </c>
      <c r="H1789" t="s">
        <v>19</v>
      </c>
      <c r="I1789" t="s">
        <v>20</v>
      </c>
      <c r="J1789" s="2">
        <v>150</v>
      </c>
      <c r="L1789" t="s">
        <v>29</v>
      </c>
    </row>
    <row r="1790" spans="1:12" ht="19.95" customHeight="1">
      <c r="A1790" t="s">
        <v>1890</v>
      </c>
      <c r="B1790" t="s">
        <v>1859</v>
      </c>
      <c r="C1790" t="s">
        <v>78</v>
      </c>
      <c r="D1790" t="s">
        <v>102</v>
      </c>
      <c r="E1790" t="s">
        <v>16</v>
      </c>
      <c r="F1790" t="s">
        <v>17</v>
      </c>
      <c r="G1790" t="s">
        <v>32</v>
      </c>
      <c r="H1790" t="s">
        <v>19</v>
      </c>
      <c r="I1790" t="s">
        <v>20</v>
      </c>
      <c r="J1790" s="2">
        <v>300</v>
      </c>
    </row>
    <row r="1791" spans="1:12" ht="19.95" customHeight="1">
      <c r="A1791" t="s">
        <v>1891</v>
      </c>
      <c r="B1791" t="s">
        <v>1859</v>
      </c>
      <c r="C1791" t="s">
        <v>78</v>
      </c>
      <c r="D1791" t="s">
        <v>163</v>
      </c>
      <c r="E1791" t="s">
        <v>16</v>
      </c>
      <c r="F1791" t="s">
        <v>17</v>
      </c>
      <c r="G1791" t="s">
        <v>32</v>
      </c>
      <c r="H1791" t="s">
        <v>19</v>
      </c>
      <c r="I1791" t="s">
        <v>20</v>
      </c>
      <c r="J1791" s="2">
        <v>300</v>
      </c>
    </row>
    <row r="1792" spans="1:12" ht="19.95" customHeight="1">
      <c r="A1792" t="s">
        <v>1892</v>
      </c>
      <c r="B1792" t="s">
        <v>1859</v>
      </c>
      <c r="C1792" t="s">
        <v>78</v>
      </c>
      <c r="D1792" t="s">
        <v>102</v>
      </c>
      <c r="E1792" t="s">
        <v>16</v>
      </c>
      <c r="F1792" t="s">
        <v>17</v>
      </c>
      <c r="G1792" t="s">
        <v>23</v>
      </c>
      <c r="H1792" t="s">
        <v>19</v>
      </c>
      <c r="I1792" t="s">
        <v>20</v>
      </c>
      <c r="J1792" s="2">
        <v>120</v>
      </c>
    </row>
    <row r="1793" spans="1:12" ht="19.95" customHeight="1">
      <c r="A1793" t="s">
        <v>1893</v>
      </c>
      <c r="B1793" t="s">
        <v>1859</v>
      </c>
      <c r="C1793" t="s">
        <v>78</v>
      </c>
      <c r="D1793" t="s">
        <v>81</v>
      </c>
      <c r="E1793" t="s">
        <v>16</v>
      </c>
      <c r="F1793" t="s">
        <v>17</v>
      </c>
      <c r="G1793" t="s">
        <v>23</v>
      </c>
      <c r="H1793" t="s">
        <v>19</v>
      </c>
      <c r="I1793" t="s">
        <v>20</v>
      </c>
      <c r="J1793" s="2">
        <v>120</v>
      </c>
    </row>
    <row r="1794" spans="1:12" ht="19.95" customHeight="1">
      <c r="A1794" t="s">
        <v>1894</v>
      </c>
      <c r="B1794" t="s">
        <v>1859</v>
      </c>
      <c r="C1794" t="s">
        <v>78</v>
      </c>
      <c r="D1794" t="s">
        <v>85</v>
      </c>
      <c r="E1794" t="s">
        <v>16</v>
      </c>
      <c r="F1794" t="s">
        <v>17</v>
      </c>
      <c r="G1794" t="s">
        <v>32</v>
      </c>
      <c r="H1794" t="s">
        <v>19</v>
      </c>
      <c r="I1794" t="s">
        <v>20</v>
      </c>
      <c r="J1794" s="2">
        <v>225</v>
      </c>
      <c r="L1794" t="s">
        <v>29</v>
      </c>
    </row>
    <row r="1795" spans="1:12" ht="19.95" customHeight="1">
      <c r="A1795" t="s">
        <v>1895</v>
      </c>
      <c r="B1795" t="s">
        <v>1859</v>
      </c>
      <c r="C1795" t="s">
        <v>78</v>
      </c>
      <c r="D1795" t="s">
        <v>97</v>
      </c>
      <c r="E1795" t="s">
        <v>16</v>
      </c>
      <c r="F1795" t="s">
        <v>17</v>
      </c>
      <c r="G1795" t="s">
        <v>23</v>
      </c>
      <c r="H1795" t="s">
        <v>19</v>
      </c>
      <c r="I1795" t="s">
        <v>20</v>
      </c>
      <c r="J1795" s="2">
        <v>120</v>
      </c>
    </row>
    <row r="1796" spans="1:12" ht="19.95" customHeight="1">
      <c r="A1796" t="s">
        <v>1896</v>
      </c>
      <c r="B1796" t="s">
        <v>1859</v>
      </c>
      <c r="C1796" t="s">
        <v>78</v>
      </c>
      <c r="D1796" t="s">
        <v>81</v>
      </c>
      <c r="E1796" t="s">
        <v>16</v>
      </c>
      <c r="F1796" t="s">
        <v>17</v>
      </c>
      <c r="G1796" t="s">
        <v>18</v>
      </c>
      <c r="H1796" t="s">
        <v>19</v>
      </c>
      <c r="I1796" t="s">
        <v>20</v>
      </c>
      <c r="J1796" s="2">
        <v>200</v>
      </c>
    </row>
    <row r="1797" spans="1:12" ht="19.95" customHeight="1">
      <c r="A1797" t="s">
        <v>1897</v>
      </c>
      <c r="B1797" t="s">
        <v>1859</v>
      </c>
      <c r="C1797" t="s">
        <v>78</v>
      </c>
      <c r="D1797" t="s">
        <v>102</v>
      </c>
      <c r="E1797" t="s">
        <v>16</v>
      </c>
      <c r="F1797" t="s">
        <v>17</v>
      </c>
      <c r="G1797" t="s">
        <v>32</v>
      </c>
      <c r="H1797" t="s">
        <v>19</v>
      </c>
      <c r="I1797" t="s">
        <v>20</v>
      </c>
      <c r="J1797" s="2">
        <v>255</v>
      </c>
      <c r="L1797" t="s">
        <v>29</v>
      </c>
    </row>
    <row r="1798" spans="1:12" ht="19.95" customHeight="1">
      <c r="A1798" t="s">
        <v>1898</v>
      </c>
      <c r="B1798" t="s">
        <v>1859</v>
      </c>
      <c r="C1798" t="s">
        <v>78</v>
      </c>
      <c r="D1798" t="s">
        <v>93</v>
      </c>
      <c r="E1798" t="s">
        <v>16</v>
      </c>
      <c r="F1798" t="s">
        <v>17</v>
      </c>
      <c r="G1798" t="s">
        <v>32</v>
      </c>
      <c r="H1798" t="s">
        <v>19</v>
      </c>
      <c r="I1798" t="s">
        <v>20</v>
      </c>
      <c r="J1798" s="2">
        <v>225</v>
      </c>
      <c r="L1798" t="s">
        <v>29</v>
      </c>
    </row>
    <row r="1799" spans="1:12" ht="19.95" customHeight="1">
      <c r="A1799" t="s">
        <v>1899</v>
      </c>
      <c r="B1799" t="s">
        <v>1859</v>
      </c>
      <c r="C1799" t="s">
        <v>78</v>
      </c>
      <c r="D1799" t="s">
        <v>81</v>
      </c>
      <c r="E1799" t="s">
        <v>16</v>
      </c>
      <c r="F1799" t="s">
        <v>17</v>
      </c>
      <c r="G1799" t="s">
        <v>18</v>
      </c>
      <c r="H1799" t="s">
        <v>19</v>
      </c>
      <c r="I1799" t="s">
        <v>20</v>
      </c>
      <c r="J1799" s="2">
        <v>200</v>
      </c>
    </row>
    <row r="1800" spans="1:12" ht="19.95" customHeight="1">
      <c r="A1800" t="s">
        <v>1900</v>
      </c>
      <c r="B1800" t="s">
        <v>1859</v>
      </c>
      <c r="C1800" t="s">
        <v>78</v>
      </c>
      <c r="D1800" t="s">
        <v>97</v>
      </c>
      <c r="E1800" t="s">
        <v>16</v>
      </c>
      <c r="F1800" t="s">
        <v>17</v>
      </c>
      <c r="G1800" t="s">
        <v>32</v>
      </c>
      <c r="H1800" t="s">
        <v>24</v>
      </c>
      <c r="I1800" t="s">
        <v>53</v>
      </c>
      <c r="J1800" s="2">
        <v>300</v>
      </c>
    </row>
    <row r="1801" spans="1:12" ht="19.95" customHeight="1">
      <c r="A1801" t="s">
        <v>1901</v>
      </c>
      <c r="B1801" t="s">
        <v>1859</v>
      </c>
      <c r="C1801" t="s">
        <v>78</v>
      </c>
      <c r="D1801" t="s">
        <v>93</v>
      </c>
      <c r="E1801" t="s">
        <v>16</v>
      </c>
      <c r="F1801" t="s">
        <v>17</v>
      </c>
      <c r="G1801" t="s">
        <v>32</v>
      </c>
      <c r="H1801" t="s">
        <v>19</v>
      </c>
      <c r="I1801" t="s">
        <v>20</v>
      </c>
      <c r="J1801" s="2">
        <v>300</v>
      </c>
    </row>
    <row r="1802" spans="1:12" ht="19.95" customHeight="1">
      <c r="A1802" t="s">
        <v>1902</v>
      </c>
      <c r="B1802" t="s">
        <v>1859</v>
      </c>
      <c r="C1802" t="s">
        <v>78</v>
      </c>
      <c r="D1802" t="s">
        <v>89</v>
      </c>
      <c r="E1802" t="s">
        <v>16</v>
      </c>
      <c r="F1802" t="s">
        <v>17</v>
      </c>
      <c r="G1802" t="s">
        <v>32</v>
      </c>
      <c r="H1802" t="s">
        <v>19</v>
      </c>
      <c r="I1802" t="s">
        <v>20</v>
      </c>
      <c r="J1802" s="2">
        <v>300</v>
      </c>
    </row>
    <row r="1803" spans="1:12" ht="19.95" customHeight="1">
      <c r="A1803" t="s">
        <v>1903</v>
      </c>
      <c r="B1803" t="s">
        <v>1859</v>
      </c>
      <c r="C1803" t="s">
        <v>78</v>
      </c>
      <c r="D1803" t="s">
        <v>85</v>
      </c>
      <c r="E1803" t="s">
        <v>16</v>
      </c>
      <c r="F1803" t="s">
        <v>17</v>
      </c>
      <c r="G1803" t="s">
        <v>23</v>
      </c>
      <c r="H1803" t="s">
        <v>19</v>
      </c>
      <c r="I1803" t="s">
        <v>74</v>
      </c>
      <c r="J1803" s="2">
        <v>120</v>
      </c>
    </row>
    <row r="1804" spans="1:12" ht="19.95" customHeight="1">
      <c r="A1804" t="s">
        <v>1904</v>
      </c>
      <c r="B1804" t="s">
        <v>1859</v>
      </c>
      <c r="C1804" t="s">
        <v>78</v>
      </c>
      <c r="D1804" t="s">
        <v>85</v>
      </c>
      <c r="E1804" t="s">
        <v>16</v>
      </c>
      <c r="F1804" t="s">
        <v>17</v>
      </c>
      <c r="G1804" t="s">
        <v>23</v>
      </c>
      <c r="H1804" t="s">
        <v>24</v>
      </c>
      <c r="I1804" t="s">
        <v>20</v>
      </c>
      <c r="J1804" s="2">
        <v>102</v>
      </c>
      <c r="L1804" t="s">
        <v>29</v>
      </c>
    </row>
    <row r="1805" spans="1:12" ht="19.95" customHeight="1">
      <c r="A1805" t="s">
        <v>1905</v>
      </c>
      <c r="B1805" t="s">
        <v>1859</v>
      </c>
      <c r="C1805" t="s">
        <v>78</v>
      </c>
      <c r="D1805" t="s">
        <v>161</v>
      </c>
      <c r="E1805" t="s">
        <v>16</v>
      </c>
      <c r="F1805" t="s">
        <v>17</v>
      </c>
      <c r="G1805" t="s">
        <v>23</v>
      </c>
      <c r="H1805" t="s">
        <v>19</v>
      </c>
      <c r="I1805" t="s">
        <v>20</v>
      </c>
      <c r="J1805" s="2">
        <v>120</v>
      </c>
    </row>
    <row r="1806" spans="1:12" ht="19.95" customHeight="1">
      <c r="A1806" t="s">
        <v>1906</v>
      </c>
      <c r="B1806" t="s">
        <v>1859</v>
      </c>
      <c r="C1806" t="s">
        <v>78</v>
      </c>
      <c r="D1806" t="s">
        <v>79</v>
      </c>
      <c r="E1806" t="s">
        <v>16</v>
      </c>
      <c r="F1806" t="s">
        <v>17</v>
      </c>
      <c r="G1806" t="s">
        <v>18</v>
      </c>
      <c r="H1806" t="s">
        <v>19</v>
      </c>
      <c r="I1806" t="s">
        <v>20</v>
      </c>
      <c r="J1806" s="2">
        <v>200</v>
      </c>
    </row>
    <row r="1807" spans="1:12" ht="19.95" customHeight="1">
      <c r="A1807" t="s">
        <v>1907</v>
      </c>
      <c r="B1807" t="s">
        <v>1859</v>
      </c>
      <c r="C1807" t="s">
        <v>105</v>
      </c>
      <c r="D1807" t="s">
        <v>116</v>
      </c>
      <c r="E1807" t="s">
        <v>16</v>
      </c>
      <c r="F1807" t="s">
        <v>17</v>
      </c>
      <c r="G1807" t="s">
        <v>32</v>
      </c>
      <c r="H1807" t="s">
        <v>19</v>
      </c>
      <c r="I1807" t="s">
        <v>20</v>
      </c>
      <c r="J1807" s="2">
        <v>255</v>
      </c>
      <c r="L1807" t="s">
        <v>29</v>
      </c>
    </row>
    <row r="1808" spans="1:12" ht="19.95" customHeight="1">
      <c r="A1808" t="s">
        <v>1908</v>
      </c>
      <c r="B1808" t="s">
        <v>1859</v>
      </c>
      <c r="C1808" t="s">
        <v>105</v>
      </c>
      <c r="D1808" t="s">
        <v>182</v>
      </c>
      <c r="E1808" t="s">
        <v>16</v>
      </c>
      <c r="F1808" t="s">
        <v>17</v>
      </c>
      <c r="G1808" t="s">
        <v>18</v>
      </c>
      <c r="H1808" t="s">
        <v>19</v>
      </c>
      <c r="I1808" t="s">
        <v>20</v>
      </c>
      <c r="J1808" s="2">
        <v>200</v>
      </c>
    </row>
    <row r="1809" spans="1:12" ht="19.95" customHeight="1">
      <c r="A1809" t="s">
        <v>1909</v>
      </c>
      <c r="B1809" t="s">
        <v>1859</v>
      </c>
      <c r="C1809" t="s">
        <v>105</v>
      </c>
      <c r="D1809" t="s">
        <v>116</v>
      </c>
      <c r="E1809" t="s">
        <v>16</v>
      </c>
      <c r="F1809" t="s">
        <v>17</v>
      </c>
      <c r="G1809" t="s">
        <v>32</v>
      </c>
      <c r="H1809" t="s">
        <v>19</v>
      </c>
      <c r="I1809" t="s">
        <v>20</v>
      </c>
      <c r="J1809" s="2">
        <v>300</v>
      </c>
    </row>
    <row r="1810" spans="1:12" ht="19.95" customHeight="1">
      <c r="A1810" t="s">
        <v>1910</v>
      </c>
      <c r="B1810" t="s">
        <v>1859</v>
      </c>
      <c r="C1810" t="s">
        <v>105</v>
      </c>
      <c r="D1810" t="s">
        <v>187</v>
      </c>
      <c r="E1810" t="s">
        <v>16</v>
      </c>
      <c r="F1810" t="s">
        <v>17</v>
      </c>
      <c r="G1810" t="s">
        <v>18</v>
      </c>
      <c r="H1810" t="s">
        <v>19</v>
      </c>
      <c r="I1810" t="s">
        <v>20</v>
      </c>
      <c r="J1810" s="2">
        <v>200</v>
      </c>
    </row>
    <row r="1811" spans="1:12" ht="19.95" customHeight="1">
      <c r="A1811" t="s">
        <v>1911</v>
      </c>
      <c r="B1811" t="s">
        <v>1859</v>
      </c>
      <c r="C1811" t="s">
        <v>105</v>
      </c>
      <c r="D1811" t="s">
        <v>182</v>
      </c>
      <c r="E1811" t="s">
        <v>16</v>
      </c>
      <c r="F1811" t="s">
        <v>17</v>
      </c>
      <c r="G1811" t="s">
        <v>18</v>
      </c>
      <c r="H1811" t="s">
        <v>19</v>
      </c>
      <c r="I1811" t="s">
        <v>20</v>
      </c>
      <c r="J1811" s="2">
        <v>200</v>
      </c>
    </row>
    <row r="1812" spans="1:12" ht="19.95" customHeight="1">
      <c r="A1812" t="s">
        <v>1912</v>
      </c>
      <c r="B1812" t="s">
        <v>1859</v>
      </c>
      <c r="C1812" t="s">
        <v>105</v>
      </c>
      <c r="D1812" t="s">
        <v>265</v>
      </c>
      <c r="E1812" t="s">
        <v>16</v>
      </c>
      <c r="F1812" t="s">
        <v>17</v>
      </c>
      <c r="G1812" t="s">
        <v>23</v>
      </c>
      <c r="H1812" t="s">
        <v>19</v>
      </c>
      <c r="I1812" t="s">
        <v>20</v>
      </c>
      <c r="J1812" s="2">
        <v>102</v>
      </c>
      <c r="L1812" t="s">
        <v>29</v>
      </c>
    </row>
    <row r="1813" spans="1:12" ht="19.95" customHeight="1">
      <c r="A1813" t="s">
        <v>1913</v>
      </c>
      <c r="B1813" t="s">
        <v>1859</v>
      </c>
      <c r="C1813" t="s">
        <v>105</v>
      </c>
      <c r="D1813" t="s">
        <v>191</v>
      </c>
      <c r="E1813" t="s">
        <v>16</v>
      </c>
      <c r="F1813" t="s">
        <v>17</v>
      </c>
      <c r="G1813" t="s">
        <v>32</v>
      </c>
      <c r="H1813" t="s">
        <v>19</v>
      </c>
      <c r="I1813" t="s">
        <v>53</v>
      </c>
      <c r="J1813" s="2">
        <v>300</v>
      </c>
    </row>
    <row r="1814" spans="1:12" ht="19.95" customHeight="1">
      <c r="A1814" t="s">
        <v>1914</v>
      </c>
      <c r="B1814" t="s">
        <v>1859</v>
      </c>
      <c r="C1814" t="s">
        <v>105</v>
      </c>
      <c r="D1814" t="s">
        <v>182</v>
      </c>
      <c r="E1814" t="s">
        <v>16</v>
      </c>
      <c r="F1814" t="s">
        <v>17</v>
      </c>
      <c r="G1814" t="s">
        <v>23</v>
      </c>
      <c r="H1814" t="s">
        <v>19</v>
      </c>
      <c r="I1814" t="s">
        <v>20</v>
      </c>
      <c r="J1814" s="2">
        <v>120</v>
      </c>
    </row>
    <row r="1815" spans="1:12" ht="19.95" customHeight="1">
      <c r="A1815" t="s">
        <v>1915</v>
      </c>
      <c r="B1815" t="s">
        <v>1859</v>
      </c>
      <c r="C1815" t="s">
        <v>105</v>
      </c>
      <c r="D1815" t="s">
        <v>110</v>
      </c>
      <c r="E1815" t="s">
        <v>16</v>
      </c>
      <c r="F1815" t="s">
        <v>17</v>
      </c>
      <c r="G1815" t="s">
        <v>32</v>
      </c>
      <c r="H1815" t="s">
        <v>19</v>
      </c>
      <c r="I1815" t="s">
        <v>20</v>
      </c>
      <c r="J1815" s="2">
        <v>300</v>
      </c>
    </row>
    <row r="1816" spans="1:12" ht="19.95" customHeight="1">
      <c r="A1816" t="s">
        <v>1916</v>
      </c>
      <c r="B1816" t="s">
        <v>1859</v>
      </c>
      <c r="C1816" t="s">
        <v>105</v>
      </c>
      <c r="D1816" t="s">
        <v>187</v>
      </c>
      <c r="E1816" t="s">
        <v>16</v>
      </c>
      <c r="F1816" t="s">
        <v>17</v>
      </c>
      <c r="G1816" t="s">
        <v>18</v>
      </c>
      <c r="H1816" t="s">
        <v>19</v>
      </c>
      <c r="I1816" t="s">
        <v>20</v>
      </c>
      <c r="J1816" s="2">
        <v>200</v>
      </c>
    </row>
    <row r="1817" spans="1:12" ht="19.95" customHeight="1">
      <c r="A1817" t="s">
        <v>1917</v>
      </c>
      <c r="B1817" t="s">
        <v>1859</v>
      </c>
      <c r="C1817" t="s">
        <v>105</v>
      </c>
      <c r="D1817" t="s">
        <v>194</v>
      </c>
      <c r="E1817" t="s">
        <v>16</v>
      </c>
      <c r="F1817" t="s">
        <v>17</v>
      </c>
      <c r="G1817" t="s">
        <v>32</v>
      </c>
      <c r="H1817" t="s">
        <v>19</v>
      </c>
      <c r="I1817" t="s">
        <v>20</v>
      </c>
      <c r="J1817" s="2">
        <v>300</v>
      </c>
    </row>
    <row r="1818" spans="1:12" ht="19.95" customHeight="1">
      <c r="A1818" t="s">
        <v>1918</v>
      </c>
      <c r="B1818" t="s">
        <v>1859</v>
      </c>
      <c r="C1818" t="s">
        <v>105</v>
      </c>
      <c r="D1818" t="s">
        <v>106</v>
      </c>
      <c r="E1818" t="s">
        <v>16</v>
      </c>
      <c r="F1818" t="s">
        <v>17</v>
      </c>
      <c r="G1818" t="s">
        <v>18</v>
      </c>
      <c r="H1818" t="s">
        <v>24</v>
      </c>
      <c r="I1818" t="s">
        <v>20</v>
      </c>
      <c r="J1818" s="2">
        <v>200</v>
      </c>
    </row>
    <row r="1819" spans="1:12" ht="19.95" customHeight="1">
      <c r="A1819" t="s">
        <v>1919</v>
      </c>
      <c r="B1819" t="s">
        <v>1859</v>
      </c>
      <c r="C1819" t="s">
        <v>105</v>
      </c>
      <c r="D1819" t="s">
        <v>116</v>
      </c>
      <c r="E1819" t="s">
        <v>16</v>
      </c>
      <c r="F1819" t="s">
        <v>17</v>
      </c>
      <c r="G1819" t="s">
        <v>18</v>
      </c>
      <c r="H1819" t="s">
        <v>19</v>
      </c>
      <c r="I1819" t="s">
        <v>20</v>
      </c>
      <c r="J1819" s="2">
        <v>200</v>
      </c>
    </row>
    <row r="1820" spans="1:12" ht="19.95" customHeight="1">
      <c r="A1820" t="s">
        <v>1920</v>
      </c>
      <c r="B1820" t="s">
        <v>1859</v>
      </c>
      <c r="C1820" t="s">
        <v>105</v>
      </c>
      <c r="D1820" t="s">
        <v>187</v>
      </c>
      <c r="E1820" t="s">
        <v>16</v>
      </c>
      <c r="F1820" t="s">
        <v>17</v>
      </c>
      <c r="G1820" t="s">
        <v>18</v>
      </c>
      <c r="H1820" t="s">
        <v>19</v>
      </c>
      <c r="I1820" t="s">
        <v>20</v>
      </c>
      <c r="J1820" s="2">
        <v>200</v>
      </c>
    </row>
    <row r="1821" spans="1:12" ht="19.95" customHeight="1">
      <c r="A1821" t="s">
        <v>1921</v>
      </c>
      <c r="B1821" t="s">
        <v>1859</v>
      </c>
      <c r="C1821" t="s">
        <v>105</v>
      </c>
      <c r="D1821" t="s">
        <v>182</v>
      </c>
      <c r="E1821" t="s">
        <v>16</v>
      </c>
      <c r="F1821" t="s">
        <v>17</v>
      </c>
      <c r="G1821" t="s">
        <v>32</v>
      </c>
      <c r="H1821" t="s">
        <v>19</v>
      </c>
      <c r="I1821" t="s">
        <v>20</v>
      </c>
      <c r="J1821" s="2">
        <v>225</v>
      </c>
      <c r="L1821" t="s">
        <v>29</v>
      </c>
    </row>
    <row r="1822" spans="1:12" ht="19.95" customHeight="1">
      <c r="A1822" t="s">
        <v>1922</v>
      </c>
      <c r="B1822" t="s">
        <v>1859</v>
      </c>
      <c r="C1822" t="s">
        <v>78</v>
      </c>
      <c r="D1822" t="s">
        <v>81</v>
      </c>
      <c r="E1822" t="s">
        <v>402</v>
      </c>
      <c r="F1822" t="s">
        <v>17</v>
      </c>
      <c r="G1822" t="s">
        <v>32</v>
      </c>
      <c r="H1822" t="s">
        <v>19</v>
      </c>
      <c r="I1822" t="s">
        <v>20</v>
      </c>
      <c r="J1822" s="2">
        <v>225</v>
      </c>
      <c r="K1822" t="s">
        <v>1272</v>
      </c>
      <c r="L1822" t="s">
        <v>1270</v>
      </c>
    </row>
    <row r="1823" spans="1:12" ht="19.95" customHeight="1">
      <c r="A1823" t="s">
        <v>1923</v>
      </c>
      <c r="B1823" t="s">
        <v>1859</v>
      </c>
      <c r="C1823" t="s">
        <v>78</v>
      </c>
      <c r="D1823" t="s">
        <v>102</v>
      </c>
      <c r="E1823" t="s">
        <v>402</v>
      </c>
      <c r="F1823" t="s">
        <v>17</v>
      </c>
      <c r="G1823" t="s">
        <v>32</v>
      </c>
      <c r="H1823" t="s">
        <v>19</v>
      </c>
      <c r="I1823" t="s">
        <v>20</v>
      </c>
      <c r="J1823" s="2">
        <v>225</v>
      </c>
      <c r="K1823" t="s">
        <v>1276</v>
      </c>
      <c r="L1823" t="s">
        <v>1270</v>
      </c>
    </row>
    <row r="1824" spans="1:12" ht="19.95" customHeight="1">
      <c r="A1824" t="s">
        <v>1924</v>
      </c>
      <c r="B1824" t="s">
        <v>1859</v>
      </c>
      <c r="C1824" t="s">
        <v>78</v>
      </c>
      <c r="D1824" t="s">
        <v>102</v>
      </c>
      <c r="E1824" t="s">
        <v>402</v>
      </c>
      <c r="F1824" t="s">
        <v>17</v>
      </c>
      <c r="G1824" t="s">
        <v>32</v>
      </c>
      <c r="H1824" t="s">
        <v>19</v>
      </c>
      <c r="I1824" t="s">
        <v>20</v>
      </c>
      <c r="J1824" s="2">
        <v>225</v>
      </c>
      <c r="K1824" t="s">
        <v>1279</v>
      </c>
      <c r="L1824" t="s">
        <v>1270</v>
      </c>
    </row>
    <row r="1825" spans="1:12" ht="19.95" customHeight="1">
      <c r="A1825" t="s">
        <v>1925</v>
      </c>
      <c r="B1825" t="s">
        <v>1859</v>
      </c>
      <c r="C1825" t="s">
        <v>78</v>
      </c>
      <c r="D1825" t="s">
        <v>161</v>
      </c>
      <c r="E1825" t="s">
        <v>402</v>
      </c>
      <c r="F1825" t="s">
        <v>17</v>
      </c>
      <c r="G1825" t="s">
        <v>32</v>
      </c>
      <c r="H1825" t="s">
        <v>19</v>
      </c>
      <c r="I1825" t="s">
        <v>20</v>
      </c>
      <c r="J1825" s="2">
        <v>225</v>
      </c>
      <c r="K1825" t="s">
        <v>1280</v>
      </c>
      <c r="L1825" t="s">
        <v>1270</v>
      </c>
    </row>
    <row r="1826" spans="1:12" ht="19.95" customHeight="1">
      <c r="A1826" t="s">
        <v>1926</v>
      </c>
      <c r="B1826" t="s">
        <v>1859</v>
      </c>
      <c r="C1826" t="s">
        <v>78</v>
      </c>
      <c r="D1826" t="s">
        <v>242</v>
      </c>
      <c r="E1826" t="s">
        <v>402</v>
      </c>
      <c r="F1826" t="s">
        <v>17</v>
      </c>
      <c r="G1826" t="s">
        <v>32</v>
      </c>
      <c r="H1826" t="s">
        <v>19</v>
      </c>
      <c r="I1826" t="s">
        <v>20</v>
      </c>
      <c r="J1826" s="2">
        <v>225</v>
      </c>
      <c r="K1826" t="s">
        <v>1281</v>
      </c>
      <c r="L1826" t="s">
        <v>1270</v>
      </c>
    </row>
    <row r="1827" spans="1:12" ht="19.95" customHeight="1">
      <c r="A1827" t="s">
        <v>1927</v>
      </c>
      <c r="B1827" t="s">
        <v>1859</v>
      </c>
      <c r="C1827" t="s">
        <v>78</v>
      </c>
      <c r="D1827" t="s">
        <v>161</v>
      </c>
      <c r="E1827" t="s">
        <v>402</v>
      </c>
      <c r="F1827" t="s">
        <v>17</v>
      </c>
      <c r="G1827" t="s">
        <v>32</v>
      </c>
      <c r="H1827" t="s">
        <v>19</v>
      </c>
      <c r="I1827" t="s">
        <v>20</v>
      </c>
      <c r="J1827" s="2">
        <v>225</v>
      </c>
      <c r="K1827" t="s">
        <v>1282</v>
      </c>
      <c r="L1827" t="s">
        <v>1270</v>
      </c>
    </row>
    <row r="1828" spans="1:12" ht="19.95" customHeight="1">
      <c r="A1828" t="s">
        <v>1928</v>
      </c>
      <c r="B1828" t="s">
        <v>1859</v>
      </c>
      <c r="C1828" t="s">
        <v>78</v>
      </c>
      <c r="D1828" t="s">
        <v>93</v>
      </c>
      <c r="E1828" t="s">
        <v>402</v>
      </c>
      <c r="F1828" t="s">
        <v>17</v>
      </c>
      <c r="G1828" t="s">
        <v>32</v>
      </c>
      <c r="H1828" t="s">
        <v>19</v>
      </c>
      <c r="I1828" t="s">
        <v>20</v>
      </c>
      <c r="J1828" s="2">
        <v>225</v>
      </c>
      <c r="K1828" t="s">
        <v>1284</v>
      </c>
      <c r="L1828" t="s">
        <v>1270</v>
      </c>
    </row>
    <row r="1829" spans="1:12" ht="19.95" customHeight="1">
      <c r="A1829" t="s">
        <v>1929</v>
      </c>
      <c r="B1829" t="s">
        <v>1859</v>
      </c>
      <c r="C1829" t="s">
        <v>78</v>
      </c>
      <c r="D1829" t="s">
        <v>79</v>
      </c>
      <c r="E1829" t="s">
        <v>402</v>
      </c>
      <c r="F1829" t="s">
        <v>17</v>
      </c>
      <c r="G1829" t="s">
        <v>32</v>
      </c>
      <c r="H1829" t="s">
        <v>19</v>
      </c>
      <c r="I1829" t="s">
        <v>20</v>
      </c>
      <c r="J1829" s="2">
        <v>225</v>
      </c>
      <c r="K1829" t="s">
        <v>1286</v>
      </c>
      <c r="L1829" t="s">
        <v>1270</v>
      </c>
    </row>
    <row r="1830" spans="1:12" ht="19.95" customHeight="1">
      <c r="A1830" t="s">
        <v>1930</v>
      </c>
      <c r="B1830" t="s">
        <v>1859</v>
      </c>
      <c r="C1830" t="s">
        <v>78</v>
      </c>
      <c r="D1830" t="s">
        <v>79</v>
      </c>
      <c r="E1830" t="s">
        <v>402</v>
      </c>
      <c r="F1830" t="s">
        <v>17</v>
      </c>
      <c r="G1830" t="s">
        <v>32</v>
      </c>
      <c r="H1830" t="s">
        <v>19</v>
      </c>
      <c r="I1830" t="s">
        <v>20</v>
      </c>
      <c r="J1830" s="2">
        <v>225</v>
      </c>
      <c r="K1830" t="s">
        <v>1362</v>
      </c>
      <c r="L1830" t="s">
        <v>1270</v>
      </c>
    </row>
    <row r="1831" spans="1:12" ht="19.95" customHeight="1">
      <c r="A1831" t="s">
        <v>1931</v>
      </c>
      <c r="B1831" t="s">
        <v>1859</v>
      </c>
      <c r="C1831" t="s">
        <v>78</v>
      </c>
      <c r="D1831" t="s">
        <v>93</v>
      </c>
      <c r="E1831" t="s">
        <v>402</v>
      </c>
      <c r="F1831" t="s">
        <v>17</v>
      </c>
      <c r="G1831" t="s">
        <v>32</v>
      </c>
      <c r="H1831" t="s">
        <v>19</v>
      </c>
      <c r="I1831" t="s">
        <v>20</v>
      </c>
      <c r="J1831" s="2">
        <v>225</v>
      </c>
      <c r="K1831" t="s">
        <v>1366</v>
      </c>
      <c r="L1831" t="s">
        <v>1270</v>
      </c>
    </row>
    <row r="1832" spans="1:12" ht="19.95" customHeight="1">
      <c r="A1832" t="s">
        <v>1932</v>
      </c>
      <c r="B1832" t="s">
        <v>1859</v>
      </c>
      <c r="C1832" t="s">
        <v>78</v>
      </c>
      <c r="D1832" t="s">
        <v>163</v>
      </c>
      <c r="E1832" t="s">
        <v>402</v>
      </c>
      <c r="F1832" t="s">
        <v>17</v>
      </c>
      <c r="G1832" t="s">
        <v>32</v>
      </c>
      <c r="H1832" t="s">
        <v>19</v>
      </c>
      <c r="I1832" t="s">
        <v>20</v>
      </c>
      <c r="J1832" s="2">
        <v>225</v>
      </c>
      <c r="K1832" t="s">
        <v>1370</v>
      </c>
      <c r="L1832" t="s">
        <v>1270</v>
      </c>
    </row>
    <row r="1833" spans="1:12" ht="19.95" customHeight="1">
      <c r="A1833" t="s">
        <v>1933</v>
      </c>
      <c r="B1833" t="s">
        <v>1859</v>
      </c>
      <c r="C1833" t="s">
        <v>78</v>
      </c>
      <c r="D1833" t="s">
        <v>97</v>
      </c>
      <c r="E1833" t="s">
        <v>402</v>
      </c>
      <c r="F1833" t="s">
        <v>17</v>
      </c>
      <c r="G1833" t="s">
        <v>32</v>
      </c>
      <c r="H1833" t="s">
        <v>19</v>
      </c>
      <c r="I1833" t="s">
        <v>20</v>
      </c>
      <c r="J1833" s="2">
        <v>225</v>
      </c>
      <c r="K1833" t="s">
        <v>1373</v>
      </c>
      <c r="L1833" t="s">
        <v>1270</v>
      </c>
    </row>
    <row r="1834" spans="1:12" ht="19.95" customHeight="1">
      <c r="A1834" t="s">
        <v>1934</v>
      </c>
      <c r="B1834" t="s">
        <v>1859</v>
      </c>
      <c r="C1834" t="s">
        <v>78</v>
      </c>
      <c r="D1834" t="s">
        <v>93</v>
      </c>
      <c r="E1834" t="s">
        <v>402</v>
      </c>
      <c r="F1834" t="s">
        <v>17</v>
      </c>
      <c r="G1834" t="s">
        <v>32</v>
      </c>
      <c r="H1834" t="s">
        <v>19</v>
      </c>
      <c r="I1834" t="s">
        <v>20</v>
      </c>
      <c r="J1834" s="2">
        <v>225</v>
      </c>
      <c r="K1834" t="s">
        <v>1374</v>
      </c>
      <c r="L1834" t="s">
        <v>1270</v>
      </c>
    </row>
    <row r="1835" spans="1:12" ht="19.95" customHeight="1">
      <c r="A1835" t="s">
        <v>1935</v>
      </c>
      <c r="B1835" t="s">
        <v>1859</v>
      </c>
      <c r="C1835" t="s">
        <v>78</v>
      </c>
      <c r="D1835" t="s">
        <v>85</v>
      </c>
      <c r="E1835" t="s">
        <v>402</v>
      </c>
      <c r="F1835" t="s">
        <v>17</v>
      </c>
      <c r="G1835" t="s">
        <v>32</v>
      </c>
      <c r="H1835" t="s">
        <v>19</v>
      </c>
      <c r="I1835" t="s">
        <v>20</v>
      </c>
      <c r="J1835" s="2">
        <v>225</v>
      </c>
      <c r="K1835" t="s">
        <v>1376</v>
      </c>
      <c r="L1835" t="s">
        <v>1270</v>
      </c>
    </row>
    <row r="1836" spans="1:12" ht="19.95" customHeight="1">
      <c r="A1836" t="s">
        <v>1936</v>
      </c>
      <c r="B1836" t="s">
        <v>1859</v>
      </c>
      <c r="C1836" t="s">
        <v>78</v>
      </c>
      <c r="D1836" t="s">
        <v>85</v>
      </c>
      <c r="E1836" t="s">
        <v>402</v>
      </c>
      <c r="F1836" t="s">
        <v>17</v>
      </c>
      <c r="G1836" t="s">
        <v>32</v>
      </c>
      <c r="H1836" t="s">
        <v>19</v>
      </c>
      <c r="I1836" t="s">
        <v>20</v>
      </c>
      <c r="J1836" s="2">
        <v>225</v>
      </c>
      <c r="K1836" t="s">
        <v>1378</v>
      </c>
      <c r="L1836" t="s">
        <v>1270</v>
      </c>
    </row>
    <row r="1837" spans="1:12" ht="19.95" customHeight="1">
      <c r="A1837" t="s">
        <v>1937</v>
      </c>
      <c r="B1837" t="s">
        <v>1859</v>
      </c>
      <c r="C1837" t="s">
        <v>78</v>
      </c>
      <c r="D1837" t="s">
        <v>242</v>
      </c>
      <c r="E1837" t="s">
        <v>402</v>
      </c>
      <c r="F1837" t="s">
        <v>17</v>
      </c>
      <c r="G1837" t="s">
        <v>32</v>
      </c>
      <c r="H1837" t="s">
        <v>19</v>
      </c>
      <c r="I1837" t="s">
        <v>20</v>
      </c>
      <c r="J1837" s="2">
        <v>225</v>
      </c>
      <c r="K1837" t="s">
        <v>1449</v>
      </c>
      <c r="L1837" t="s">
        <v>1270</v>
      </c>
    </row>
    <row r="1838" spans="1:12" ht="19.95" customHeight="1">
      <c r="A1838" t="s">
        <v>1938</v>
      </c>
      <c r="B1838" t="s">
        <v>1859</v>
      </c>
      <c r="C1838" t="s">
        <v>78</v>
      </c>
      <c r="D1838" t="s">
        <v>81</v>
      </c>
      <c r="E1838" t="s">
        <v>402</v>
      </c>
      <c r="F1838" t="s">
        <v>17</v>
      </c>
      <c r="G1838" t="s">
        <v>32</v>
      </c>
      <c r="H1838" t="s">
        <v>19</v>
      </c>
      <c r="I1838" t="s">
        <v>20</v>
      </c>
      <c r="J1838" s="2">
        <v>225</v>
      </c>
      <c r="K1838" t="s">
        <v>1458</v>
      </c>
      <c r="L1838" t="s">
        <v>1270</v>
      </c>
    </row>
    <row r="1839" spans="1:12" ht="19.95" customHeight="1">
      <c r="A1839" t="s">
        <v>1939</v>
      </c>
      <c r="B1839" t="s">
        <v>1859</v>
      </c>
      <c r="C1839" t="s">
        <v>78</v>
      </c>
      <c r="D1839" t="s">
        <v>242</v>
      </c>
      <c r="E1839" t="s">
        <v>402</v>
      </c>
      <c r="F1839" t="s">
        <v>17</v>
      </c>
      <c r="G1839" t="s">
        <v>32</v>
      </c>
      <c r="H1839" t="s">
        <v>19</v>
      </c>
      <c r="I1839" t="s">
        <v>20</v>
      </c>
      <c r="J1839" s="2">
        <v>225</v>
      </c>
      <c r="K1839" t="s">
        <v>1460</v>
      </c>
      <c r="L1839" t="s">
        <v>1270</v>
      </c>
    </row>
    <row r="1840" spans="1:12" ht="19.95" customHeight="1">
      <c r="A1840" t="s">
        <v>1940</v>
      </c>
      <c r="B1840" t="s">
        <v>1859</v>
      </c>
      <c r="C1840" t="s">
        <v>78</v>
      </c>
      <c r="D1840" t="s">
        <v>161</v>
      </c>
      <c r="E1840" t="s">
        <v>402</v>
      </c>
      <c r="F1840" t="s">
        <v>17</v>
      </c>
      <c r="G1840" t="s">
        <v>32</v>
      </c>
      <c r="H1840" t="s">
        <v>19</v>
      </c>
      <c r="I1840" t="s">
        <v>20</v>
      </c>
      <c r="J1840" s="2">
        <v>225</v>
      </c>
      <c r="K1840" t="s">
        <v>1462</v>
      </c>
      <c r="L1840" t="s">
        <v>1270</v>
      </c>
    </row>
    <row r="1841" spans="1:12" ht="19.95" customHeight="1">
      <c r="A1841" t="s">
        <v>1941</v>
      </c>
      <c r="B1841" t="s">
        <v>1859</v>
      </c>
      <c r="C1841" t="s">
        <v>78</v>
      </c>
      <c r="D1841" t="s">
        <v>81</v>
      </c>
      <c r="E1841" t="s">
        <v>402</v>
      </c>
      <c r="F1841" t="s">
        <v>17</v>
      </c>
      <c r="G1841" t="s">
        <v>32</v>
      </c>
      <c r="H1841" t="s">
        <v>19</v>
      </c>
      <c r="I1841" t="s">
        <v>20</v>
      </c>
      <c r="J1841" s="2">
        <v>225</v>
      </c>
      <c r="K1841" t="s">
        <v>1463</v>
      </c>
      <c r="L1841" t="s">
        <v>1270</v>
      </c>
    </row>
    <row r="1842" spans="1:12" ht="19.95" customHeight="1">
      <c r="A1842" t="s">
        <v>1942</v>
      </c>
      <c r="B1842" t="s">
        <v>1859</v>
      </c>
      <c r="C1842" t="s">
        <v>78</v>
      </c>
      <c r="D1842" t="s">
        <v>242</v>
      </c>
      <c r="E1842" t="s">
        <v>402</v>
      </c>
      <c r="F1842" t="s">
        <v>17</v>
      </c>
      <c r="G1842" t="s">
        <v>32</v>
      </c>
      <c r="H1842" t="s">
        <v>19</v>
      </c>
      <c r="I1842" t="s">
        <v>20</v>
      </c>
      <c r="J1842" s="2">
        <v>300</v>
      </c>
      <c r="K1842" t="s">
        <v>1606</v>
      </c>
    </row>
    <row r="1843" spans="1:12" ht="19.95" customHeight="1">
      <c r="A1843" t="s">
        <v>1943</v>
      </c>
      <c r="B1843" t="s">
        <v>1859</v>
      </c>
      <c r="C1843" t="s">
        <v>105</v>
      </c>
      <c r="D1843" t="s">
        <v>116</v>
      </c>
      <c r="E1843" t="s">
        <v>402</v>
      </c>
      <c r="F1843" t="s">
        <v>17</v>
      </c>
      <c r="G1843" t="s">
        <v>23</v>
      </c>
      <c r="H1843" t="s">
        <v>19</v>
      </c>
      <c r="I1843" t="s">
        <v>20</v>
      </c>
      <c r="J1843" s="2">
        <v>120</v>
      </c>
      <c r="K1843" t="s">
        <v>1629</v>
      </c>
    </row>
    <row r="1844" spans="1:12" ht="19.95" customHeight="1">
      <c r="A1844" t="s">
        <v>1944</v>
      </c>
      <c r="B1844" t="s">
        <v>1859</v>
      </c>
      <c r="C1844" t="s">
        <v>14</v>
      </c>
      <c r="D1844" t="s">
        <v>34</v>
      </c>
      <c r="E1844" t="s">
        <v>402</v>
      </c>
      <c r="F1844" t="s">
        <v>17</v>
      </c>
      <c r="G1844" t="s">
        <v>32</v>
      </c>
      <c r="H1844" t="s">
        <v>19</v>
      </c>
      <c r="I1844" t="s">
        <v>20</v>
      </c>
      <c r="J1844" s="2">
        <v>300</v>
      </c>
      <c r="K1844" t="s">
        <v>1326</v>
      </c>
    </row>
    <row r="1845" spans="1:12" ht="19.95" customHeight="1">
      <c r="A1845" t="s">
        <v>1945</v>
      </c>
      <c r="B1845" t="s">
        <v>1859</v>
      </c>
      <c r="C1845" t="s">
        <v>14</v>
      </c>
      <c r="D1845" t="s">
        <v>26</v>
      </c>
      <c r="E1845" t="s">
        <v>402</v>
      </c>
      <c r="F1845" t="s">
        <v>35</v>
      </c>
      <c r="G1845" t="s">
        <v>18</v>
      </c>
      <c r="H1845" t="s">
        <v>19</v>
      </c>
      <c r="I1845" t="s">
        <v>20</v>
      </c>
      <c r="J1845" s="2">
        <v>200</v>
      </c>
      <c r="K1845" t="s">
        <v>1324</v>
      </c>
    </row>
    <row r="1846" spans="1:12" ht="19.95" customHeight="1">
      <c r="A1846" t="s">
        <v>1946</v>
      </c>
      <c r="B1846" t="s">
        <v>1947</v>
      </c>
      <c r="C1846" t="s">
        <v>14</v>
      </c>
      <c r="D1846" t="s">
        <v>131</v>
      </c>
      <c r="E1846" t="s">
        <v>16</v>
      </c>
      <c r="F1846" t="s">
        <v>17</v>
      </c>
      <c r="G1846" t="s">
        <v>32</v>
      </c>
      <c r="H1846" t="s">
        <v>19</v>
      </c>
      <c r="I1846" t="s">
        <v>20</v>
      </c>
      <c r="J1846" s="2">
        <v>300</v>
      </c>
    </row>
    <row r="1847" spans="1:12" ht="19.95" customHeight="1">
      <c r="A1847" t="s">
        <v>1948</v>
      </c>
      <c r="B1847" t="s">
        <v>1947</v>
      </c>
      <c r="C1847" t="s">
        <v>14</v>
      </c>
      <c r="D1847" t="s">
        <v>131</v>
      </c>
      <c r="E1847" t="s">
        <v>16</v>
      </c>
      <c r="F1847" t="s">
        <v>35</v>
      </c>
      <c r="G1847" t="s">
        <v>23</v>
      </c>
      <c r="H1847" t="s">
        <v>19</v>
      </c>
      <c r="I1847" t="s">
        <v>20</v>
      </c>
      <c r="J1847" s="2">
        <v>120</v>
      </c>
    </row>
    <row r="1848" spans="1:12" ht="19.95" customHeight="1">
      <c r="A1848" t="s">
        <v>1949</v>
      </c>
      <c r="B1848" t="s">
        <v>1947</v>
      </c>
      <c r="C1848" t="s">
        <v>14</v>
      </c>
      <c r="D1848" t="s">
        <v>37</v>
      </c>
      <c r="E1848" t="s">
        <v>16</v>
      </c>
      <c r="F1848" t="s">
        <v>17</v>
      </c>
      <c r="G1848" t="s">
        <v>32</v>
      </c>
      <c r="H1848" t="s">
        <v>19</v>
      </c>
      <c r="I1848" t="s">
        <v>20</v>
      </c>
      <c r="J1848" s="2">
        <v>300</v>
      </c>
    </row>
    <row r="1849" spans="1:12" ht="19.95" customHeight="1">
      <c r="A1849" t="s">
        <v>1950</v>
      </c>
      <c r="B1849" t="s">
        <v>1947</v>
      </c>
      <c r="C1849" t="s">
        <v>14</v>
      </c>
      <c r="D1849" t="s">
        <v>28</v>
      </c>
      <c r="E1849" t="s">
        <v>16</v>
      </c>
      <c r="F1849" t="s">
        <v>17</v>
      </c>
      <c r="G1849" t="s">
        <v>18</v>
      </c>
      <c r="H1849" t="s">
        <v>24</v>
      </c>
      <c r="I1849" t="s">
        <v>20</v>
      </c>
      <c r="J1849" s="2">
        <v>200</v>
      </c>
    </row>
    <row r="1850" spans="1:12" ht="19.95" customHeight="1">
      <c r="A1850" t="s">
        <v>1951</v>
      </c>
      <c r="B1850" t="s">
        <v>1947</v>
      </c>
      <c r="C1850" t="s">
        <v>14</v>
      </c>
      <c r="D1850" t="s">
        <v>15</v>
      </c>
      <c r="E1850" t="s">
        <v>16</v>
      </c>
      <c r="F1850" t="s">
        <v>17</v>
      </c>
      <c r="G1850" t="s">
        <v>18</v>
      </c>
      <c r="H1850" t="s">
        <v>19</v>
      </c>
      <c r="I1850" t="s">
        <v>20</v>
      </c>
      <c r="J1850" s="2">
        <v>150</v>
      </c>
      <c r="L1850" t="s">
        <v>29</v>
      </c>
    </row>
    <row r="1851" spans="1:12" ht="19.95" customHeight="1">
      <c r="A1851" t="s">
        <v>1952</v>
      </c>
      <c r="B1851" t="s">
        <v>1947</v>
      </c>
      <c r="C1851" t="s">
        <v>14</v>
      </c>
      <c r="D1851" t="s">
        <v>31</v>
      </c>
      <c r="E1851" t="s">
        <v>16</v>
      </c>
      <c r="F1851" t="s">
        <v>17</v>
      </c>
      <c r="G1851" t="s">
        <v>32</v>
      </c>
      <c r="H1851" t="s">
        <v>24</v>
      </c>
      <c r="I1851" t="s">
        <v>20</v>
      </c>
      <c r="J1851" s="2">
        <v>300</v>
      </c>
    </row>
    <row r="1852" spans="1:12" ht="19.95" customHeight="1">
      <c r="A1852" t="s">
        <v>1953</v>
      </c>
      <c r="B1852" t="s">
        <v>1947</v>
      </c>
      <c r="C1852" t="s">
        <v>14</v>
      </c>
      <c r="D1852" t="s">
        <v>15</v>
      </c>
      <c r="E1852" t="s">
        <v>16</v>
      </c>
      <c r="F1852" t="s">
        <v>35</v>
      </c>
      <c r="G1852" t="s">
        <v>18</v>
      </c>
      <c r="H1852" t="s">
        <v>19</v>
      </c>
      <c r="I1852" t="s">
        <v>20</v>
      </c>
      <c r="J1852" s="2">
        <v>200</v>
      </c>
    </row>
    <row r="1853" spans="1:12" ht="19.95" customHeight="1">
      <c r="A1853" t="s">
        <v>1954</v>
      </c>
      <c r="B1853" t="s">
        <v>1947</v>
      </c>
      <c r="C1853" t="s">
        <v>14</v>
      </c>
      <c r="D1853" t="s">
        <v>37</v>
      </c>
      <c r="E1853" t="s">
        <v>16</v>
      </c>
      <c r="F1853" t="s">
        <v>17</v>
      </c>
      <c r="G1853" t="s">
        <v>32</v>
      </c>
      <c r="H1853" t="s">
        <v>19</v>
      </c>
      <c r="I1853" t="s">
        <v>20</v>
      </c>
      <c r="J1853" s="2">
        <v>300</v>
      </c>
    </row>
    <row r="1854" spans="1:12" ht="19.95" customHeight="1">
      <c r="A1854" t="s">
        <v>1955</v>
      </c>
      <c r="B1854" t="s">
        <v>1947</v>
      </c>
      <c r="C1854" t="s">
        <v>14</v>
      </c>
      <c r="D1854" t="s">
        <v>34</v>
      </c>
      <c r="E1854" t="s">
        <v>16</v>
      </c>
      <c r="F1854" t="s">
        <v>17</v>
      </c>
      <c r="G1854" t="s">
        <v>23</v>
      </c>
      <c r="H1854" t="s">
        <v>19</v>
      </c>
      <c r="I1854" t="s">
        <v>20</v>
      </c>
      <c r="J1854" s="2">
        <v>120</v>
      </c>
    </row>
    <row r="1855" spans="1:12" ht="19.95" customHeight="1">
      <c r="A1855" t="s">
        <v>1956</v>
      </c>
      <c r="B1855" t="s">
        <v>1947</v>
      </c>
      <c r="C1855" t="s">
        <v>14</v>
      </c>
      <c r="D1855" t="s">
        <v>34</v>
      </c>
      <c r="E1855" t="s">
        <v>16</v>
      </c>
      <c r="F1855" t="s">
        <v>17</v>
      </c>
      <c r="G1855" t="s">
        <v>18</v>
      </c>
      <c r="H1855" t="s">
        <v>24</v>
      </c>
      <c r="I1855" t="s">
        <v>20</v>
      </c>
      <c r="J1855" s="2">
        <v>200</v>
      </c>
    </row>
    <row r="1856" spans="1:12" ht="19.95" customHeight="1">
      <c r="A1856" t="s">
        <v>1957</v>
      </c>
      <c r="B1856" t="s">
        <v>1947</v>
      </c>
      <c r="C1856" t="s">
        <v>14</v>
      </c>
      <c r="D1856" t="s">
        <v>31</v>
      </c>
      <c r="E1856" t="s">
        <v>16</v>
      </c>
      <c r="F1856" t="s">
        <v>35</v>
      </c>
      <c r="G1856" t="s">
        <v>18</v>
      </c>
      <c r="H1856" t="s">
        <v>19</v>
      </c>
      <c r="I1856" t="s">
        <v>20</v>
      </c>
      <c r="J1856" s="2">
        <v>200</v>
      </c>
    </row>
    <row r="1857" spans="1:12" ht="19.95" customHeight="1">
      <c r="A1857" t="s">
        <v>1958</v>
      </c>
      <c r="B1857" t="s">
        <v>1947</v>
      </c>
      <c r="C1857" t="s">
        <v>14</v>
      </c>
      <c r="D1857" t="s">
        <v>137</v>
      </c>
      <c r="E1857" t="s">
        <v>16</v>
      </c>
      <c r="F1857" t="s">
        <v>17</v>
      </c>
      <c r="G1857" t="s">
        <v>32</v>
      </c>
      <c r="H1857" t="s">
        <v>19</v>
      </c>
      <c r="I1857" t="s">
        <v>20</v>
      </c>
      <c r="J1857" s="2">
        <v>255</v>
      </c>
      <c r="L1857" t="s">
        <v>29</v>
      </c>
    </row>
    <row r="1858" spans="1:12" ht="19.95" customHeight="1">
      <c r="A1858" t="s">
        <v>1959</v>
      </c>
      <c r="B1858" t="s">
        <v>1947</v>
      </c>
      <c r="C1858" t="s">
        <v>14</v>
      </c>
      <c r="D1858" t="s">
        <v>210</v>
      </c>
      <c r="E1858" t="s">
        <v>16</v>
      </c>
      <c r="F1858" t="s">
        <v>35</v>
      </c>
      <c r="G1858" t="s">
        <v>18</v>
      </c>
      <c r="H1858" t="s">
        <v>19</v>
      </c>
      <c r="I1858" t="s">
        <v>20</v>
      </c>
      <c r="J1858" s="2">
        <v>200</v>
      </c>
    </row>
    <row r="1859" spans="1:12" ht="19.95" customHeight="1">
      <c r="A1859" t="s">
        <v>1960</v>
      </c>
      <c r="B1859" t="s">
        <v>1947</v>
      </c>
      <c r="C1859" t="s">
        <v>14</v>
      </c>
      <c r="D1859" t="s">
        <v>42</v>
      </c>
      <c r="E1859" t="s">
        <v>16</v>
      </c>
      <c r="F1859" t="s">
        <v>17</v>
      </c>
      <c r="G1859" t="s">
        <v>18</v>
      </c>
      <c r="H1859" t="s">
        <v>19</v>
      </c>
      <c r="I1859" t="s">
        <v>20</v>
      </c>
      <c r="J1859" s="2">
        <v>200</v>
      </c>
    </row>
    <row r="1860" spans="1:12" ht="19.95" customHeight="1">
      <c r="A1860" t="s">
        <v>1961</v>
      </c>
      <c r="B1860" t="s">
        <v>1947</v>
      </c>
      <c r="C1860" t="s">
        <v>47</v>
      </c>
      <c r="D1860" t="s">
        <v>71</v>
      </c>
      <c r="E1860" t="s">
        <v>16</v>
      </c>
      <c r="F1860" t="s">
        <v>17</v>
      </c>
      <c r="G1860" t="s">
        <v>32</v>
      </c>
      <c r="H1860" t="s">
        <v>24</v>
      </c>
      <c r="I1860" t="s">
        <v>20</v>
      </c>
      <c r="J1860" s="2">
        <v>300</v>
      </c>
    </row>
    <row r="1861" spans="1:12" ht="19.95" customHeight="1">
      <c r="A1861" t="s">
        <v>1962</v>
      </c>
      <c r="B1861" t="s">
        <v>1947</v>
      </c>
      <c r="C1861" t="s">
        <v>47</v>
      </c>
      <c r="D1861" t="s">
        <v>52</v>
      </c>
      <c r="E1861" t="s">
        <v>16</v>
      </c>
      <c r="F1861" t="s">
        <v>17</v>
      </c>
      <c r="G1861" t="s">
        <v>18</v>
      </c>
      <c r="H1861" t="s">
        <v>19</v>
      </c>
      <c r="I1861" t="s">
        <v>20</v>
      </c>
      <c r="J1861" s="2">
        <v>200</v>
      </c>
    </row>
    <row r="1862" spans="1:12" ht="19.95" customHeight="1">
      <c r="A1862" t="s">
        <v>1963</v>
      </c>
      <c r="B1862" t="s">
        <v>1947</v>
      </c>
      <c r="C1862" t="s">
        <v>47</v>
      </c>
      <c r="D1862" t="s">
        <v>52</v>
      </c>
      <c r="E1862" t="s">
        <v>16</v>
      </c>
      <c r="F1862" t="s">
        <v>17</v>
      </c>
      <c r="G1862" t="s">
        <v>32</v>
      </c>
      <c r="H1862" t="s">
        <v>19</v>
      </c>
      <c r="I1862" t="s">
        <v>20</v>
      </c>
      <c r="J1862" s="2">
        <v>300</v>
      </c>
    </row>
    <row r="1863" spans="1:12" ht="19.95" customHeight="1">
      <c r="A1863" t="s">
        <v>1964</v>
      </c>
      <c r="B1863" t="s">
        <v>1947</v>
      </c>
      <c r="C1863" t="s">
        <v>47</v>
      </c>
      <c r="D1863" t="s">
        <v>71</v>
      </c>
      <c r="E1863" t="s">
        <v>16</v>
      </c>
      <c r="F1863" t="s">
        <v>35</v>
      </c>
      <c r="G1863" t="s">
        <v>18</v>
      </c>
      <c r="H1863" t="s">
        <v>19</v>
      </c>
      <c r="I1863" t="s">
        <v>20</v>
      </c>
      <c r="J1863" s="2">
        <v>200</v>
      </c>
    </row>
    <row r="1864" spans="1:12" ht="19.95" customHeight="1">
      <c r="A1864" t="s">
        <v>1965</v>
      </c>
      <c r="B1864" t="s">
        <v>1947</v>
      </c>
      <c r="C1864" t="s">
        <v>47</v>
      </c>
      <c r="D1864" t="s">
        <v>62</v>
      </c>
      <c r="E1864" t="s">
        <v>16</v>
      </c>
      <c r="F1864" t="s">
        <v>17</v>
      </c>
      <c r="G1864" t="s">
        <v>32</v>
      </c>
      <c r="H1864" t="s">
        <v>19</v>
      </c>
      <c r="I1864" t="s">
        <v>20</v>
      </c>
      <c r="J1864" s="2">
        <v>300</v>
      </c>
    </row>
    <row r="1865" spans="1:12" ht="19.95" customHeight="1">
      <c r="A1865" t="s">
        <v>1966</v>
      </c>
      <c r="B1865" t="s">
        <v>1947</v>
      </c>
      <c r="C1865" t="s">
        <v>47</v>
      </c>
      <c r="D1865" t="s">
        <v>62</v>
      </c>
      <c r="E1865" t="s">
        <v>16</v>
      </c>
      <c r="F1865" t="s">
        <v>17</v>
      </c>
      <c r="G1865" t="s">
        <v>18</v>
      </c>
      <c r="H1865" t="s">
        <v>19</v>
      </c>
      <c r="I1865" t="s">
        <v>20</v>
      </c>
      <c r="J1865" s="2">
        <v>200</v>
      </c>
    </row>
    <row r="1866" spans="1:12" ht="19.95" customHeight="1">
      <c r="A1866" t="s">
        <v>1967</v>
      </c>
      <c r="B1866" t="s">
        <v>1947</v>
      </c>
      <c r="C1866" t="s">
        <v>47</v>
      </c>
      <c r="D1866" t="s">
        <v>52</v>
      </c>
      <c r="E1866" t="s">
        <v>16</v>
      </c>
      <c r="F1866" t="s">
        <v>17</v>
      </c>
      <c r="G1866" t="s">
        <v>32</v>
      </c>
      <c r="H1866" t="s">
        <v>19</v>
      </c>
      <c r="I1866" t="s">
        <v>53</v>
      </c>
      <c r="J1866" s="2">
        <v>300</v>
      </c>
    </row>
    <row r="1867" spans="1:12" ht="19.95" customHeight="1">
      <c r="A1867" t="s">
        <v>1968</v>
      </c>
      <c r="B1867" t="s">
        <v>1947</v>
      </c>
      <c r="C1867" t="s">
        <v>47</v>
      </c>
      <c r="D1867" t="s">
        <v>64</v>
      </c>
      <c r="E1867" t="s">
        <v>16</v>
      </c>
      <c r="F1867" t="s">
        <v>17</v>
      </c>
      <c r="G1867" t="s">
        <v>23</v>
      </c>
      <c r="H1867" t="s">
        <v>24</v>
      </c>
      <c r="I1867" t="s">
        <v>20</v>
      </c>
      <c r="J1867" s="2">
        <v>120</v>
      </c>
    </row>
    <row r="1868" spans="1:12" ht="19.95" customHeight="1">
      <c r="A1868" t="s">
        <v>1969</v>
      </c>
      <c r="B1868" t="s">
        <v>1947</v>
      </c>
      <c r="C1868" t="s">
        <v>47</v>
      </c>
      <c r="D1868" t="s">
        <v>152</v>
      </c>
      <c r="E1868" t="s">
        <v>16</v>
      </c>
      <c r="F1868" t="s">
        <v>17</v>
      </c>
      <c r="G1868" t="s">
        <v>32</v>
      </c>
      <c r="H1868" t="s">
        <v>19</v>
      </c>
      <c r="I1868" t="s">
        <v>20</v>
      </c>
      <c r="J1868" s="2">
        <v>255</v>
      </c>
      <c r="L1868" t="s">
        <v>29</v>
      </c>
    </row>
    <row r="1869" spans="1:12" ht="19.95" customHeight="1">
      <c r="A1869" t="s">
        <v>1970</v>
      </c>
      <c r="B1869" t="s">
        <v>1947</v>
      </c>
      <c r="C1869" t="s">
        <v>47</v>
      </c>
      <c r="D1869" t="s">
        <v>64</v>
      </c>
      <c r="E1869" t="s">
        <v>16</v>
      </c>
      <c r="F1869" t="s">
        <v>17</v>
      </c>
      <c r="G1869" t="s">
        <v>32</v>
      </c>
      <c r="H1869" t="s">
        <v>19</v>
      </c>
      <c r="I1869" t="s">
        <v>20</v>
      </c>
      <c r="J1869" s="2">
        <v>300</v>
      </c>
    </row>
    <row r="1870" spans="1:12" ht="19.95" customHeight="1">
      <c r="A1870" t="s">
        <v>1971</v>
      </c>
      <c r="B1870" t="s">
        <v>1947</v>
      </c>
      <c r="C1870" t="s">
        <v>47</v>
      </c>
      <c r="D1870" t="s">
        <v>152</v>
      </c>
      <c r="E1870" t="s">
        <v>16</v>
      </c>
      <c r="F1870" t="s">
        <v>17</v>
      </c>
      <c r="G1870" t="s">
        <v>18</v>
      </c>
      <c r="H1870" t="s">
        <v>24</v>
      </c>
      <c r="I1870" t="s">
        <v>20</v>
      </c>
      <c r="J1870" s="2">
        <v>200</v>
      </c>
    </row>
    <row r="1871" spans="1:12" ht="19.95" customHeight="1">
      <c r="A1871" t="s">
        <v>1972</v>
      </c>
      <c r="B1871" t="s">
        <v>1947</v>
      </c>
      <c r="C1871" t="s">
        <v>47</v>
      </c>
      <c r="D1871" t="s">
        <v>55</v>
      </c>
      <c r="E1871" t="s">
        <v>16</v>
      </c>
      <c r="F1871" t="s">
        <v>17</v>
      </c>
      <c r="G1871" t="s">
        <v>18</v>
      </c>
      <c r="H1871" t="s">
        <v>19</v>
      </c>
      <c r="I1871" t="s">
        <v>20</v>
      </c>
      <c r="J1871" s="2">
        <v>200</v>
      </c>
    </row>
    <row r="1872" spans="1:12" ht="19.95" customHeight="1">
      <c r="A1872" t="s">
        <v>1973</v>
      </c>
      <c r="B1872" t="s">
        <v>1947</v>
      </c>
      <c r="C1872" t="s">
        <v>47</v>
      </c>
      <c r="D1872" t="s">
        <v>71</v>
      </c>
      <c r="E1872" t="s">
        <v>16</v>
      </c>
      <c r="F1872" t="s">
        <v>17</v>
      </c>
      <c r="G1872" t="s">
        <v>23</v>
      </c>
      <c r="H1872" t="s">
        <v>19</v>
      </c>
      <c r="I1872" t="s">
        <v>20</v>
      </c>
      <c r="J1872" s="2">
        <v>120</v>
      </c>
    </row>
    <row r="1873" spans="1:12" ht="19.95" customHeight="1">
      <c r="A1873" t="s">
        <v>1974</v>
      </c>
      <c r="B1873" t="s">
        <v>1947</v>
      </c>
      <c r="C1873" t="s">
        <v>47</v>
      </c>
      <c r="D1873" t="s">
        <v>148</v>
      </c>
      <c r="E1873" t="s">
        <v>16</v>
      </c>
      <c r="F1873" t="s">
        <v>17</v>
      </c>
      <c r="G1873" t="s">
        <v>32</v>
      </c>
      <c r="H1873" t="s">
        <v>19</v>
      </c>
      <c r="I1873" t="s">
        <v>20</v>
      </c>
      <c r="J1873" s="2">
        <v>300</v>
      </c>
    </row>
    <row r="1874" spans="1:12" ht="19.95" customHeight="1">
      <c r="A1874" t="s">
        <v>1975</v>
      </c>
      <c r="B1874" t="s">
        <v>1947</v>
      </c>
      <c r="C1874" t="s">
        <v>78</v>
      </c>
      <c r="D1874" t="s">
        <v>83</v>
      </c>
      <c r="E1874" t="s">
        <v>16</v>
      </c>
      <c r="F1874" t="s">
        <v>17</v>
      </c>
      <c r="G1874" t="s">
        <v>18</v>
      </c>
      <c r="H1874" t="s">
        <v>19</v>
      </c>
      <c r="I1874" t="s">
        <v>20</v>
      </c>
      <c r="J1874" s="2">
        <v>200</v>
      </c>
    </row>
    <row r="1875" spans="1:12" ht="19.95" customHeight="1">
      <c r="A1875" t="s">
        <v>1976</v>
      </c>
      <c r="B1875" t="s">
        <v>1947</v>
      </c>
      <c r="C1875" t="s">
        <v>78</v>
      </c>
      <c r="D1875" t="s">
        <v>102</v>
      </c>
      <c r="E1875" t="s">
        <v>16</v>
      </c>
      <c r="F1875" t="s">
        <v>17</v>
      </c>
      <c r="G1875" t="s">
        <v>18</v>
      </c>
      <c r="H1875" t="s">
        <v>24</v>
      </c>
      <c r="I1875" t="s">
        <v>20</v>
      </c>
      <c r="J1875" s="2">
        <v>200</v>
      </c>
    </row>
    <row r="1876" spans="1:12" ht="19.95" customHeight="1">
      <c r="A1876" t="s">
        <v>1977</v>
      </c>
      <c r="B1876" t="s">
        <v>1947</v>
      </c>
      <c r="C1876" t="s">
        <v>78</v>
      </c>
      <c r="D1876" t="s">
        <v>97</v>
      </c>
      <c r="E1876" t="s">
        <v>16</v>
      </c>
      <c r="F1876" t="s">
        <v>17</v>
      </c>
      <c r="G1876" t="s">
        <v>18</v>
      </c>
      <c r="H1876" t="s">
        <v>24</v>
      </c>
      <c r="I1876" t="s">
        <v>20</v>
      </c>
      <c r="J1876" s="2">
        <v>150</v>
      </c>
      <c r="L1876" t="s">
        <v>29</v>
      </c>
    </row>
    <row r="1877" spans="1:12" ht="19.95" customHeight="1">
      <c r="A1877" t="s">
        <v>1978</v>
      </c>
      <c r="B1877" t="s">
        <v>1947</v>
      </c>
      <c r="C1877" t="s">
        <v>78</v>
      </c>
      <c r="D1877" t="s">
        <v>89</v>
      </c>
      <c r="E1877" t="s">
        <v>16</v>
      </c>
      <c r="F1877" t="s">
        <v>17</v>
      </c>
      <c r="G1877" t="s">
        <v>32</v>
      </c>
      <c r="H1877" t="s">
        <v>19</v>
      </c>
      <c r="I1877" t="s">
        <v>20</v>
      </c>
      <c r="J1877" s="2">
        <v>300</v>
      </c>
    </row>
    <row r="1878" spans="1:12" ht="19.95" customHeight="1">
      <c r="A1878" t="s">
        <v>1979</v>
      </c>
      <c r="B1878" t="s">
        <v>1947</v>
      </c>
      <c r="C1878" t="s">
        <v>78</v>
      </c>
      <c r="D1878" t="s">
        <v>85</v>
      </c>
      <c r="E1878" t="s">
        <v>16</v>
      </c>
      <c r="F1878" t="s">
        <v>17</v>
      </c>
      <c r="G1878" t="s">
        <v>32</v>
      </c>
      <c r="H1878" t="s">
        <v>19</v>
      </c>
      <c r="I1878" t="s">
        <v>20</v>
      </c>
      <c r="J1878" s="2">
        <v>300</v>
      </c>
    </row>
    <row r="1879" spans="1:12" ht="19.95" customHeight="1">
      <c r="A1879" t="s">
        <v>1980</v>
      </c>
      <c r="B1879" t="s">
        <v>1947</v>
      </c>
      <c r="C1879" t="s">
        <v>78</v>
      </c>
      <c r="D1879" t="s">
        <v>102</v>
      </c>
      <c r="E1879" t="s">
        <v>16</v>
      </c>
      <c r="F1879" t="s">
        <v>35</v>
      </c>
      <c r="G1879" t="s">
        <v>23</v>
      </c>
      <c r="H1879" t="s">
        <v>19</v>
      </c>
      <c r="I1879" t="s">
        <v>20</v>
      </c>
      <c r="J1879" s="2">
        <v>120</v>
      </c>
    </row>
    <row r="1880" spans="1:12" ht="19.95" customHeight="1">
      <c r="A1880" t="s">
        <v>1981</v>
      </c>
      <c r="B1880" t="s">
        <v>1947</v>
      </c>
      <c r="C1880" t="s">
        <v>78</v>
      </c>
      <c r="D1880" t="s">
        <v>102</v>
      </c>
      <c r="E1880" t="s">
        <v>16</v>
      </c>
      <c r="F1880" t="s">
        <v>17</v>
      </c>
      <c r="G1880" t="s">
        <v>23</v>
      </c>
      <c r="H1880" t="s">
        <v>19</v>
      </c>
      <c r="I1880" t="s">
        <v>20</v>
      </c>
      <c r="J1880" s="2">
        <v>120</v>
      </c>
    </row>
    <row r="1881" spans="1:12" ht="19.95" customHeight="1">
      <c r="A1881" t="s">
        <v>1982</v>
      </c>
      <c r="B1881" t="s">
        <v>1947</v>
      </c>
      <c r="C1881" t="s">
        <v>78</v>
      </c>
      <c r="D1881" t="s">
        <v>85</v>
      </c>
      <c r="E1881" t="s">
        <v>16</v>
      </c>
      <c r="F1881" t="s">
        <v>17</v>
      </c>
      <c r="G1881" t="s">
        <v>32</v>
      </c>
      <c r="H1881" t="s">
        <v>19</v>
      </c>
      <c r="I1881" t="s">
        <v>20</v>
      </c>
      <c r="J1881" s="2">
        <v>300</v>
      </c>
    </row>
    <row r="1882" spans="1:12" ht="19.95" customHeight="1">
      <c r="A1882" t="s">
        <v>1983</v>
      </c>
      <c r="B1882" t="s">
        <v>1947</v>
      </c>
      <c r="C1882" t="s">
        <v>78</v>
      </c>
      <c r="D1882" t="s">
        <v>79</v>
      </c>
      <c r="E1882" t="s">
        <v>16</v>
      </c>
      <c r="F1882" t="s">
        <v>17</v>
      </c>
      <c r="G1882" t="s">
        <v>32</v>
      </c>
      <c r="H1882" t="s">
        <v>24</v>
      </c>
      <c r="I1882" t="s">
        <v>20</v>
      </c>
      <c r="J1882" s="2">
        <v>300</v>
      </c>
    </row>
    <row r="1883" spans="1:12" ht="19.95" customHeight="1">
      <c r="A1883" t="s">
        <v>1984</v>
      </c>
      <c r="B1883" t="s">
        <v>1947</v>
      </c>
      <c r="C1883" t="s">
        <v>78</v>
      </c>
      <c r="D1883" t="s">
        <v>81</v>
      </c>
      <c r="E1883" t="s">
        <v>16</v>
      </c>
      <c r="F1883" t="s">
        <v>17</v>
      </c>
      <c r="G1883" t="s">
        <v>32</v>
      </c>
      <c r="H1883" t="s">
        <v>19</v>
      </c>
      <c r="I1883" t="s">
        <v>20</v>
      </c>
      <c r="J1883" s="2">
        <v>300</v>
      </c>
    </row>
    <row r="1884" spans="1:12" ht="19.95" customHeight="1">
      <c r="A1884" t="s">
        <v>1985</v>
      </c>
      <c r="B1884" t="s">
        <v>1947</v>
      </c>
      <c r="C1884" t="s">
        <v>78</v>
      </c>
      <c r="D1884" t="s">
        <v>81</v>
      </c>
      <c r="E1884" t="s">
        <v>16</v>
      </c>
      <c r="F1884" t="s">
        <v>17</v>
      </c>
      <c r="G1884" t="s">
        <v>23</v>
      </c>
      <c r="H1884" t="s">
        <v>19</v>
      </c>
      <c r="I1884" t="s">
        <v>20</v>
      </c>
      <c r="J1884" s="2">
        <v>120</v>
      </c>
    </row>
    <row r="1885" spans="1:12" ht="19.95" customHeight="1">
      <c r="A1885" t="s">
        <v>1986</v>
      </c>
      <c r="B1885" t="s">
        <v>1947</v>
      </c>
      <c r="C1885" t="s">
        <v>78</v>
      </c>
      <c r="D1885" t="s">
        <v>83</v>
      </c>
      <c r="E1885" t="s">
        <v>16</v>
      </c>
      <c r="F1885" t="s">
        <v>17</v>
      </c>
      <c r="G1885" t="s">
        <v>32</v>
      </c>
      <c r="H1885" t="s">
        <v>19</v>
      </c>
      <c r="I1885" t="s">
        <v>20</v>
      </c>
      <c r="J1885" s="2">
        <v>300</v>
      </c>
    </row>
    <row r="1886" spans="1:12" ht="19.95" customHeight="1">
      <c r="A1886" t="s">
        <v>1987</v>
      </c>
      <c r="B1886" t="s">
        <v>1947</v>
      </c>
      <c r="C1886" t="s">
        <v>78</v>
      </c>
      <c r="D1886" t="s">
        <v>79</v>
      </c>
      <c r="E1886" t="s">
        <v>16</v>
      </c>
      <c r="F1886" t="s">
        <v>17</v>
      </c>
      <c r="G1886" t="s">
        <v>32</v>
      </c>
      <c r="H1886" t="s">
        <v>19</v>
      </c>
      <c r="I1886" t="s">
        <v>20</v>
      </c>
      <c r="J1886" s="2">
        <v>300</v>
      </c>
    </row>
    <row r="1887" spans="1:12" ht="19.95" customHeight="1">
      <c r="A1887" t="s">
        <v>1988</v>
      </c>
      <c r="B1887" t="s">
        <v>1947</v>
      </c>
      <c r="C1887" t="s">
        <v>78</v>
      </c>
      <c r="D1887" t="s">
        <v>79</v>
      </c>
      <c r="E1887" t="s">
        <v>16</v>
      </c>
      <c r="F1887" t="s">
        <v>17</v>
      </c>
      <c r="G1887" t="s">
        <v>18</v>
      </c>
      <c r="H1887" t="s">
        <v>19</v>
      </c>
      <c r="I1887" t="s">
        <v>20</v>
      </c>
      <c r="J1887" s="2">
        <v>170</v>
      </c>
      <c r="L1887" t="s">
        <v>29</v>
      </c>
    </row>
    <row r="1888" spans="1:12" ht="19.95" customHeight="1">
      <c r="A1888" t="s">
        <v>1989</v>
      </c>
      <c r="B1888" t="s">
        <v>1947</v>
      </c>
      <c r="C1888" t="s">
        <v>78</v>
      </c>
      <c r="D1888" t="s">
        <v>93</v>
      </c>
      <c r="E1888" t="s">
        <v>16</v>
      </c>
      <c r="F1888" t="s">
        <v>17</v>
      </c>
      <c r="G1888" t="s">
        <v>23</v>
      </c>
      <c r="H1888" t="s">
        <v>19</v>
      </c>
      <c r="I1888" t="s">
        <v>20</v>
      </c>
      <c r="J1888" s="2">
        <v>120</v>
      </c>
    </row>
    <row r="1889" spans="1:12" ht="19.95" customHeight="1">
      <c r="A1889" t="s">
        <v>1990</v>
      </c>
      <c r="B1889" t="s">
        <v>1947</v>
      </c>
      <c r="C1889" t="s">
        <v>78</v>
      </c>
      <c r="D1889" t="s">
        <v>161</v>
      </c>
      <c r="E1889" t="s">
        <v>16</v>
      </c>
      <c r="F1889" t="s">
        <v>17</v>
      </c>
      <c r="G1889" t="s">
        <v>23</v>
      </c>
      <c r="H1889" t="s">
        <v>24</v>
      </c>
      <c r="I1889" t="s">
        <v>20</v>
      </c>
      <c r="J1889" s="2">
        <v>120</v>
      </c>
    </row>
    <row r="1890" spans="1:12" ht="19.95" customHeight="1">
      <c r="A1890" t="s">
        <v>1991</v>
      </c>
      <c r="B1890" t="s">
        <v>1947</v>
      </c>
      <c r="C1890" t="s">
        <v>78</v>
      </c>
      <c r="D1890" t="s">
        <v>83</v>
      </c>
      <c r="E1890" t="s">
        <v>16</v>
      </c>
      <c r="F1890" t="s">
        <v>17</v>
      </c>
      <c r="G1890" t="s">
        <v>23</v>
      </c>
      <c r="H1890" t="s">
        <v>19</v>
      </c>
      <c r="I1890" t="s">
        <v>20</v>
      </c>
      <c r="J1890" s="2">
        <v>90</v>
      </c>
      <c r="L1890" t="s">
        <v>29</v>
      </c>
    </row>
    <row r="1891" spans="1:12" ht="19.95" customHeight="1">
      <c r="A1891" t="s">
        <v>1992</v>
      </c>
      <c r="B1891" t="s">
        <v>1947</v>
      </c>
      <c r="C1891" t="s">
        <v>78</v>
      </c>
      <c r="D1891" t="s">
        <v>83</v>
      </c>
      <c r="E1891" t="s">
        <v>16</v>
      </c>
      <c r="F1891" t="s">
        <v>17</v>
      </c>
      <c r="G1891" t="s">
        <v>18</v>
      </c>
      <c r="H1891" t="s">
        <v>24</v>
      </c>
      <c r="I1891" t="s">
        <v>20</v>
      </c>
      <c r="J1891" s="2">
        <v>200</v>
      </c>
    </row>
    <row r="1892" spans="1:12" ht="19.95" customHeight="1">
      <c r="A1892" t="s">
        <v>1993</v>
      </c>
      <c r="B1892" t="s">
        <v>1947</v>
      </c>
      <c r="C1892" t="s">
        <v>105</v>
      </c>
      <c r="D1892" t="s">
        <v>194</v>
      </c>
      <c r="E1892" t="s">
        <v>16</v>
      </c>
      <c r="F1892" t="s">
        <v>17</v>
      </c>
      <c r="G1892" t="s">
        <v>23</v>
      </c>
      <c r="H1892" t="s">
        <v>19</v>
      </c>
      <c r="I1892" t="s">
        <v>20</v>
      </c>
      <c r="J1892" s="2">
        <v>120</v>
      </c>
    </row>
    <row r="1893" spans="1:12" ht="19.95" customHeight="1">
      <c r="A1893" t="s">
        <v>1994</v>
      </c>
      <c r="B1893" t="s">
        <v>1947</v>
      </c>
      <c r="C1893" t="s">
        <v>105</v>
      </c>
      <c r="D1893" t="s">
        <v>187</v>
      </c>
      <c r="E1893" t="s">
        <v>16</v>
      </c>
      <c r="F1893" t="s">
        <v>17</v>
      </c>
      <c r="G1893" t="s">
        <v>23</v>
      </c>
      <c r="H1893" t="s">
        <v>24</v>
      </c>
      <c r="I1893" t="s">
        <v>20</v>
      </c>
      <c r="J1893" s="2">
        <v>120</v>
      </c>
    </row>
    <row r="1894" spans="1:12" ht="19.95" customHeight="1">
      <c r="A1894" t="s">
        <v>1995</v>
      </c>
      <c r="B1894" t="s">
        <v>1947</v>
      </c>
      <c r="C1894" t="s">
        <v>105</v>
      </c>
      <c r="D1894" t="s">
        <v>265</v>
      </c>
      <c r="E1894" t="s">
        <v>16</v>
      </c>
      <c r="F1894" t="s">
        <v>17</v>
      </c>
      <c r="G1894" t="s">
        <v>32</v>
      </c>
      <c r="H1894" t="s">
        <v>19</v>
      </c>
      <c r="I1894" t="s">
        <v>20</v>
      </c>
      <c r="J1894" s="2">
        <v>300</v>
      </c>
    </row>
    <row r="1895" spans="1:12" ht="19.95" customHeight="1">
      <c r="A1895" t="s">
        <v>1996</v>
      </c>
      <c r="B1895" t="s">
        <v>1947</v>
      </c>
      <c r="C1895" t="s">
        <v>105</v>
      </c>
      <c r="D1895" t="s">
        <v>112</v>
      </c>
      <c r="E1895" t="s">
        <v>16</v>
      </c>
      <c r="F1895" t="s">
        <v>17</v>
      </c>
      <c r="G1895" t="s">
        <v>18</v>
      </c>
      <c r="H1895" t="s">
        <v>19</v>
      </c>
      <c r="I1895" t="s">
        <v>20</v>
      </c>
      <c r="J1895" s="2">
        <v>200</v>
      </c>
    </row>
    <row r="1896" spans="1:12" ht="19.95" customHeight="1">
      <c r="A1896" t="s">
        <v>1997</v>
      </c>
      <c r="B1896" t="s">
        <v>1947</v>
      </c>
      <c r="C1896" t="s">
        <v>105</v>
      </c>
      <c r="D1896" t="s">
        <v>116</v>
      </c>
      <c r="E1896" t="s">
        <v>16</v>
      </c>
      <c r="F1896" t="s">
        <v>35</v>
      </c>
      <c r="G1896" t="s">
        <v>32</v>
      </c>
      <c r="H1896" t="s">
        <v>19</v>
      </c>
      <c r="I1896" t="s">
        <v>20</v>
      </c>
      <c r="J1896" s="2">
        <v>300</v>
      </c>
    </row>
    <row r="1897" spans="1:12" ht="19.95" customHeight="1">
      <c r="A1897" t="s">
        <v>1998</v>
      </c>
      <c r="B1897" t="s">
        <v>1947</v>
      </c>
      <c r="C1897" t="s">
        <v>105</v>
      </c>
      <c r="D1897" t="s">
        <v>191</v>
      </c>
      <c r="E1897" t="s">
        <v>16</v>
      </c>
      <c r="F1897" t="s">
        <v>17</v>
      </c>
      <c r="G1897" t="s">
        <v>23</v>
      </c>
      <c r="H1897" t="s">
        <v>19</v>
      </c>
      <c r="I1897" t="s">
        <v>20</v>
      </c>
      <c r="J1897" s="2">
        <v>120</v>
      </c>
    </row>
    <row r="1898" spans="1:12" ht="19.95" customHeight="1">
      <c r="A1898" t="s">
        <v>1999</v>
      </c>
      <c r="B1898" t="s">
        <v>1947</v>
      </c>
      <c r="C1898" t="s">
        <v>105</v>
      </c>
      <c r="D1898" t="s">
        <v>116</v>
      </c>
      <c r="E1898" t="s">
        <v>16</v>
      </c>
      <c r="F1898" t="s">
        <v>17</v>
      </c>
      <c r="G1898" t="s">
        <v>23</v>
      </c>
      <c r="H1898" t="s">
        <v>24</v>
      </c>
      <c r="I1898" t="s">
        <v>20</v>
      </c>
      <c r="J1898" s="2">
        <v>120</v>
      </c>
    </row>
    <row r="1899" spans="1:12" ht="19.95" customHeight="1">
      <c r="A1899" t="s">
        <v>2000</v>
      </c>
      <c r="B1899" t="s">
        <v>1947</v>
      </c>
      <c r="C1899" t="s">
        <v>105</v>
      </c>
      <c r="D1899" t="s">
        <v>182</v>
      </c>
      <c r="E1899" t="s">
        <v>16</v>
      </c>
      <c r="F1899" t="s">
        <v>17</v>
      </c>
      <c r="G1899" t="s">
        <v>23</v>
      </c>
      <c r="H1899" t="s">
        <v>19</v>
      </c>
      <c r="I1899" t="s">
        <v>20</v>
      </c>
      <c r="J1899" s="2">
        <v>102</v>
      </c>
      <c r="L1899" t="s">
        <v>29</v>
      </c>
    </row>
    <row r="1900" spans="1:12" ht="19.95" customHeight="1">
      <c r="A1900" t="s">
        <v>2001</v>
      </c>
      <c r="B1900" t="s">
        <v>1947</v>
      </c>
      <c r="C1900" t="s">
        <v>105</v>
      </c>
      <c r="D1900" t="s">
        <v>116</v>
      </c>
      <c r="E1900" t="s">
        <v>16</v>
      </c>
      <c r="F1900" t="s">
        <v>35</v>
      </c>
      <c r="G1900" t="s">
        <v>32</v>
      </c>
      <c r="H1900" t="s">
        <v>19</v>
      </c>
      <c r="I1900" t="s">
        <v>20</v>
      </c>
      <c r="J1900" s="2">
        <v>225</v>
      </c>
      <c r="L1900" t="s">
        <v>29</v>
      </c>
    </row>
    <row r="1901" spans="1:12" ht="19.95" customHeight="1">
      <c r="A1901" t="s">
        <v>2002</v>
      </c>
      <c r="B1901" t="s">
        <v>1947</v>
      </c>
      <c r="C1901" t="s">
        <v>105</v>
      </c>
      <c r="D1901" t="s">
        <v>191</v>
      </c>
      <c r="E1901" t="s">
        <v>16</v>
      </c>
      <c r="F1901" t="s">
        <v>17</v>
      </c>
      <c r="G1901" t="s">
        <v>18</v>
      </c>
      <c r="H1901" t="s">
        <v>19</v>
      </c>
      <c r="I1901" t="s">
        <v>20</v>
      </c>
      <c r="J1901" s="2">
        <v>200</v>
      </c>
    </row>
    <row r="1902" spans="1:12" ht="19.95" customHeight="1">
      <c r="A1902" t="s">
        <v>2003</v>
      </c>
      <c r="B1902" t="s">
        <v>1947</v>
      </c>
      <c r="C1902" t="s">
        <v>105</v>
      </c>
      <c r="D1902" t="s">
        <v>106</v>
      </c>
      <c r="E1902" t="s">
        <v>16</v>
      </c>
      <c r="F1902" t="s">
        <v>17</v>
      </c>
      <c r="G1902" t="s">
        <v>32</v>
      </c>
      <c r="H1902" t="s">
        <v>19</v>
      </c>
      <c r="I1902" t="s">
        <v>20</v>
      </c>
      <c r="J1902" s="2">
        <v>300</v>
      </c>
    </row>
    <row r="1903" spans="1:12" ht="19.95" customHeight="1">
      <c r="A1903" t="s">
        <v>2004</v>
      </c>
      <c r="B1903" t="s">
        <v>1947</v>
      </c>
      <c r="C1903" t="s">
        <v>105</v>
      </c>
      <c r="D1903" t="s">
        <v>108</v>
      </c>
      <c r="E1903" t="s">
        <v>16</v>
      </c>
      <c r="F1903" t="s">
        <v>17</v>
      </c>
      <c r="G1903" t="s">
        <v>23</v>
      </c>
      <c r="H1903" t="s">
        <v>19</v>
      </c>
      <c r="I1903" t="s">
        <v>20</v>
      </c>
      <c r="J1903" s="2">
        <v>120</v>
      </c>
    </row>
    <row r="1904" spans="1:12" ht="19.95" customHeight="1">
      <c r="A1904" t="s">
        <v>2005</v>
      </c>
      <c r="B1904" t="s">
        <v>1947</v>
      </c>
      <c r="C1904" t="s">
        <v>105</v>
      </c>
      <c r="D1904" t="s">
        <v>191</v>
      </c>
      <c r="E1904" t="s">
        <v>16</v>
      </c>
      <c r="F1904" t="s">
        <v>17</v>
      </c>
      <c r="G1904" t="s">
        <v>18</v>
      </c>
      <c r="H1904" t="s">
        <v>24</v>
      </c>
      <c r="I1904" t="s">
        <v>20</v>
      </c>
      <c r="J1904" s="2">
        <v>200</v>
      </c>
    </row>
    <row r="1905" spans="1:12" ht="19.95" customHeight="1">
      <c r="A1905" t="s">
        <v>2006</v>
      </c>
      <c r="B1905" t="s">
        <v>1947</v>
      </c>
      <c r="C1905" t="s">
        <v>105</v>
      </c>
      <c r="D1905" t="s">
        <v>120</v>
      </c>
      <c r="E1905" t="s">
        <v>16</v>
      </c>
      <c r="F1905" t="s">
        <v>17</v>
      </c>
      <c r="G1905" t="s">
        <v>23</v>
      </c>
      <c r="H1905" t="s">
        <v>19</v>
      </c>
      <c r="I1905" t="s">
        <v>20</v>
      </c>
      <c r="J1905" s="2">
        <v>90</v>
      </c>
      <c r="L1905" t="s">
        <v>29</v>
      </c>
    </row>
    <row r="1906" spans="1:12" ht="19.95" customHeight="1">
      <c r="A1906" t="s">
        <v>2007</v>
      </c>
      <c r="B1906" t="s">
        <v>1947</v>
      </c>
      <c r="C1906" t="s">
        <v>105</v>
      </c>
      <c r="D1906" t="s">
        <v>112</v>
      </c>
      <c r="E1906" t="s">
        <v>16</v>
      </c>
      <c r="F1906" t="s">
        <v>17</v>
      </c>
      <c r="G1906" t="s">
        <v>18</v>
      </c>
      <c r="H1906" t="s">
        <v>24</v>
      </c>
      <c r="I1906" t="s">
        <v>20</v>
      </c>
      <c r="J1906" s="2">
        <v>200</v>
      </c>
    </row>
    <row r="1907" spans="1:12" ht="19.95" customHeight="1">
      <c r="A1907" t="s">
        <v>2008</v>
      </c>
      <c r="B1907" t="s">
        <v>1947</v>
      </c>
      <c r="C1907" t="s">
        <v>105</v>
      </c>
      <c r="D1907" t="s">
        <v>194</v>
      </c>
      <c r="E1907" t="s">
        <v>16</v>
      </c>
      <c r="F1907" t="s">
        <v>17</v>
      </c>
      <c r="G1907" t="s">
        <v>32</v>
      </c>
      <c r="H1907" t="s">
        <v>24</v>
      </c>
      <c r="I1907" t="s">
        <v>20</v>
      </c>
      <c r="J1907" s="2">
        <v>300</v>
      </c>
    </row>
    <row r="1908" spans="1:12" ht="19.95" customHeight="1">
      <c r="A1908" t="s">
        <v>2009</v>
      </c>
      <c r="B1908" t="s">
        <v>1947</v>
      </c>
      <c r="C1908" t="s">
        <v>105</v>
      </c>
      <c r="D1908" t="s">
        <v>187</v>
      </c>
      <c r="E1908" t="s">
        <v>16</v>
      </c>
      <c r="F1908" t="s">
        <v>35</v>
      </c>
      <c r="G1908" t="s">
        <v>32</v>
      </c>
      <c r="H1908" t="s">
        <v>19</v>
      </c>
      <c r="I1908" t="s">
        <v>20</v>
      </c>
      <c r="J1908" s="2">
        <v>300</v>
      </c>
    </row>
    <row r="1909" spans="1:12" ht="19.95" customHeight="1">
      <c r="A1909" t="s">
        <v>2010</v>
      </c>
      <c r="B1909" t="s">
        <v>1947</v>
      </c>
      <c r="C1909" t="s">
        <v>105</v>
      </c>
      <c r="D1909" t="s">
        <v>106</v>
      </c>
      <c r="E1909" t="s">
        <v>16</v>
      </c>
      <c r="F1909" t="s">
        <v>17</v>
      </c>
      <c r="G1909" t="s">
        <v>32</v>
      </c>
      <c r="H1909" t="s">
        <v>19</v>
      </c>
      <c r="I1909" t="s">
        <v>20</v>
      </c>
      <c r="J1909" s="2">
        <v>300</v>
      </c>
    </row>
    <row r="1910" spans="1:12" ht="19.95" customHeight="1">
      <c r="A1910" t="s">
        <v>2011</v>
      </c>
      <c r="B1910" t="s">
        <v>1947</v>
      </c>
      <c r="C1910" t="s">
        <v>105</v>
      </c>
      <c r="D1910" t="s">
        <v>110</v>
      </c>
      <c r="E1910" t="s">
        <v>16</v>
      </c>
      <c r="F1910" t="s">
        <v>17</v>
      </c>
      <c r="G1910" t="s">
        <v>18</v>
      </c>
      <c r="H1910" t="s">
        <v>19</v>
      </c>
      <c r="I1910" t="s">
        <v>20</v>
      </c>
      <c r="J1910" s="2">
        <v>200</v>
      </c>
    </row>
    <row r="1911" spans="1:12" ht="19.95" customHeight="1">
      <c r="A1911" t="s">
        <v>2012</v>
      </c>
      <c r="B1911" t="s">
        <v>1947</v>
      </c>
      <c r="C1911" t="s">
        <v>78</v>
      </c>
      <c r="D1911" t="s">
        <v>85</v>
      </c>
      <c r="E1911" t="s">
        <v>402</v>
      </c>
      <c r="F1911" t="s">
        <v>17</v>
      </c>
      <c r="G1911" t="s">
        <v>32</v>
      </c>
      <c r="H1911" t="s">
        <v>19</v>
      </c>
      <c r="I1911" t="s">
        <v>20</v>
      </c>
      <c r="J1911" s="2">
        <v>225</v>
      </c>
      <c r="K1911" t="s">
        <v>1271</v>
      </c>
      <c r="L1911" t="s">
        <v>1270</v>
      </c>
    </row>
    <row r="1912" spans="1:12" ht="19.95" customHeight="1">
      <c r="A1912" t="s">
        <v>2013</v>
      </c>
      <c r="B1912" t="s">
        <v>1947</v>
      </c>
      <c r="C1912" t="s">
        <v>78</v>
      </c>
      <c r="D1912" t="s">
        <v>102</v>
      </c>
      <c r="E1912" t="s">
        <v>402</v>
      </c>
      <c r="F1912" t="s">
        <v>17</v>
      </c>
      <c r="G1912" t="s">
        <v>32</v>
      </c>
      <c r="H1912" t="s">
        <v>19</v>
      </c>
      <c r="I1912" t="s">
        <v>20</v>
      </c>
      <c r="J1912" s="2">
        <v>225</v>
      </c>
      <c r="K1912" t="s">
        <v>1273</v>
      </c>
      <c r="L1912" t="s">
        <v>1270</v>
      </c>
    </row>
    <row r="1913" spans="1:12" ht="19.95" customHeight="1">
      <c r="A1913" t="s">
        <v>2014</v>
      </c>
      <c r="B1913" t="s">
        <v>1947</v>
      </c>
      <c r="C1913" t="s">
        <v>78</v>
      </c>
      <c r="D1913" t="s">
        <v>97</v>
      </c>
      <c r="E1913" t="s">
        <v>402</v>
      </c>
      <c r="F1913" t="s">
        <v>17</v>
      </c>
      <c r="G1913" t="s">
        <v>32</v>
      </c>
      <c r="H1913" t="s">
        <v>19</v>
      </c>
      <c r="I1913" t="s">
        <v>20</v>
      </c>
      <c r="J1913" s="2">
        <v>225</v>
      </c>
      <c r="K1913" t="s">
        <v>1274</v>
      </c>
      <c r="L1913" t="s">
        <v>1270</v>
      </c>
    </row>
    <row r="1914" spans="1:12" ht="19.95" customHeight="1">
      <c r="A1914" t="s">
        <v>2015</v>
      </c>
      <c r="B1914" t="s">
        <v>1947</v>
      </c>
      <c r="C1914" t="s">
        <v>78</v>
      </c>
      <c r="D1914" t="s">
        <v>87</v>
      </c>
      <c r="E1914" t="s">
        <v>402</v>
      </c>
      <c r="F1914" t="s">
        <v>17</v>
      </c>
      <c r="G1914" t="s">
        <v>32</v>
      </c>
      <c r="H1914" t="s">
        <v>19</v>
      </c>
      <c r="I1914" t="s">
        <v>20</v>
      </c>
      <c r="J1914" s="2">
        <v>225</v>
      </c>
      <c r="K1914" t="s">
        <v>1275</v>
      </c>
      <c r="L1914" t="s">
        <v>1270</v>
      </c>
    </row>
    <row r="1915" spans="1:12" ht="19.95" customHeight="1">
      <c r="A1915" t="s">
        <v>2016</v>
      </c>
      <c r="B1915" t="s">
        <v>1947</v>
      </c>
      <c r="C1915" t="s">
        <v>78</v>
      </c>
      <c r="D1915" t="s">
        <v>79</v>
      </c>
      <c r="E1915" t="s">
        <v>402</v>
      </c>
      <c r="F1915" t="s">
        <v>17</v>
      </c>
      <c r="G1915" t="s">
        <v>32</v>
      </c>
      <c r="H1915" t="s">
        <v>19</v>
      </c>
      <c r="I1915" t="s">
        <v>20</v>
      </c>
      <c r="J1915" s="2">
        <v>225</v>
      </c>
      <c r="K1915" t="s">
        <v>1285</v>
      </c>
      <c r="L1915" t="s">
        <v>1270</v>
      </c>
    </row>
    <row r="1916" spans="1:12" ht="19.95" customHeight="1">
      <c r="A1916" t="s">
        <v>2017</v>
      </c>
      <c r="B1916" t="s">
        <v>1947</v>
      </c>
      <c r="C1916" t="s">
        <v>78</v>
      </c>
      <c r="D1916" t="s">
        <v>85</v>
      </c>
      <c r="E1916" t="s">
        <v>402</v>
      </c>
      <c r="F1916" t="s">
        <v>17</v>
      </c>
      <c r="G1916" t="s">
        <v>32</v>
      </c>
      <c r="H1916" t="s">
        <v>19</v>
      </c>
      <c r="I1916" t="s">
        <v>20</v>
      </c>
      <c r="J1916" s="2">
        <v>225</v>
      </c>
      <c r="K1916" t="s">
        <v>1287</v>
      </c>
      <c r="L1916" t="s">
        <v>1270</v>
      </c>
    </row>
    <row r="1917" spans="1:12" ht="19.95" customHeight="1">
      <c r="A1917" t="s">
        <v>2018</v>
      </c>
      <c r="B1917" t="s">
        <v>1947</v>
      </c>
      <c r="C1917" t="s">
        <v>78</v>
      </c>
      <c r="D1917" t="s">
        <v>87</v>
      </c>
      <c r="E1917" t="s">
        <v>402</v>
      </c>
      <c r="F1917" t="s">
        <v>17</v>
      </c>
      <c r="G1917" t="s">
        <v>32</v>
      </c>
      <c r="H1917" t="s">
        <v>19</v>
      </c>
      <c r="I1917" t="s">
        <v>20</v>
      </c>
      <c r="J1917" s="2">
        <v>225</v>
      </c>
      <c r="K1917" t="s">
        <v>1360</v>
      </c>
      <c r="L1917" t="s">
        <v>1270</v>
      </c>
    </row>
    <row r="1918" spans="1:12" ht="19.95" customHeight="1">
      <c r="A1918" t="s">
        <v>2019</v>
      </c>
      <c r="B1918" t="s">
        <v>1947</v>
      </c>
      <c r="C1918" t="s">
        <v>78</v>
      </c>
      <c r="D1918" t="s">
        <v>102</v>
      </c>
      <c r="E1918" t="s">
        <v>402</v>
      </c>
      <c r="F1918" t="s">
        <v>17</v>
      </c>
      <c r="G1918" t="s">
        <v>32</v>
      </c>
      <c r="H1918" t="s">
        <v>19</v>
      </c>
      <c r="I1918" t="s">
        <v>20</v>
      </c>
      <c r="J1918" s="2">
        <v>225</v>
      </c>
      <c r="K1918" t="s">
        <v>1361</v>
      </c>
      <c r="L1918" t="s">
        <v>1270</v>
      </c>
    </row>
    <row r="1919" spans="1:12" ht="19.95" customHeight="1">
      <c r="A1919" t="s">
        <v>2020</v>
      </c>
      <c r="B1919" t="s">
        <v>1947</v>
      </c>
      <c r="C1919" t="s">
        <v>78</v>
      </c>
      <c r="D1919" t="s">
        <v>163</v>
      </c>
      <c r="E1919" t="s">
        <v>402</v>
      </c>
      <c r="F1919" t="s">
        <v>17</v>
      </c>
      <c r="G1919" t="s">
        <v>32</v>
      </c>
      <c r="H1919" t="s">
        <v>19</v>
      </c>
      <c r="I1919" t="s">
        <v>20</v>
      </c>
      <c r="J1919" s="2">
        <v>225</v>
      </c>
      <c r="K1919" t="s">
        <v>1368</v>
      </c>
      <c r="L1919" t="s">
        <v>1270</v>
      </c>
    </row>
    <row r="1920" spans="1:12" ht="19.95" customHeight="1">
      <c r="A1920" t="s">
        <v>2021</v>
      </c>
      <c r="B1920" t="s">
        <v>1947</v>
      </c>
      <c r="C1920" t="s">
        <v>78</v>
      </c>
      <c r="D1920" t="s">
        <v>79</v>
      </c>
      <c r="E1920" t="s">
        <v>402</v>
      </c>
      <c r="F1920" t="s">
        <v>17</v>
      </c>
      <c r="G1920" t="s">
        <v>32</v>
      </c>
      <c r="H1920" t="s">
        <v>19</v>
      </c>
      <c r="I1920" t="s">
        <v>20</v>
      </c>
      <c r="J1920" s="2">
        <v>225</v>
      </c>
      <c r="K1920" t="s">
        <v>1369</v>
      </c>
      <c r="L1920" t="s">
        <v>1270</v>
      </c>
    </row>
    <row r="1921" spans="1:12" ht="19.95" customHeight="1">
      <c r="A1921" t="s">
        <v>2022</v>
      </c>
      <c r="B1921" t="s">
        <v>1947</v>
      </c>
      <c r="C1921" t="s">
        <v>78</v>
      </c>
      <c r="D1921" t="s">
        <v>89</v>
      </c>
      <c r="E1921" t="s">
        <v>402</v>
      </c>
      <c r="F1921" t="s">
        <v>17</v>
      </c>
      <c r="G1921" t="s">
        <v>32</v>
      </c>
      <c r="H1921" t="s">
        <v>19</v>
      </c>
      <c r="I1921" t="s">
        <v>20</v>
      </c>
      <c r="J1921" s="2">
        <v>225</v>
      </c>
      <c r="K1921" t="s">
        <v>1447</v>
      </c>
      <c r="L1921" t="s">
        <v>1270</v>
      </c>
    </row>
    <row r="1922" spans="1:12" ht="19.95" customHeight="1">
      <c r="A1922" t="s">
        <v>2023</v>
      </c>
      <c r="B1922" t="s">
        <v>1947</v>
      </c>
      <c r="C1922" t="s">
        <v>105</v>
      </c>
      <c r="D1922" t="s">
        <v>120</v>
      </c>
      <c r="E1922" t="s">
        <v>402</v>
      </c>
      <c r="F1922" t="s">
        <v>17</v>
      </c>
      <c r="G1922" t="s">
        <v>18</v>
      </c>
      <c r="H1922" t="s">
        <v>19</v>
      </c>
      <c r="I1922" t="s">
        <v>20</v>
      </c>
      <c r="J1922" s="2">
        <v>200</v>
      </c>
      <c r="K1922" t="s">
        <v>1698</v>
      </c>
    </row>
    <row r="1923" spans="1:12" ht="19.95" customHeight="1">
      <c r="A1923" t="s">
        <v>2024</v>
      </c>
      <c r="B1923" t="s">
        <v>1947</v>
      </c>
      <c r="C1923" t="s">
        <v>47</v>
      </c>
      <c r="D1923" t="s">
        <v>48</v>
      </c>
      <c r="E1923" t="s">
        <v>402</v>
      </c>
      <c r="F1923" t="s">
        <v>17</v>
      </c>
      <c r="G1923" t="s">
        <v>23</v>
      </c>
      <c r="H1923" t="s">
        <v>24</v>
      </c>
      <c r="I1923" t="s">
        <v>20</v>
      </c>
      <c r="J1923" s="2">
        <v>120</v>
      </c>
      <c r="K1923" t="s">
        <v>1502</v>
      </c>
    </row>
    <row r="1924" spans="1:12" ht="19.95" customHeight="1">
      <c r="A1924" t="s">
        <v>2025</v>
      </c>
      <c r="B1924" t="s">
        <v>2026</v>
      </c>
      <c r="C1924" t="s">
        <v>14</v>
      </c>
      <c r="D1924" t="s">
        <v>131</v>
      </c>
      <c r="E1924" t="s">
        <v>16</v>
      </c>
      <c r="F1924" t="s">
        <v>35</v>
      </c>
      <c r="G1924" t="s">
        <v>32</v>
      </c>
      <c r="H1924" t="s">
        <v>19</v>
      </c>
      <c r="I1924" t="s">
        <v>20</v>
      </c>
      <c r="J1924" s="2">
        <v>300</v>
      </c>
    </row>
    <row r="1925" spans="1:12" ht="19.95" customHeight="1">
      <c r="A1925" t="s">
        <v>2027</v>
      </c>
      <c r="B1925" t="s">
        <v>2026</v>
      </c>
      <c r="C1925" t="s">
        <v>14</v>
      </c>
      <c r="D1925" t="s">
        <v>131</v>
      </c>
      <c r="E1925" t="s">
        <v>16</v>
      </c>
      <c r="F1925" t="s">
        <v>17</v>
      </c>
      <c r="G1925" t="s">
        <v>32</v>
      </c>
      <c r="H1925" t="s">
        <v>19</v>
      </c>
      <c r="I1925" t="s">
        <v>20</v>
      </c>
      <c r="J1925" s="2">
        <v>300</v>
      </c>
    </row>
    <row r="1926" spans="1:12" ht="19.95" customHeight="1">
      <c r="A1926" t="s">
        <v>2028</v>
      </c>
      <c r="B1926" t="s">
        <v>2026</v>
      </c>
      <c r="C1926" t="s">
        <v>14</v>
      </c>
      <c r="D1926" t="s">
        <v>37</v>
      </c>
      <c r="E1926" t="s">
        <v>16</v>
      </c>
      <c r="F1926" t="s">
        <v>17</v>
      </c>
      <c r="G1926" t="s">
        <v>18</v>
      </c>
      <c r="H1926" t="s">
        <v>19</v>
      </c>
      <c r="I1926" t="s">
        <v>20</v>
      </c>
      <c r="J1926" s="2">
        <v>200</v>
      </c>
    </row>
    <row r="1927" spans="1:12" ht="19.95" customHeight="1">
      <c r="A1927" t="s">
        <v>2029</v>
      </c>
      <c r="B1927" t="s">
        <v>2026</v>
      </c>
      <c r="C1927" t="s">
        <v>14</v>
      </c>
      <c r="D1927" t="s">
        <v>37</v>
      </c>
      <c r="E1927" t="s">
        <v>16</v>
      </c>
      <c r="F1927" t="s">
        <v>35</v>
      </c>
      <c r="G1927" t="s">
        <v>32</v>
      </c>
      <c r="H1927" t="s">
        <v>19</v>
      </c>
      <c r="I1927" t="s">
        <v>20</v>
      </c>
      <c r="J1927" s="2">
        <v>300</v>
      </c>
    </row>
    <row r="1928" spans="1:12" ht="19.95" customHeight="1">
      <c r="A1928" t="s">
        <v>2030</v>
      </c>
      <c r="B1928" t="s">
        <v>2026</v>
      </c>
      <c r="C1928" t="s">
        <v>14</v>
      </c>
      <c r="D1928" t="s">
        <v>210</v>
      </c>
      <c r="E1928" t="s">
        <v>16</v>
      </c>
      <c r="F1928" t="s">
        <v>17</v>
      </c>
      <c r="G1928" t="s">
        <v>23</v>
      </c>
      <c r="H1928" t="s">
        <v>19</v>
      </c>
      <c r="I1928" t="s">
        <v>20</v>
      </c>
      <c r="J1928" s="2">
        <v>120</v>
      </c>
    </row>
    <row r="1929" spans="1:12" ht="19.95" customHeight="1">
      <c r="A1929" t="s">
        <v>2031</v>
      </c>
      <c r="B1929" t="s">
        <v>2026</v>
      </c>
      <c r="C1929" t="s">
        <v>14</v>
      </c>
      <c r="D1929" t="s">
        <v>37</v>
      </c>
      <c r="E1929" t="s">
        <v>16</v>
      </c>
      <c r="F1929" t="s">
        <v>17</v>
      </c>
      <c r="G1929" t="s">
        <v>23</v>
      </c>
      <c r="H1929" t="s">
        <v>19</v>
      </c>
      <c r="I1929" t="s">
        <v>20</v>
      </c>
      <c r="J1929" s="2">
        <v>120</v>
      </c>
    </row>
    <row r="1930" spans="1:12" ht="19.95" customHeight="1">
      <c r="A1930" t="s">
        <v>2032</v>
      </c>
      <c r="B1930" t="s">
        <v>2026</v>
      </c>
      <c r="C1930" t="s">
        <v>14</v>
      </c>
      <c r="D1930" t="s">
        <v>28</v>
      </c>
      <c r="E1930" t="s">
        <v>16</v>
      </c>
      <c r="F1930" t="s">
        <v>17</v>
      </c>
      <c r="G1930" t="s">
        <v>23</v>
      </c>
      <c r="H1930" t="s">
        <v>19</v>
      </c>
      <c r="I1930" t="s">
        <v>20</v>
      </c>
      <c r="J1930" s="2">
        <v>120</v>
      </c>
    </row>
    <row r="1931" spans="1:12" ht="19.95" customHeight="1">
      <c r="A1931" t="s">
        <v>2033</v>
      </c>
      <c r="B1931" t="s">
        <v>2026</v>
      </c>
      <c r="C1931" t="s">
        <v>14</v>
      </c>
      <c r="D1931" t="s">
        <v>131</v>
      </c>
      <c r="E1931" t="s">
        <v>16</v>
      </c>
      <c r="F1931" t="s">
        <v>17</v>
      </c>
      <c r="G1931" t="s">
        <v>32</v>
      </c>
      <c r="H1931" t="s">
        <v>19</v>
      </c>
      <c r="I1931" t="s">
        <v>20</v>
      </c>
      <c r="J1931" s="2">
        <v>300</v>
      </c>
    </row>
    <row r="1932" spans="1:12" ht="19.95" customHeight="1">
      <c r="A1932" t="s">
        <v>2034</v>
      </c>
      <c r="B1932" t="s">
        <v>2026</v>
      </c>
      <c r="C1932" t="s">
        <v>14</v>
      </c>
      <c r="D1932" t="s">
        <v>31</v>
      </c>
      <c r="E1932" t="s">
        <v>16</v>
      </c>
      <c r="F1932" t="s">
        <v>17</v>
      </c>
      <c r="G1932" t="s">
        <v>32</v>
      </c>
      <c r="H1932" t="s">
        <v>19</v>
      </c>
      <c r="I1932" t="s">
        <v>20</v>
      </c>
      <c r="J1932" s="2">
        <v>255</v>
      </c>
      <c r="L1932" t="s">
        <v>29</v>
      </c>
    </row>
    <row r="1933" spans="1:12" ht="19.95" customHeight="1">
      <c r="A1933" t="s">
        <v>2035</v>
      </c>
      <c r="B1933" t="s">
        <v>2026</v>
      </c>
      <c r="C1933" t="s">
        <v>14</v>
      </c>
      <c r="D1933" t="s">
        <v>28</v>
      </c>
      <c r="E1933" t="s">
        <v>16</v>
      </c>
      <c r="F1933" t="s">
        <v>35</v>
      </c>
      <c r="G1933" t="s">
        <v>23</v>
      </c>
      <c r="H1933" t="s">
        <v>19</v>
      </c>
      <c r="I1933" t="s">
        <v>20</v>
      </c>
      <c r="J1933" s="2">
        <v>102</v>
      </c>
      <c r="L1933" t="s">
        <v>29</v>
      </c>
    </row>
    <row r="1934" spans="1:12" ht="19.95" customHeight="1">
      <c r="A1934" t="s">
        <v>2036</v>
      </c>
      <c r="B1934" t="s">
        <v>2026</v>
      </c>
      <c r="C1934" t="s">
        <v>14</v>
      </c>
      <c r="D1934" t="s">
        <v>28</v>
      </c>
      <c r="E1934" t="s">
        <v>16</v>
      </c>
      <c r="F1934" t="s">
        <v>35</v>
      </c>
      <c r="G1934" t="s">
        <v>32</v>
      </c>
      <c r="H1934" t="s">
        <v>19</v>
      </c>
      <c r="I1934" t="s">
        <v>20</v>
      </c>
      <c r="J1934" s="2">
        <v>300</v>
      </c>
    </row>
    <row r="1935" spans="1:12" ht="19.95" customHeight="1">
      <c r="A1935" t="s">
        <v>2037</v>
      </c>
      <c r="B1935" t="s">
        <v>2026</v>
      </c>
      <c r="C1935" t="s">
        <v>14</v>
      </c>
      <c r="D1935" t="s">
        <v>137</v>
      </c>
      <c r="E1935" t="s">
        <v>16</v>
      </c>
      <c r="F1935" t="s">
        <v>17</v>
      </c>
      <c r="G1935" t="s">
        <v>32</v>
      </c>
      <c r="H1935" t="s">
        <v>19</v>
      </c>
      <c r="I1935" t="s">
        <v>20</v>
      </c>
      <c r="J1935" s="2">
        <v>300</v>
      </c>
    </row>
    <row r="1936" spans="1:12" ht="19.95" customHeight="1">
      <c r="A1936" t="s">
        <v>2038</v>
      </c>
      <c r="B1936" t="s">
        <v>2026</v>
      </c>
      <c r="C1936" t="s">
        <v>14</v>
      </c>
      <c r="D1936" t="s">
        <v>42</v>
      </c>
      <c r="E1936" t="s">
        <v>16</v>
      </c>
      <c r="F1936" t="s">
        <v>17</v>
      </c>
      <c r="G1936" t="s">
        <v>32</v>
      </c>
      <c r="H1936" t="s">
        <v>19</v>
      </c>
      <c r="I1936" t="s">
        <v>20</v>
      </c>
      <c r="J1936" s="2">
        <v>300</v>
      </c>
    </row>
    <row r="1937" spans="1:12" ht="19.95" customHeight="1">
      <c r="A1937" t="s">
        <v>2039</v>
      </c>
      <c r="B1937" t="s">
        <v>2026</v>
      </c>
      <c r="C1937" t="s">
        <v>14</v>
      </c>
      <c r="D1937" t="s">
        <v>28</v>
      </c>
      <c r="E1937" t="s">
        <v>16</v>
      </c>
      <c r="F1937" t="s">
        <v>17</v>
      </c>
      <c r="G1937" t="s">
        <v>23</v>
      </c>
      <c r="H1937" t="s">
        <v>19</v>
      </c>
      <c r="I1937" t="s">
        <v>20</v>
      </c>
      <c r="J1937" s="2">
        <v>120</v>
      </c>
    </row>
    <row r="1938" spans="1:12" ht="19.95" customHeight="1">
      <c r="A1938" t="s">
        <v>2040</v>
      </c>
      <c r="B1938" t="s">
        <v>2026</v>
      </c>
      <c r="C1938" t="s">
        <v>14</v>
      </c>
      <c r="D1938" t="s">
        <v>34</v>
      </c>
      <c r="E1938" t="s">
        <v>16</v>
      </c>
      <c r="F1938" t="s">
        <v>17</v>
      </c>
      <c r="G1938" t="s">
        <v>18</v>
      </c>
      <c r="H1938" t="s">
        <v>24</v>
      </c>
      <c r="I1938" t="s">
        <v>20</v>
      </c>
      <c r="J1938" s="2">
        <v>170</v>
      </c>
      <c r="L1938" t="s">
        <v>29</v>
      </c>
    </row>
    <row r="1939" spans="1:12" ht="19.95" customHeight="1">
      <c r="A1939" t="s">
        <v>2041</v>
      </c>
      <c r="B1939" t="s">
        <v>2026</v>
      </c>
      <c r="C1939" t="s">
        <v>14</v>
      </c>
      <c r="D1939" t="s">
        <v>131</v>
      </c>
      <c r="E1939" t="s">
        <v>16</v>
      </c>
      <c r="F1939" t="s">
        <v>35</v>
      </c>
      <c r="G1939" t="s">
        <v>18</v>
      </c>
      <c r="H1939" t="s">
        <v>19</v>
      </c>
      <c r="I1939" t="s">
        <v>20</v>
      </c>
      <c r="J1939" s="2">
        <v>200</v>
      </c>
    </row>
    <row r="1940" spans="1:12" ht="19.95" customHeight="1">
      <c r="A1940" t="s">
        <v>2042</v>
      </c>
      <c r="B1940" t="s">
        <v>2026</v>
      </c>
      <c r="C1940" t="s">
        <v>14</v>
      </c>
      <c r="D1940" t="s">
        <v>26</v>
      </c>
      <c r="E1940" t="s">
        <v>16</v>
      </c>
      <c r="F1940" t="s">
        <v>17</v>
      </c>
      <c r="G1940" t="s">
        <v>23</v>
      </c>
      <c r="H1940" t="s">
        <v>19</v>
      </c>
      <c r="I1940" t="s">
        <v>20</v>
      </c>
      <c r="J1940" s="2">
        <v>120</v>
      </c>
    </row>
    <row r="1941" spans="1:12" ht="19.95" customHeight="1">
      <c r="A1941" t="s">
        <v>2043</v>
      </c>
      <c r="B1941" t="s">
        <v>2026</v>
      </c>
      <c r="C1941" t="s">
        <v>47</v>
      </c>
      <c r="D1941" t="s">
        <v>66</v>
      </c>
      <c r="E1941" t="s">
        <v>16</v>
      </c>
      <c r="F1941" t="s">
        <v>17</v>
      </c>
      <c r="G1941" t="s">
        <v>18</v>
      </c>
      <c r="H1941" t="s">
        <v>19</v>
      </c>
      <c r="I1941" t="s">
        <v>20</v>
      </c>
      <c r="J1941" s="2">
        <v>200</v>
      </c>
    </row>
    <row r="1942" spans="1:12" ht="19.95" customHeight="1">
      <c r="A1942" t="s">
        <v>2044</v>
      </c>
      <c r="B1942" t="s">
        <v>2026</v>
      </c>
      <c r="C1942" t="s">
        <v>47</v>
      </c>
      <c r="D1942" t="s">
        <v>50</v>
      </c>
      <c r="E1942" t="s">
        <v>16</v>
      </c>
      <c r="F1942" t="s">
        <v>17</v>
      </c>
      <c r="G1942" t="s">
        <v>23</v>
      </c>
      <c r="H1942" t="s">
        <v>19</v>
      </c>
      <c r="I1942" t="s">
        <v>20</v>
      </c>
      <c r="J1942" s="2">
        <v>102</v>
      </c>
      <c r="L1942" t="s">
        <v>29</v>
      </c>
    </row>
    <row r="1943" spans="1:12" ht="19.95" customHeight="1">
      <c r="A1943" t="s">
        <v>2045</v>
      </c>
      <c r="B1943" t="s">
        <v>2026</v>
      </c>
      <c r="C1943" t="s">
        <v>47</v>
      </c>
      <c r="D1943" t="s">
        <v>71</v>
      </c>
      <c r="E1943" t="s">
        <v>16</v>
      </c>
      <c r="F1943" t="s">
        <v>17</v>
      </c>
      <c r="G1943" t="s">
        <v>18</v>
      </c>
      <c r="H1943" t="s">
        <v>19</v>
      </c>
      <c r="I1943" t="s">
        <v>20</v>
      </c>
      <c r="J1943" s="2">
        <v>200</v>
      </c>
    </row>
    <row r="1944" spans="1:12" ht="19.95" customHeight="1">
      <c r="A1944" t="s">
        <v>2046</v>
      </c>
      <c r="B1944" t="s">
        <v>2026</v>
      </c>
      <c r="C1944" t="s">
        <v>47</v>
      </c>
      <c r="D1944" t="s">
        <v>71</v>
      </c>
      <c r="E1944" t="s">
        <v>16</v>
      </c>
      <c r="F1944" t="s">
        <v>17</v>
      </c>
      <c r="G1944" t="s">
        <v>23</v>
      </c>
      <c r="H1944" t="s">
        <v>19</v>
      </c>
      <c r="I1944" t="s">
        <v>53</v>
      </c>
      <c r="J1944" s="2">
        <v>120</v>
      </c>
    </row>
    <row r="1945" spans="1:12" ht="19.95" customHeight="1">
      <c r="A1945" t="s">
        <v>2047</v>
      </c>
      <c r="B1945" t="s">
        <v>2026</v>
      </c>
      <c r="C1945" t="s">
        <v>47</v>
      </c>
      <c r="D1945" t="s">
        <v>52</v>
      </c>
      <c r="E1945" t="s">
        <v>16</v>
      </c>
      <c r="F1945" t="s">
        <v>17</v>
      </c>
      <c r="G1945" t="s">
        <v>32</v>
      </c>
      <c r="H1945" t="s">
        <v>19</v>
      </c>
      <c r="I1945" t="s">
        <v>20</v>
      </c>
      <c r="J1945" s="2">
        <v>300</v>
      </c>
    </row>
    <row r="1946" spans="1:12" ht="19.95" customHeight="1">
      <c r="A1946" t="s">
        <v>2048</v>
      </c>
      <c r="B1946" t="s">
        <v>2026</v>
      </c>
      <c r="C1946" t="s">
        <v>47</v>
      </c>
      <c r="D1946" t="s">
        <v>148</v>
      </c>
      <c r="E1946" t="s">
        <v>16</v>
      </c>
      <c r="F1946" t="s">
        <v>17</v>
      </c>
      <c r="G1946" t="s">
        <v>23</v>
      </c>
      <c r="H1946" t="s">
        <v>19</v>
      </c>
      <c r="I1946" t="s">
        <v>20</v>
      </c>
      <c r="J1946" s="2">
        <v>120</v>
      </c>
    </row>
    <row r="1947" spans="1:12" ht="19.95" customHeight="1">
      <c r="A1947" t="s">
        <v>2049</v>
      </c>
      <c r="B1947" t="s">
        <v>2026</v>
      </c>
      <c r="C1947" t="s">
        <v>47</v>
      </c>
      <c r="D1947" t="s">
        <v>66</v>
      </c>
      <c r="E1947" t="s">
        <v>16</v>
      </c>
      <c r="F1947" t="s">
        <v>17</v>
      </c>
      <c r="G1947" t="s">
        <v>32</v>
      </c>
      <c r="H1947" t="s">
        <v>19</v>
      </c>
      <c r="I1947" t="s">
        <v>20</v>
      </c>
      <c r="J1947" s="2">
        <v>300</v>
      </c>
    </row>
    <row r="1948" spans="1:12" ht="19.95" customHeight="1">
      <c r="A1948" t="s">
        <v>2050</v>
      </c>
      <c r="B1948" t="s">
        <v>2026</v>
      </c>
      <c r="C1948" t="s">
        <v>47</v>
      </c>
      <c r="D1948" t="s">
        <v>59</v>
      </c>
      <c r="E1948" t="s">
        <v>16</v>
      </c>
      <c r="F1948" t="s">
        <v>17</v>
      </c>
      <c r="G1948" t="s">
        <v>23</v>
      </c>
      <c r="H1948" t="s">
        <v>19</v>
      </c>
      <c r="I1948" t="s">
        <v>74</v>
      </c>
      <c r="J1948" s="2">
        <v>120</v>
      </c>
    </row>
    <row r="1949" spans="1:12" ht="19.95" customHeight="1">
      <c r="A1949" t="s">
        <v>2051</v>
      </c>
      <c r="B1949" t="s">
        <v>2026</v>
      </c>
      <c r="C1949" t="s">
        <v>47</v>
      </c>
      <c r="D1949" t="s">
        <v>59</v>
      </c>
      <c r="E1949" t="s">
        <v>16</v>
      </c>
      <c r="F1949" t="s">
        <v>17</v>
      </c>
      <c r="G1949" t="s">
        <v>23</v>
      </c>
      <c r="H1949" t="s">
        <v>19</v>
      </c>
      <c r="I1949" t="s">
        <v>20</v>
      </c>
      <c r="J1949" s="2">
        <v>120</v>
      </c>
    </row>
    <row r="1950" spans="1:12" ht="19.95" customHeight="1">
      <c r="A1950" t="s">
        <v>2052</v>
      </c>
      <c r="B1950" t="s">
        <v>2026</v>
      </c>
      <c r="C1950" t="s">
        <v>47</v>
      </c>
      <c r="D1950" t="s">
        <v>59</v>
      </c>
      <c r="E1950" t="s">
        <v>16</v>
      </c>
      <c r="F1950" t="s">
        <v>17</v>
      </c>
      <c r="G1950" t="s">
        <v>23</v>
      </c>
      <c r="H1950" t="s">
        <v>19</v>
      </c>
      <c r="I1950" t="s">
        <v>20</v>
      </c>
      <c r="J1950" s="2">
        <v>120</v>
      </c>
    </row>
    <row r="1951" spans="1:12" ht="19.95" customHeight="1">
      <c r="A1951" t="s">
        <v>2053</v>
      </c>
      <c r="B1951" t="s">
        <v>2026</v>
      </c>
      <c r="C1951" t="s">
        <v>47</v>
      </c>
      <c r="D1951" t="s">
        <v>50</v>
      </c>
      <c r="E1951" t="s">
        <v>16</v>
      </c>
      <c r="F1951" t="s">
        <v>17</v>
      </c>
      <c r="G1951" t="s">
        <v>18</v>
      </c>
      <c r="H1951" t="s">
        <v>19</v>
      </c>
      <c r="I1951" t="s">
        <v>20</v>
      </c>
      <c r="J1951" s="2">
        <v>170</v>
      </c>
      <c r="L1951" t="s">
        <v>29</v>
      </c>
    </row>
    <row r="1952" spans="1:12" ht="19.95" customHeight="1">
      <c r="A1952" t="s">
        <v>2054</v>
      </c>
      <c r="B1952" t="s">
        <v>2026</v>
      </c>
      <c r="C1952" t="s">
        <v>47</v>
      </c>
      <c r="D1952" t="s">
        <v>64</v>
      </c>
      <c r="E1952" t="s">
        <v>16</v>
      </c>
      <c r="F1952" t="s">
        <v>17</v>
      </c>
      <c r="G1952" t="s">
        <v>18</v>
      </c>
      <c r="H1952" t="s">
        <v>19</v>
      </c>
      <c r="I1952" t="s">
        <v>20</v>
      </c>
      <c r="J1952" s="2">
        <v>200</v>
      </c>
    </row>
    <row r="1953" spans="1:12" ht="19.95" customHeight="1">
      <c r="A1953" t="s">
        <v>2055</v>
      </c>
      <c r="B1953" t="s">
        <v>2026</v>
      </c>
      <c r="C1953" t="s">
        <v>47</v>
      </c>
      <c r="D1953" t="s">
        <v>71</v>
      </c>
      <c r="E1953" t="s">
        <v>16</v>
      </c>
      <c r="F1953" t="s">
        <v>17</v>
      </c>
      <c r="G1953" t="s">
        <v>32</v>
      </c>
      <c r="H1953" t="s">
        <v>24</v>
      </c>
      <c r="I1953" t="s">
        <v>20</v>
      </c>
      <c r="J1953" s="2">
        <v>300</v>
      </c>
    </row>
    <row r="1954" spans="1:12" ht="19.95" customHeight="1">
      <c r="A1954" t="s">
        <v>2056</v>
      </c>
      <c r="B1954" t="s">
        <v>2026</v>
      </c>
      <c r="C1954" t="s">
        <v>47</v>
      </c>
      <c r="D1954" t="s">
        <v>148</v>
      </c>
      <c r="E1954" t="s">
        <v>16</v>
      </c>
      <c r="F1954" t="s">
        <v>17</v>
      </c>
      <c r="G1954" t="s">
        <v>23</v>
      </c>
      <c r="H1954" t="s">
        <v>19</v>
      </c>
      <c r="I1954" t="s">
        <v>20</v>
      </c>
      <c r="J1954" s="2">
        <v>120</v>
      </c>
    </row>
    <row r="1955" spans="1:12" ht="19.95" customHeight="1">
      <c r="A1955" t="s">
        <v>2057</v>
      </c>
      <c r="B1955" t="s">
        <v>2026</v>
      </c>
      <c r="C1955" t="s">
        <v>47</v>
      </c>
      <c r="D1955" t="s">
        <v>50</v>
      </c>
      <c r="E1955" t="s">
        <v>16</v>
      </c>
      <c r="F1955" t="s">
        <v>35</v>
      </c>
      <c r="G1955" t="s">
        <v>23</v>
      </c>
      <c r="H1955" t="s">
        <v>19</v>
      </c>
      <c r="I1955" t="s">
        <v>20</v>
      </c>
      <c r="J1955" s="2">
        <v>102</v>
      </c>
      <c r="L1955" t="s">
        <v>29</v>
      </c>
    </row>
    <row r="1956" spans="1:12" ht="19.95" customHeight="1">
      <c r="A1956" t="s">
        <v>2058</v>
      </c>
      <c r="B1956" t="s">
        <v>2026</v>
      </c>
      <c r="C1956" t="s">
        <v>47</v>
      </c>
      <c r="D1956" t="s">
        <v>52</v>
      </c>
      <c r="E1956" t="s">
        <v>16</v>
      </c>
      <c r="F1956" t="s">
        <v>35</v>
      </c>
      <c r="G1956" t="s">
        <v>18</v>
      </c>
      <c r="H1956" t="s">
        <v>19</v>
      </c>
      <c r="I1956" t="s">
        <v>20</v>
      </c>
      <c r="J1956" s="2">
        <v>200</v>
      </c>
    </row>
    <row r="1957" spans="1:12" ht="19.95" customHeight="1">
      <c r="A1957" t="s">
        <v>2059</v>
      </c>
      <c r="B1957" t="s">
        <v>2026</v>
      </c>
      <c r="C1957" t="s">
        <v>47</v>
      </c>
      <c r="D1957" t="s">
        <v>64</v>
      </c>
      <c r="E1957" t="s">
        <v>16</v>
      </c>
      <c r="F1957" t="s">
        <v>17</v>
      </c>
      <c r="G1957" t="s">
        <v>18</v>
      </c>
      <c r="H1957" t="s">
        <v>19</v>
      </c>
      <c r="I1957" t="s">
        <v>20</v>
      </c>
      <c r="J1957" s="2">
        <v>150</v>
      </c>
      <c r="L1957" t="s">
        <v>29</v>
      </c>
    </row>
    <row r="1958" spans="1:12" ht="19.95" customHeight="1">
      <c r="A1958" t="s">
        <v>2060</v>
      </c>
      <c r="B1958" t="s">
        <v>2026</v>
      </c>
      <c r="C1958" t="s">
        <v>78</v>
      </c>
      <c r="D1958" t="s">
        <v>93</v>
      </c>
      <c r="E1958" t="s">
        <v>16</v>
      </c>
      <c r="F1958" t="s">
        <v>17</v>
      </c>
      <c r="G1958" t="s">
        <v>32</v>
      </c>
      <c r="H1958" t="s">
        <v>19</v>
      </c>
      <c r="I1958" t="s">
        <v>74</v>
      </c>
      <c r="J1958" s="2">
        <v>225</v>
      </c>
      <c r="L1958" t="s">
        <v>29</v>
      </c>
    </row>
    <row r="1959" spans="1:12" ht="19.95" customHeight="1">
      <c r="A1959" t="s">
        <v>2061</v>
      </c>
      <c r="B1959" t="s">
        <v>2026</v>
      </c>
      <c r="C1959" t="s">
        <v>78</v>
      </c>
      <c r="D1959" t="s">
        <v>83</v>
      </c>
      <c r="E1959" t="s">
        <v>16</v>
      </c>
      <c r="F1959" t="s">
        <v>17</v>
      </c>
      <c r="G1959" t="s">
        <v>18</v>
      </c>
      <c r="H1959" t="s">
        <v>24</v>
      </c>
      <c r="I1959" t="s">
        <v>20</v>
      </c>
      <c r="J1959" s="2">
        <v>200</v>
      </c>
    </row>
    <row r="1960" spans="1:12" ht="19.95" customHeight="1">
      <c r="A1960" t="s">
        <v>2062</v>
      </c>
      <c r="B1960" t="s">
        <v>2026</v>
      </c>
      <c r="C1960" t="s">
        <v>78</v>
      </c>
      <c r="D1960" t="s">
        <v>93</v>
      </c>
      <c r="E1960" t="s">
        <v>16</v>
      </c>
      <c r="F1960" t="s">
        <v>17</v>
      </c>
      <c r="G1960" t="s">
        <v>32</v>
      </c>
      <c r="H1960" t="s">
        <v>19</v>
      </c>
      <c r="I1960" t="s">
        <v>20</v>
      </c>
      <c r="J1960" s="2">
        <v>300</v>
      </c>
    </row>
    <row r="1961" spans="1:12" ht="19.95" customHeight="1">
      <c r="A1961" t="s">
        <v>2063</v>
      </c>
      <c r="B1961" t="s">
        <v>2026</v>
      </c>
      <c r="C1961" t="s">
        <v>78</v>
      </c>
      <c r="D1961" t="s">
        <v>102</v>
      </c>
      <c r="E1961" t="s">
        <v>16</v>
      </c>
      <c r="F1961" t="s">
        <v>17</v>
      </c>
      <c r="G1961" t="s">
        <v>32</v>
      </c>
      <c r="H1961" t="s">
        <v>19</v>
      </c>
      <c r="I1961" t="s">
        <v>20</v>
      </c>
      <c r="J1961" s="2">
        <v>225</v>
      </c>
      <c r="L1961" t="s">
        <v>29</v>
      </c>
    </row>
    <row r="1962" spans="1:12" ht="19.95" customHeight="1">
      <c r="A1962" t="s">
        <v>2064</v>
      </c>
      <c r="B1962" t="s">
        <v>2026</v>
      </c>
      <c r="C1962" t="s">
        <v>78</v>
      </c>
      <c r="D1962" t="s">
        <v>89</v>
      </c>
      <c r="E1962" t="s">
        <v>16</v>
      </c>
      <c r="F1962" t="s">
        <v>35</v>
      </c>
      <c r="G1962" t="s">
        <v>18</v>
      </c>
      <c r="H1962" t="s">
        <v>19</v>
      </c>
      <c r="I1962" t="s">
        <v>20</v>
      </c>
      <c r="J1962" s="2">
        <v>200</v>
      </c>
    </row>
    <row r="1963" spans="1:12" ht="19.95" customHeight="1">
      <c r="A1963" t="s">
        <v>2065</v>
      </c>
      <c r="B1963" t="s">
        <v>2026</v>
      </c>
      <c r="C1963" t="s">
        <v>78</v>
      </c>
      <c r="D1963" t="s">
        <v>81</v>
      </c>
      <c r="E1963" t="s">
        <v>16</v>
      </c>
      <c r="F1963" t="s">
        <v>17</v>
      </c>
      <c r="G1963" t="s">
        <v>32</v>
      </c>
      <c r="H1963" t="s">
        <v>19</v>
      </c>
      <c r="I1963" t="s">
        <v>20</v>
      </c>
      <c r="J1963" s="2">
        <v>300</v>
      </c>
    </row>
    <row r="1964" spans="1:12" ht="19.95" customHeight="1">
      <c r="A1964" t="s">
        <v>2066</v>
      </c>
      <c r="B1964" t="s">
        <v>2026</v>
      </c>
      <c r="C1964" t="s">
        <v>78</v>
      </c>
      <c r="D1964" t="s">
        <v>161</v>
      </c>
      <c r="E1964" t="s">
        <v>16</v>
      </c>
      <c r="F1964" t="s">
        <v>17</v>
      </c>
      <c r="G1964" t="s">
        <v>23</v>
      </c>
      <c r="H1964" t="s">
        <v>19</v>
      </c>
      <c r="I1964" t="s">
        <v>20</v>
      </c>
      <c r="J1964" s="2">
        <v>120</v>
      </c>
    </row>
    <row r="1965" spans="1:12" ht="19.95" customHeight="1">
      <c r="A1965" t="s">
        <v>2067</v>
      </c>
      <c r="B1965" t="s">
        <v>2026</v>
      </c>
      <c r="C1965" t="s">
        <v>78</v>
      </c>
      <c r="D1965" t="s">
        <v>79</v>
      </c>
      <c r="E1965" t="s">
        <v>16</v>
      </c>
      <c r="F1965" t="s">
        <v>17</v>
      </c>
      <c r="G1965" t="s">
        <v>18</v>
      </c>
      <c r="H1965" t="s">
        <v>19</v>
      </c>
      <c r="I1965" t="s">
        <v>20</v>
      </c>
      <c r="J1965" s="2">
        <v>200</v>
      </c>
    </row>
    <row r="1966" spans="1:12" ht="19.95" customHeight="1">
      <c r="A1966" t="s">
        <v>2068</v>
      </c>
      <c r="B1966" t="s">
        <v>2026</v>
      </c>
      <c r="C1966" t="s">
        <v>78</v>
      </c>
      <c r="D1966" t="s">
        <v>83</v>
      </c>
      <c r="E1966" t="s">
        <v>16</v>
      </c>
      <c r="F1966" t="s">
        <v>17</v>
      </c>
      <c r="G1966" t="s">
        <v>18</v>
      </c>
      <c r="H1966" t="s">
        <v>19</v>
      </c>
      <c r="I1966" t="s">
        <v>20</v>
      </c>
      <c r="J1966" s="2">
        <v>170</v>
      </c>
      <c r="L1966" t="s">
        <v>29</v>
      </c>
    </row>
    <row r="1967" spans="1:12" ht="19.95" customHeight="1">
      <c r="A1967" t="s">
        <v>2069</v>
      </c>
      <c r="B1967" t="s">
        <v>2026</v>
      </c>
      <c r="C1967" t="s">
        <v>78</v>
      </c>
      <c r="D1967" t="s">
        <v>85</v>
      </c>
      <c r="E1967" t="s">
        <v>16</v>
      </c>
      <c r="F1967" t="s">
        <v>35</v>
      </c>
      <c r="G1967" t="s">
        <v>23</v>
      </c>
      <c r="H1967" t="s">
        <v>19</v>
      </c>
      <c r="I1967" t="s">
        <v>20</v>
      </c>
      <c r="J1967" s="2">
        <v>120</v>
      </c>
    </row>
    <row r="1968" spans="1:12" ht="19.95" customHeight="1">
      <c r="A1968" t="s">
        <v>2070</v>
      </c>
      <c r="B1968" t="s">
        <v>2026</v>
      </c>
      <c r="C1968" t="s">
        <v>78</v>
      </c>
      <c r="D1968" t="s">
        <v>87</v>
      </c>
      <c r="E1968" t="s">
        <v>16</v>
      </c>
      <c r="F1968" t="s">
        <v>17</v>
      </c>
      <c r="G1968" t="s">
        <v>32</v>
      </c>
      <c r="H1968" t="s">
        <v>19</v>
      </c>
      <c r="I1968" t="s">
        <v>20</v>
      </c>
      <c r="J1968" s="2">
        <v>300</v>
      </c>
    </row>
    <row r="1969" spans="1:12" ht="19.95" customHeight="1">
      <c r="A1969" t="s">
        <v>2071</v>
      </c>
      <c r="B1969" t="s">
        <v>2026</v>
      </c>
      <c r="C1969" t="s">
        <v>78</v>
      </c>
      <c r="D1969" t="s">
        <v>79</v>
      </c>
      <c r="E1969" t="s">
        <v>16</v>
      </c>
      <c r="F1969" t="s">
        <v>35</v>
      </c>
      <c r="G1969" t="s">
        <v>23</v>
      </c>
      <c r="H1969" t="s">
        <v>24</v>
      </c>
      <c r="I1969" t="s">
        <v>20</v>
      </c>
      <c r="J1969" s="2">
        <v>120</v>
      </c>
    </row>
    <row r="1970" spans="1:12" ht="19.95" customHeight="1">
      <c r="A1970" t="s">
        <v>2072</v>
      </c>
      <c r="B1970" t="s">
        <v>2026</v>
      </c>
      <c r="C1970" t="s">
        <v>78</v>
      </c>
      <c r="D1970" t="s">
        <v>85</v>
      </c>
      <c r="E1970" t="s">
        <v>16</v>
      </c>
      <c r="F1970" t="s">
        <v>35</v>
      </c>
      <c r="G1970" t="s">
        <v>23</v>
      </c>
      <c r="H1970" t="s">
        <v>19</v>
      </c>
      <c r="I1970" t="s">
        <v>53</v>
      </c>
      <c r="J1970" s="2">
        <v>120</v>
      </c>
    </row>
    <row r="1971" spans="1:12" ht="19.95" customHeight="1">
      <c r="A1971" t="s">
        <v>2073</v>
      </c>
      <c r="B1971" t="s">
        <v>2026</v>
      </c>
      <c r="C1971" t="s">
        <v>78</v>
      </c>
      <c r="D1971" t="s">
        <v>85</v>
      </c>
      <c r="E1971" t="s">
        <v>16</v>
      </c>
      <c r="F1971" t="s">
        <v>17</v>
      </c>
      <c r="G1971" t="s">
        <v>23</v>
      </c>
      <c r="H1971" t="s">
        <v>19</v>
      </c>
      <c r="I1971" t="s">
        <v>20</v>
      </c>
      <c r="J1971" s="2">
        <v>120</v>
      </c>
    </row>
    <row r="1972" spans="1:12" ht="19.95" customHeight="1">
      <c r="A1972" t="s">
        <v>2074</v>
      </c>
      <c r="B1972" t="s">
        <v>2026</v>
      </c>
      <c r="C1972" t="s">
        <v>78</v>
      </c>
      <c r="D1972" t="s">
        <v>87</v>
      </c>
      <c r="E1972" t="s">
        <v>16</v>
      </c>
      <c r="F1972" t="s">
        <v>17</v>
      </c>
      <c r="G1972" t="s">
        <v>23</v>
      </c>
      <c r="H1972" t="s">
        <v>24</v>
      </c>
      <c r="I1972" t="s">
        <v>20</v>
      </c>
      <c r="J1972" s="2">
        <v>90</v>
      </c>
      <c r="L1972" t="s">
        <v>29</v>
      </c>
    </row>
    <row r="1973" spans="1:12" ht="19.95" customHeight="1">
      <c r="A1973" t="s">
        <v>2075</v>
      </c>
      <c r="B1973" t="s">
        <v>2026</v>
      </c>
      <c r="C1973" t="s">
        <v>105</v>
      </c>
      <c r="D1973" t="s">
        <v>120</v>
      </c>
      <c r="E1973" t="s">
        <v>16</v>
      </c>
      <c r="F1973" t="s">
        <v>17</v>
      </c>
      <c r="G1973" t="s">
        <v>32</v>
      </c>
      <c r="H1973" t="s">
        <v>19</v>
      </c>
      <c r="I1973" t="s">
        <v>20</v>
      </c>
      <c r="J1973" s="2">
        <v>300</v>
      </c>
    </row>
    <row r="1974" spans="1:12" ht="19.95" customHeight="1">
      <c r="A1974" t="s">
        <v>2076</v>
      </c>
      <c r="B1974" t="s">
        <v>2026</v>
      </c>
      <c r="C1974" t="s">
        <v>105</v>
      </c>
      <c r="D1974" t="s">
        <v>187</v>
      </c>
      <c r="E1974" t="s">
        <v>16</v>
      </c>
      <c r="F1974" t="s">
        <v>17</v>
      </c>
      <c r="G1974" t="s">
        <v>23</v>
      </c>
      <c r="H1974" t="s">
        <v>24</v>
      </c>
      <c r="I1974" t="s">
        <v>20</v>
      </c>
      <c r="J1974" s="2">
        <v>120</v>
      </c>
    </row>
    <row r="1975" spans="1:12" ht="19.95" customHeight="1">
      <c r="A1975" t="s">
        <v>2077</v>
      </c>
      <c r="B1975" t="s">
        <v>2026</v>
      </c>
      <c r="C1975" t="s">
        <v>105</v>
      </c>
      <c r="D1975" t="s">
        <v>265</v>
      </c>
      <c r="E1975" t="s">
        <v>16</v>
      </c>
      <c r="F1975" t="s">
        <v>17</v>
      </c>
      <c r="G1975" t="s">
        <v>32</v>
      </c>
      <c r="H1975" t="s">
        <v>19</v>
      </c>
      <c r="I1975" t="s">
        <v>20</v>
      </c>
      <c r="J1975" s="2">
        <v>300</v>
      </c>
    </row>
    <row r="1976" spans="1:12" ht="19.95" customHeight="1">
      <c r="A1976" t="s">
        <v>2078</v>
      </c>
      <c r="B1976" t="s">
        <v>2026</v>
      </c>
      <c r="C1976" t="s">
        <v>105</v>
      </c>
      <c r="D1976" t="s">
        <v>112</v>
      </c>
      <c r="E1976" t="s">
        <v>16</v>
      </c>
      <c r="F1976" t="s">
        <v>17</v>
      </c>
      <c r="G1976" t="s">
        <v>23</v>
      </c>
      <c r="H1976" t="s">
        <v>19</v>
      </c>
      <c r="I1976" t="s">
        <v>20</v>
      </c>
      <c r="J1976" s="2">
        <v>120</v>
      </c>
    </row>
    <row r="1977" spans="1:12" ht="19.95" customHeight="1">
      <c r="A1977" t="s">
        <v>2079</v>
      </c>
      <c r="B1977" t="s">
        <v>2026</v>
      </c>
      <c r="C1977" t="s">
        <v>105</v>
      </c>
      <c r="D1977" t="s">
        <v>108</v>
      </c>
      <c r="E1977" t="s">
        <v>16</v>
      </c>
      <c r="F1977" t="s">
        <v>35</v>
      </c>
      <c r="G1977" t="s">
        <v>18</v>
      </c>
      <c r="H1977" t="s">
        <v>19</v>
      </c>
      <c r="I1977" t="s">
        <v>20</v>
      </c>
      <c r="J1977" s="2">
        <v>200</v>
      </c>
    </row>
    <row r="1978" spans="1:12" ht="19.95" customHeight="1">
      <c r="A1978" t="s">
        <v>2080</v>
      </c>
      <c r="B1978" t="s">
        <v>2026</v>
      </c>
      <c r="C1978" t="s">
        <v>105</v>
      </c>
      <c r="D1978" t="s">
        <v>194</v>
      </c>
      <c r="E1978" t="s">
        <v>16</v>
      </c>
      <c r="F1978" t="s">
        <v>17</v>
      </c>
      <c r="G1978" t="s">
        <v>32</v>
      </c>
      <c r="H1978" t="s">
        <v>19</v>
      </c>
      <c r="I1978" t="s">
        <v>20</v>
      </c>
      <c r="J1978" s="2">
        <v>300</v>
      </c>
    </row>
    <row r="1979" spans="1:12" ht="19.95" customHeight="1">
      <c r="A1979" t="s">
        <v>2081</v>
      </c>
      <c r="B1979" t="s">
        <v>2026</v>
      </c>
      <c r="C1979" t="s">
        <v>105</v>
      </c>
      <c r="D1979" t="s">
        <v>110</v>
      </c>
      <c r="E1979" t="s">
        <v>16</v>
      </c>
      <c r="F1979" t="s">
        <v>17</v>
      </c>
      <c r="G1979" t="s">
        <v>23</v>
      </c>
      <c r="H1979" t="s">
        <v>19</v>
      </c>
      <c r="I1979" t="s">
        <v>20</v>
      </c>
      <c r="J1979" s="2">
        <v>102</v>
      </c>
      <c r="L1979" t="s">
        <v>29</v>
      </c>
    </row>
    <row r="1980" spans="1:12" ht="19.95" customHeight="1">
      <c r="A1980" t="s">
        <v>2082</v>
      </c>
      <c r="B1980" t="s">
        <v>2026</v>
      </c>
      <c r="C1980" t="s">
        <v>105</v>
      </c>
      <c r="D1980" t="s">
        <v>182</v>
      </c>
      <c r="E1980" t="s">
        <v>16</v>
      </c>
      <c r="F1980" t="s">
        <v>17</v>
      </c>
      <c r="G1980" t="s">
        <v>32</v>
      </c>
      <c r="H1980" t="s">
        <v>24</v>
      </c>
      <c r="I1980" t="s">
        <v>20</v>
      </c>
      <c r="J1980" s="2">
        <v>300</v>
      </c>
    </row>
    <row r="1981" spans="1:12" ht="19.95" customHeight="1">
      <c r="A1981" t="s">
        <v>2083</v>
      </c>
      <c r="B1981" t="s">
        <v>2026</v>
      </c>
      <c r="C1981" t="s">
        <v>105</v>
      </c>
      <c r="D1981" t="s">
        <v>265</v>
      </c>
      <c r="E1981" t="s">
        <v>16</v>
      </c>
      <c r="F1981" t="s">
        <v>35</v>
      </c>
      <c r="G1981" t="s">
        <v>23</v>
      </c>
      <c r="H1981" t="s">
        <v>19</v>
      </c>
      <c r="I1981" t="s">
        <v>20</v>
      </c>
      <c r="J1981" s="2">
        <v>120</v>
      </c>
    </row>
    <row r="1982" spans="1:12" ht="19.95" customHeight="1">
      <c r="A1982" t="s">
        <v>2084</v>
      </c>
      <c r="B1982" t="s">
        <v>2026</v>
      </c>
      <c r="C1982" t="s">
        <v>105</v>
      </c>
      <c r="D1982" t="s">
        <v>116</v>
      </c>
      <c r="E1982" t="s">
        <v>16</v>
      </c>
      <c r="F1982" t="s">
        <v>35</v>
      </c>
      <c r="G1982" t="s">
        <v>32</v>
      </c>
      <c r="H1982" t="s">
        <v>19</v>
      </c>
      <c r="I1982" t="s">
        <v>74</v>
      </c>
      <c r="J1982" s="2">
        <v>300</v>
      </c>
    </row>
    <row r="1983" spans="1:12" ht="19.95" customHeight="1">
      <c r="A1983" t="s">
        <v>2085</v>
      </c>
      <c r="B1983" t="s">
        <v>2026</v>
      </c>
      <c r="C1983" t="s">
        <v>105</v>
      </c>
      <c r="D1983" t="s">
        <v>182</v>
      </c>
      <c r="E1983" t="s">
        <v>16</v>
      </c>
      <c r="F1983" t="s">
        <v>17</v>
      </c>
      <c r="G1983" t="s">
        <v>32</v>
      </c>
      <c r="H1983" t="s">
        <v>24</v>
      </c>
      <c r="I1983" t="s">
        <v>20</v>
      </c>
      <c r="J1983" s="2">
        <v>300</v>
      </c>
    </row>
    <row r="1984" spans="1:12" ht="19.95" customHeight="1">
      <c r="A1984" t="s">
        <v>2086</v>
      </c>
      <c r="B1984" t="s">
        <v>2026</v>
      </c>
      <c r="C1984" t="s">
        <v>105</v>
      </c>
      <c r="D1984" t="s">
        <v>108</v>
      </c>
      <c r="E1984" t="s">
        <v>16</v>
      </c>
      <c r="F1984" t="s">
        <v>17</v>
      </c>
      <c r="G1984" t="s">
        <v>18</v>
      </c>
      <c r="H1984" t="s">
        <v>24</v>
      </c>
      <c r="I1984" t="s">
        <v>20</v>
      </c>
      <c r="J1984" s="2">
        <v>200</v>
      </c>
    </row>
    <row r="1985" spans="1:12" ht="19.95" customHeight="1">
      <c r="A1985" t="s">
        <v>2087</v>
      </c>
      <c r="B1985" t="s">
        <v>2026</v>
      </c>
      <c r="C1985" t="s">
        <v>105</v>
      </c>
      <c r="D1985" t="s">
        <v>106</v>
      </c>
      <c r="E1985" t="s">
        <v>16</v>
      </c>
      <c r="F1985" t="s">
        <v>35</v>
      </c>
      <c r="G1985" t="s">
        <v>18</v>
      </c>
      <c r="H1985" t="s">
        <v>19</v>
      </c>
      <c r="I1985" t="s">
        <v>20</v>
      </c>
      <c r="J1985" s="2">
        <v>200</v>
      </c>
    </row>
    <row r="1986" spans="1:12" ht="19.95" customHeight="1">
      <c r="A1986" t="s">
        <v>2088</v>
      </c>
      <c r="B1986" t="s">
        <v>2026</v>
      </c>
      <c r="C1986" t="s">
        <v>105</v>
      </c>
      <c r="D1986" t="s">
        <v>118</v>
      </c>
      <c r="E1986" t="s">
        <v>16</v>
      </c>
      <c r="F1986" t="s">
        <v>17</v>
      </c>
      <c r="G1986" t="s">
        <v>32</v>
      </c>
      <c r="H1986" t="s">
        <v>19</v>
      </c>
      <c r="I1986" t="s">
        <v>20</v>
      </c>
      <c r="J1986" s="2">
        <v>225</v>
      </c>
      <c r="L1986" t="s">
        <v>29</v>
      </c>
    </row>
    <row r="1987" spans="1:12" ht="19.95" customHeight="1">
      <c r="A1987" t="s">
        <v>2089</v>
      </c>
      <c r="B1987" t="s">
        <v>2026</v>
      </c>
      <c r="C1987" t="s">
        <v>78</v>
      </c>
      <c r="D1987" t="s">
        <v>81</v>
      </c>
      <c r="E1987" t="s">
        <v>402</v>
      </c>
      <c r="F1987" t="s">
        <v>17</v>
      </c>
      <c r="G1987" t="s">
        <v>32</v>
      </c>
      <c r="H1987" t="s">
        <v>19</v>
      </c>
      <c r="I1987" t="s">
        <v>20</v>
      </c>
      <c r="J1987" s="2">
        <v>225</v>
      </c>
      <c r="K1987" t="s">
        <v>1278</v>
      </c>
      <c r="L1987" t="s">
        <v>1270</v>
      </c>
    </row>
    <row r="1988" spans="1:12" ht="19.95" customHeight="1">
      <c r="A1988" t="s">
        <v>2090</v>
      </c>
      <c r="B1988" t="s">
        <v>2026</v>
      </c>
      <c r="C1988" t="s">
        <v>78</v>
      </c>
      <c r="D1988" t="s">
        <v>79</v>
      </c>
      <c r="E1988" t="s">
        <v>402</v>
      </c>
      <c r="F1988" t="s">
        <v>17</v>
      </c>
      <c r="G1988" t="s">
        <v>32</v>
      </c>
      <c r="H1988" t="s">
        <v>19</v>
      </c>
      <c r="I1988" t="s">
        <v>20</v>
      </c>
      <c r="J1988" s="2">
        <v>225</v>
      </c>
      <c r="K1988" t="s">
        <v>1288</v>
      </c>
      <c r="L1988" t="s">
        <v>1270</v>
      </c>
    </row>
    <row r="1989" spans="1:12" ht="19.95" customHeight="1">
      <c r="A1989" t="s">
        <v>2091</v>
      </c>
      <c r="B1989" t="s">
        <v>2026</v>
      </c>
      <c r="C1989" t="s">
        <v>78</v>
      </c>
      <c r="D1989" t="s">
        <v>242</v>
      </c>
      <c r="E1989" t="s">
        <v>402</v>
      </c>
      <c r="F1989" t="s">
        <v>17</v>
      </c>
      <c r="G1989" t="s">
        <v>32</v>
      </c>
      <c r="H1989" t="s">
        <v>19</v>
      </c>
      <c r="I1989" t="s">
        <v>20</v>
      </c>
      <c r="J1989" s="2">
        <v>225</v>
      </c>
      <c r="K1989" t="s">
        <v>1363</v>
      </c>
      <c r="L1989" t="s">
        <v>1270</v>
      </c>
    </row>
    <row r="1990" spans="1:12" ht="19.95" customHeight="1">
      <c r="A1990" t="s">
        <v>2092</v>
      </c>
      <c r="B1990" t="s">
        <v>2026</v>
      </c>
      <c r="C1990" t="s">
        <v>78</v>
      </c>
      <c r="D1990" t="s">
        <v>102</v>
      </c>
      <c r="E1990" t="s">
        <v>402</v>
      </c>
      <c r="F1990" t="s">
        <v>17</v>
      </c>
      <c r="G1990" t="s">
        <v>32</v>
      </c>
      <c r="H1990" t="s">
        <v>19</v>
      </c>
      <c r="I1990" t="s">
        <v>20</v>
      </c>
      <c r="J1990" s="2">
        <v>225</v>
      </c>
      <c r="K1990" t="s">
        <v>1365</v>
      </c>
      <c r="L1990" t="s">
        <v>1270</v>
      </c>
    </row>
    <row r="1991" spans="1:12" ht="19.95" customHeight="1">
      <c r="A1991" t="s">
        <v>2093</v>
      </c>
      <c r="B1991" t="s">
        <v>2026</v>
      </c>
      <c r="C1991" t="s">
        <v>78</v>
      </c>
      <c r="D1991" t="s">
        <v>83</v>
      </c>
      <c r="E1991" t="s">
        <v>402</v>
      </c>
      <c r="F1991" t="s">
        <v>17</v>
      </c>
      <c r="G1991" t="s">
        <v>32</v>
      </c>
      <c r="H1991" t="s">
        <v>19</v>
      </c>
      <c r="I1991" t="s">
        <v>20</v>
      </c>
      <c r="J1991" s="2">
        <v>225</v>
      </c>
      <c r="K1991" t="s">
        <v>1446</v>
      </c>
      <c r="L1991" t="s">
        <v>1270</v>
      </c>
    </row>
    <row r="1992" spans="1:12" ht="19.95" customHeight="1">
      <c r="A1992" t="s">
        <v>2094</v>
      </c>
      <c r="B1992" t="s">
        <v>2026</v>
      </c>
      <c r="C1992" t="s">
        <v>78</v>
      </c>
      <c r="D1992" t="s">
        <v>93</v>
      </c>
      <c r="E1992" t="s">
        <v>402</v>
      </c>
      <c r="F1992" t="s">
        <v>17</v>
      </c>
      <c r="G1992" t="s">
        <v>32</v>
      </c>
      <c r="H1992" t="s">
        <v>19</v>
      </c>
      <c r="I1992" t="s">
        <v>20</v>
      </c>
      <c r="J1992" s="2">
        <v>225</v>
      </c>
      <c r="K1992" t="s">
        <v>1454</v>
      </c>
      <c r="L1992" t="s">
        <v>1270</v>
      </c>
    </row>
    <row r="1993" spans="1:12" ht="19.95" customHeight="1">
      <c r="A1993" t="s">
        <v>2095</v>
      </c>
      <c r="B1993" t="s">
        <v>2026</v>
      </c>
      <c r="C1993" t="s">
        <v>78</v>
      </c>
      <c r="D1993" t="s">
        <v>83</v>
      </c>
      <c r="E1993" t="s">
        <v>402</v>
      </c>
      <c r="F1993" t="s">
        <v>17</v>
      </c>
      <c r="G1993" t="s">
        <v>32</v>
      </c>
      <c r="H1993" t="s">
        <v>19</v>
      </c>
      <c r="I1993" t="s">
        <v>20</v>
      </c>
      <c r="J1993" s="2">
        <v>225</v>
      </c>
      <c r="K1993" t="s">
        <v>1459</v>
      </c>
      <c r="L1993" t="s">
        <v>1270</v>
      </c>
    </row>
    <row r="1994" spans="1:12" ht="19.95" customHeight="1">
      <c r="A1994" t="s">
        <v>2096</v>
      </c>
      <c r="B1994" t="s">
        <v>2026</v>
      </c>
      <c r="C1994" t="s">
        <v>78</v>
      </c>
      <c r="D1994" t="s">
        <v>85</v>
      </c>
      <c r="E1994" t="s">
        <v>402</v>
      </c>
      <c r="F1994" t="s">
        <v>17</v>
      </c>
      <c r="G1994" t="s">
        <v>32</v>
      </c>
      <c r="H1994" t="s">
        <v>19</v>
      </c>
      <c r="I1994" t="s">
        <v>20</v>
      </c>
      <c r="J1994" s="2">
        <v>225</v>
      </c>
      <c r="K1994" t="s">
        <v>1464</v>
      </c>
      <c r="L1994" t="s">
        <v>1270</v>
      </c>
    </row>
    <row r="1995" spans="1:12" ht="19.95" customHeight="1">
      <c r="A1995" t="s">
        <v>2097</v>
      </c>
      <c r="B1995" t="s">
        <v>2026</v>
      </c>
      <c r="C1995" t="s">
        <v>105</v>
      </c>
      <c r="D1995" t="s">
        <v>112</v>
      </c>
      <c r="E1995" t="s">
        <v>402</v>
      </c>
      <c r="F1995" t="s">
        <v>17</v>
      </c>
      <c r="G1995" t="s">
        <v>23</v>
      </c>
      <c r="H1995" t="s">
        <v>19</v>
      </c>
      <c r="I1995" t="s">
        <v>20</v>
      </c>
      <c r="J1995" s="2">
        <v>120</v>
      </c>
      <c r="K1995" t="s">
        <v>1561</v>
      </c>
    </row>
    <row r="1996" spans="1:12" ht="19.95" customHeight="1">
      <c r="A1996" t="s">
        <v>2098</v>
      </c>
      <c r="B1996" t="s">
        <v>2099</v>
      </c>
      <c r="C1996" t="s">
        <v>14</v>
      </c>
      <c r="D1996" t="s">
        <v>137</v>
      </c>
      <c r="E1996" t="s">
        <v>16</v>
      </c>
      <c r="F1996" t="s">
        <v>17</v>
      </c>
      <c r="G1996" t="s">
        <v>32</v>
      </c>
      <c r="H1996" t="s">
        <v>19</v>
      </c>
      <c r="I1996" t="s">
        <v>20</v>
      </c>
      <c r="J1996" s="2">
        <v>225</v>
      </c>
      <c r="L1996" t="s">
        <v>29</v>
      </c>
    </row>
    <row r="1997" spans="1:12" ht="19.95" customHeight="1">
      <c r="A1997" t="s">
        <v>2100</v>
      </c>
      <c r="B1997" t="s">
        <v>2099</v>
      </c>
      <c r="C1997" t="s">
        <v>14</v>
      </c>
      <c r="D1997" t="s">
        <v>137</v>
      </c>
      <c r="E1997" t="s">
        <v>16</v>
      </c>
      <c r="F1997" t="s">
        <v>17</v>
      </c>
      <c r="G1997" t="s">
        <v>32</v>
      </c>
      <c r="H1997" t="s">
        <v>19</v>
      </c>
      <c r="I1997" t="s">
        <v>20</v>
      </c>
      <c r="J1997" s="2">
        <v>300</v>
      </c>
    </row>
    <row r="1998" spans="1:12" ht="19.95" customHeight="1">
      <c r="A1998" t="s">
        <v>2101</v>
      </c>
      <c r="B1998" t="s">
        <v>2099</v>
      </c>
      <c r="C1998" t="s">
        <v>14</v>
      </c>
      <c r="D1998" t="s">
        <v>31</v>
      </c>
      <c r="E1998" t="s">
        <v>16</v>
      </c>
      <c r="F1998" t="s">
        <v>17</v>
      </c>
      <c r="G1998" t="s">
        <v>32</v>
      </c>
      <c r="H1998" t="s">
        <v>19</v>
      </c>
      <c r="I1998" t="s">
        <v>20</v>
      </c>
      <c r="J1998" s="2">
        <v>300</v>
      </c>
    </row>
    <row r="1999" spans="1:12" ht="19.95" customHeight="1">
      <c r="A1999" t="s">
        <v>2102</v>
      </c>
      <c r="B1999" t="s">
        <v>2099</v>
      </c>
      <c r="C1999" t="s">
        <v>14</v>
      </c>
      <c r="D1999" t="s">
        <v>37</v>
      </c>
      <c r="E1999" t="s">
        <v>16</v>
      </c>
      <c r="F1999" t="s">
        <v>17</v>
      </c>
      <c r="G1999" t="s">
        <v>18</v>
      </c>
      <c r="H1999" t="s">
        <v>19</v>
      </c>
      <c r="I1999" t="s">
        <v>20</v>
      </c>
      <c r="J1999" s="2">
        <v>200</v>
      </c>
    </row>
    <row r="2000" spans="1:12" ht="19.95" customHeight="1">
      <c r="A2000" t="s">
        <v>2103</v>
      </c>
      <c r="B2000" t="s">
        <v>2099</v>
      </c>
      <c r="C2000" t="s">
        <v>14</v>
      </c>
      <c r="D2000" t="s">
        <v>31</v>
      </c>
      <c r="E2000" t="s">
        <v>16</v>
      </c>
      <c r="F2000" t="s">
        <v>17</v>
      </c>
      <c r="G2000" t="s">
        <v>23</v>
      </c>
      <c r="H2000" t="s">
        <v>19</v>
      </c>
      <c r="I2000" t="s">
        <v>20</v>
      </c>
      <c r="J2000" s="2">
        <v>120</v>
      </c>
    </row>
    <row r="2001" spans="1:12" ht="19.95" customHeight="1">
      <c r="A2001" t="s">
        <v>2104</v>
      </c>
      <c r="B2001" t="s">
        <v>2099</v>
      </c>
      <c r="C2001" t="s">
        <v>14</v>
      </c>
      <c r="D2001" t="s">
        <v>37</v>
      </c>
      <c r="E2001" t="s">
        <v>16</v>
      </c>
      <c r="F2001" t="s">
        <v>17</v>
      </c>
      <c r="G2001" t="s">
        <v>18</v>
      </c>
      <c r="H2001" t="s">
        <v>24</v>
      </c>
      <c r="I2001" t="s">
        <v>20</v>
      </c>
      <c r="J2001" s="2">
        <v>170</v>
      </c>
      <c r="L2001" t="s">
        <v>29</v>
      </c>
    </row>
    <row r="2002" spans="1:12" ht="19.95" customHeight="1">
      <c r="A2002" t="s">
        <v>2105</v>
      </c>
      <c r="B2002" t="s">
        <v>2099</v>
      </c>
      <c r="C2002" t="s">
        <v>14</v>
      </c>
      <c r="D2002" t="s">
        <v>210</v>
      </c>
      <c r="E2002" t="s">
        <v>16</v>
      </c>
      <c r="F2002" t="s">
        <v>17</v>
      </c>
      <c r="G2002" t="s">
        <v>18</v>
      </c>
      <c r="H2002" t="s">
        <v>24</v>
      </c>
      <c r="I2002" t="s">
        <v>20</v>
      </c>
      <c r="J2002" s="2">
        <v>200</v>
      </c>
    </row>
    <row r="2003" spans="1:12" ht="19.95" customHeight="1">
      <c r="A2003" t="s">
        <v>2106</v>
      </c>
      <c r="B2003" t="s">
        <v>2099</v>
      </c>
      <c r="C2003" t="s">
        <v>14</v>
      </c>
      <c r="D2003" t="s">
        <v>40</v>
      </c>
      <c r="E2003" t="s">
        <v>16</v>
      </c>
      <c r="F2003" t="s">
        <v>17</v>
      </c>
      <c r="G2003" t="s">
        <v>32</v>
      </c>
      <c r="H2003" t="s">
        <v>19</v>
      </c>
      <c r="I2003" t="s">
        <v>20</v>
      </c>
      <c r="J2003" s="2">
        <v>225</v>
      </c>
      <c r="L2003" t="s">
        <v>29</v>
      </c>
    </row>
    <row r="2004" spans="1:12" ht="19.95" customHeight="1">
      <c r="A2004" t="s">
        <v>2107</v>
      </c>
      <c r="B2004" t="s">
        <v>2099</v>
      </c>
      <c r="C2004" t="s">
        <v>14</v>
      </c>
      <c r="D2004" t="s">
        <v>15</v>
      </c>
      <c r="E2004" t="s">
        <v>16</v>
      </c>
      <c r="F2004" t="s">
        <v>17</v>
      </c>
      <c r="G2004" t="s">
        <v>23</v>
      </c>
      <c r="H2004" t="s">
        <v>19</v>
      </c>
      <c r="I2004" t="s">
        <v>20</v>
      </c>
      <c r="J2004" s="2">
        <v>90</v>
      </c>
      <c r="L2004" t="s">
        <v>29</v>
      </c>
    </row>
    <row r="2005" spans="1:12" ht="19.95" customHeight="1">
      <c r="A2005" t="s">
        <v>2108</v>
      </c>
      <c r="B2005" t="s">
        <v>2099</v>
      </c>
      <c r="C2005" t="s">
        <v>14</v>
      </c>
      <c r="D2005" t="s">
        <v>26</v>
      </c>
      <c r="E2005" t="s">
        <v>16</v>
      </c>
      <c r="F2005" t="s">
        <v>17</v>
      </c>
      <c r="G2005" t="s">
        <v>18</v>
      </c>
      <c r="H2005" t="s">
        <v>19</v>
      </c>
      <c r="I2005" t="s">
        <v>20</v>
      </c>
      <c r="J2005" s="2">
        <v>200</v>
      </c>
    </row>
    <row r="2006" spans="1:12" ht="19.95" customHeight="1">
      <c r="A2006" t="s">
        <v>2109</v>
      </c>
      <c r="B2006" t="s">
        <v>2099</v>
      </c>
      <c r="C2006" t="s">
        <v>14</v>
      </c>
      <c r="D2006" t="s">
        <v>28</v>
      </c>
      <c r="E2006" t="s">
        <v>16</v>
      </c>
      <c r="F2006" t="s">
        <v>17</v>
      </c>
      <c r="G2006" t="s">
        <v>23</v>
      </c>
      <c r="H2006" t="s">
        <v>19</v>
      </c>
      <c r="I2006" t="s">
        <v>20</v>
      </c>
      <c r="J2006" s="2">
        <v>120</v>
      </c>
    </row>
    <row r="2007" spans="1:12" ht="19.95" customHeight="1">
      <c r="A2007" t="s">
        <v>2110</v>
      </c>
      <c r="B2007" t="s">
        <v>2099</v>
      </c>
      <c r="C2007" t="s">
        <v>14</v>
      </c>
      <c r="D2007" t="s">
        <v>37</v>
      </c>
      <c r="E2007" t="s">
        <v>16</v>
      </c>
      <c r="F2007" t="s">
        <v>17</v>
      </c>
      <c r="G2007" t="s">
        <v>32</v>
      </c>
      <c r="H2007" t="s">
        <v>19</v>
      </c>
      <c r="I2007" t="s">
        <v>20</v>
      </c>
      <c r="J2007" s="2">
        <v>300</v>
      </c>
    </row>
    <row r="2008" spans="1:12" ht="19.95" customHeight="1">
      <c r="A2008" t="s">
        <v>2111</v>
      </c>
      <c r="B2008" t="s">
        <v>2099</v>
      </c>
      <c r="C2008" t="s">
        <v>14</v>
      </c>
      <c r="D2008" t="s">
        <v>210</v>
      </c>
      <c r="E2008" t="s">
        <v>16</v>
      </c>
      <c r="F2008" t="s">
        <v>17</v>
      </c>
      <c r="G2008" t="s">
        <v>23</v>
      </c>
      <c r="H2008" t="s">
        <v>19</v>
      </c>
      <c r="I2008" t="s">
        <v>20</v>
      </c>
      <c r="J2008" s="2">
        <v>102</v>
      </c>
      <c r="L2008" t="s">
        <v>29</v>
      </c>
    </row>
    <row r="2009" spans="1:12" ht="19.95" customHeight="1">
      <c r="A2009" t="s">
        <v>2112</v>
      </c>
      <c r="B2009" t="s">
        <v>2099</v>
      </c>
      <c r="C2009" t="s">
        <v>14</v>
      </c>
      <c r="D2009" t="s">
        <v>210</v>
      </c>
      <c r="E2009" t="s">
        <v>16</v>
      </c>
      <c r="F2009" t="s">
        <v>17</v>
      </c>
      <c r="G2009" t="s">
        <v>23</v>
      </c>
      <c r="H2009" t="s">
        <v>19</v>
      </c>
      <c r="I2009" t="s">
        <v>20</v>
      </c>
      <c r="J2009" s="2">
        <v>120</v>
      </c>
    </row>
    <row r="2010" spans="1:12" ht="19.95" customHeight="1">
      <c r="A2010" t="s">
        <v>2113</v>
      </c>
      <c r="B2010" t="s">
        <v>2099</v>
      </c>
      <c r="C2010" t="s">
        <v>47</v>
      </c>
      <c r="D2010" t="s">
        <v>66</v>
      </c>
      <c r="E2010" t="s">
        <v>16</v>
      </c>
      <c r="F2010" t="s">
        <v>17</v>
      </c>
      <c r="G2010" t="s">
        <v>23</v>
      </c>
      <c r="H2010" t="s">
        <v>19</v>
      </c>
      <c r="I2010" t="s">
        <v>20</v>
      </c>
      <c r="J2010" s="2">
        <v>120</v>
      </c>
    </row>
    <row r="2011" spans="1:12" ht="19.95" customHeight="1">
      <c r="A2011" t="s">
        <v>2114</v>
      </c>
      <c r="B2011" t="s">
        <v>2099</v>
      </c>
      <c r="C2011" t="s">
        <v>47</v>
      </c>
      <c r="D2011" t="s">
        <v>152</v>
      </c>
      <c r="E2011" t="s">
        <v>16</v>
      </c>
      <c r="F2011" t="s">
        <v>17</v>
      </c>
      <c r="G2011" t="s">
        <v>32</v>
      </c>
      <c r="H2011" t="s">
        <v>19</v>
      </c>
      <c r="I2011" t="s">
        <v>20</v>
      </c>
      <c r="J2011" s="2">
        <v>300</v>
      </c>
    </row>
    <row r="2012" spans="1:12" ht="19.95" customHeight="1">
      <c r="A2012" t="s">
        <v>2115</v>
      </c>
      <c r="B2012" t="s">
        <v>2099</v>
      </c>
      <c r="C2012" t="s">
        <v>47</v>
      </c>
      <c r="D2012" t="s">
        <v>64</v>
      </c>
      <c r="E2012" t="s">
        <v>16</v>
      </c>
      <c r="F2012" t="s">
        <v>17</v>
      </c>
      <c r="G2012" t="s">
        <v>32</v>
      </c>
      <c r="H2012" t="s">
        <v>19</v>
      </c>
      <c r="I2012" t="s">
        <v>20</v>
      </c>
      <c r="J2012" s="2">
        <v>300</v>
      </c>
    </row>
    <row r="2013" spans="1:12" ht="19.95" customHeight="1">
      <c r="A2013" t="s">
        <v>2116</v>
      </c>
      <c r="B2013" t="s">
        <v>2099</v>
      </c>
      <c r="C2013" t="s">
        <v>47</v>
      </c>
      <c r="D2013" t="s">
        <v>64</v>
      </c>
      <c r="E2013" t="s">
        <v>16</v>
      </c>
      <c r="F2013" t="s">
        <v>35</v>
      </c>
      <c r="G2013" t="s">
        <v>18</v>
      </c>
      <c r="H2013" t="s">
        <v>19</v>
      </c>
      <c r="I2013" t="s">
        <v>20</v>
      </c>
      <c r="J2013" s="2">
        <v>200</v>
      </c>
    </row>
    <row r="2014" spans="1:12" ht="19.95" customHeight="1">
      <c r="A2014" t="s">
        <v>2117</v>
      </c>
      <c r="B2014" t="s">
        <v>2099</v>
      </c>
      <c r="C2014" t="s">
        <v>47</v>
      </c>
      <c r="D2014" t="s">
        <v>71</v>
      </c>
      <c r="E2014" t="s">
        <v>16</v>
      </c>
      <c r="F2014" t="s">
        <v>17</v>
      </c>
      <c r="G2014" t="s">
        <v>32</v>
      </c>
      <c r="H2014" t="s">
        <v>19</v>
      </c>
      <c r="I2014" t="s">
        <v>20</v>
      </c>
      <c r="J2014" s="2">
        <v>300</v>
      </c>
    </row>
    <row r="2015" spans="1:12" ht="19.95" customHeight="1">
      <c r="A2015" t="s">
        <v>2118</v>
      </c>
      <c r="B2015" t="s">
        <v>2099</v>
      </c>
      <c r="C2015" t="s">
        <v>47</v>
      </c>
      <c r="D2015" t="s">
        <v>52</v>
      </c>
      <c r="E2015" t="s">
        <v>16</v>
      </c>
      <c r="F2015" t="s">
        <v>17</v>
      </c>
      <c r="G2015" t="s">
        <v>32</v>
      </c>
      <c r="H2015" t="s">
        <v>19</v>
      </c>
      <c r="I2015" t="s">
        <v>20</v>
      </c>
      <c r="J2015" s="2">
        <v>300</v>
      </c>
    </row>
    <row r="2016" spans="1:12" ht="19.95" customHeight="1">
      <c r="A2016" t="s">
        <v>2119</v>
      </c>
      <c r="B2016" t="s">
        <v>2099</v>
      </c>
      <c r="C2016" t="s">
        <v>47</v>
      </c>
      <c r="D2016" t="s">
        <v>152</v>
      </c>
      <c r="E2016" t="s">
        <v>16</v>
      </c>
      <c r="F2016" t="s">
        <v>35</v>
      </c>
      <c r="G2016" t="s">
        <v>32</v>
      </c>
      <c r="H2016" t="s">
        <v>19</v>
      </c>
      <c r="I2016" t="s">
        <v>20</v>
      </c>
      <c r="J2016" s="2">
        <v>300</v>
      </c>
    </row>
    <row r="2017" spans="1:12" ht="19.95" customHeight="1">
      <c r="A2017" t="s">
        <v>2120</v>
      </c>
      <c r="B2017" t="s">
        <v>2099</v>
      </c>
      <c r="C2017" t="s">
        <v>47</v>
      </c>
      <c r="D2017" t="s">
        <v>71</v>
      </c>
      <c r="E2017" t="s">
        <v>16</v>
      </c>
      <c r="F2017" t="s">
        <v>17</v>
      </c>
      <c r="G2017" t="s">
        <v>32</v>
      </c>
      <c r="H2017" t="s">
        <v>19</v>
      </c>
      <c r="I2017" t="s">
        <v>20</v>
      </c>
      <c r="J2017" s="2">
        <v>300</v>
      </c>
    </row>
    <row r="2018" spans="1:12" ht="19.95" customHeight="1">
      <c r="A2018" t="s">
        <v>2121</v>
      </c>
      <c r="B2018" t="s">
        <v>2099</v>
      </c>
      <c r="C2018" t="s">
        <v>47</v>
      </c>
      <c r="D2018" t="s">
        <v>152</v>
      </c>
      <c r="E2018" t="s">
        <v>16</v>
      </c>
      <c r="F2018" t="s">
        <v>17</v>
      </c>
      <c r="G2018" t="s">
        <v>32</v>
      </c>
      <c r="H2018" t="s">
        <v>19</v>
      </c>
      <c r="I2018" t="s">
        <v>20</v>
      </c>
      <c r="J2018" s="2">
        <v>300</v>
      </c>
    </row>
    <row r="2019" spans="1:12" ht="19.95" customHeight="1">
      <c r="A2019" t="s">
        <v>2122</v>
      </c>
      <c r="B2019" t="s">
        <v>2099</v>
      </c>
      <c r="C2019" t="s">
        <v>47</v>
      </c>
      <c r="D2019" t="s">
        <v>52</v>
      </c>
      <c r="E2019" t="s">
        <v>16</v>
      </c>
      <c r="F2019" t="s">
        <v>17</v>
      </c>
      <c r="G2019" t="s">
        <v>18</v>
      </c>
      <c r="H2019" t="s">
        <v>19</v>
      </c>
      <c r="I2019" t="s">
        <v>20</v>
      </c>
      <c r="J2019" s="2">
        <v>200</v>
      </c>
    </row>
    <row r="2020" spans="1:12" ht="19.95" customHeight="1">
      <c r="A2020" t="s">
        <v>2123</v>
      </c>
      <c r="B2020" t="s">
        <v>2099</v>
      </c>
      <c r="C2020" t="s">
        <v>47</v>
      </c>
      <c r="D2020" t="s">
        <v>64</v>
      </c>
      <c r="E2020" t="s">
        <v>16</v>
      </c>
      <c r="F2020" t="s">
        <v>17</v>
      </c>
      <c r="G2020" t="s">
        <v>23</v>
      </c>
      <c r="H2020" t="s">
        <v>19</v>
      </c>
      <c r="I2020" t="s">
        <v>20</v>
      </c>
      <c r="J2020" s="2">
        <v>120</v>
      </c>
    </row>
    <row r="2021" spans="1:12" ht="19.95" customHeight="1">
      <c r="A2021" t="s">
        <v>2124</v>
      </c>
      <c r="B2021" t="s">
        <v>2099</v>
      </c>
      <c r="C2021" t="s">
        <v>47</v>
      </c>
      <c r="D2021" t="s">
        <v>66</v>
      </c>
      <c r="E2021" t="s">
        <v>16</v>
      </c>
      <c r="F2021" t="s">
        <v>17</v>
      </c>
      <c r="G2021" t="s">
        <v>18</v>
      </c>
      <c r="H2021" t="s">
        <v>19</v>
      </c>
      <c r="I2021" t="s">
        <v>20</v>
      </c>
      <c r="J2021" s="2">
        <v>200</v>
      </c>
    </row>
    <row r="2022" spans="1:12" ht="19.95" customHeight="1">
      <c r="A2022" t="s">
        <v>2125</v>
      </c>
      <c r="B2022" t="s">
        <v>2099</v>
      </c>
      <c r="C2022" t="s">
        <v>47</v>
      </c>
      <c r="D2022" t="s">
        <v>73</v>
      </c>
      <c r="E2022" t="s">
        <v>16</v>
      </c>
      <c r="F2022" t="s">
        <v>35</v>
      </c>
      <c r="G2022" t="s">
        <v>32</v>
      </c>
      <c r="H2022" t="s">
        <v>19</v>
      </c>
      <c r="I2022" t="s">
        <v>53</v>
      </c>
      <c r="J2022" s="2">
        <v>300</v>
      </c>
    </row>
    <row r="2023" spans="1:12" ht="19.95" customHeight="1">
      <c r="A2023" t="s">
        <v>2126</v>
      </c>
      <c r="B2023" t="s">
        <v>2099</v>
      </c>
      <c r="C2023" t="s">
        <v>47</v>
      </c>
      <c r="D2023" t="s">
        <v>73</v>
      </c>
      <c r="E2023" t="s">
        <v>16</v>
      </c>
      <c r="F2023" t="s">
        <v>17</v>
      </c>
      <c r="G2023" t="s">
        <v>23</v>
      </c>
      <c r="H2023" t="s">
        <v>19</v>
      </c>
      <c r="I2023" t="s">
        <v>20</v>
      </c>
      <c r="J2023" s="2">
        <v>120</v>
      </c>
    </row>
    <row r="2024" spans="1:12" ht="19.95" customHeight="1">
      <c r="A2024" t="s">
        <v>2127</v>
      </c>
      <c r="B2024" t="s">
        <v>2099</v>
      </c>
      <c r="C2024" t="s">
        <v>47</v>
      </c>
      <c r="D2024" t="s">
        <v>148</v>
      </c>
      <c r="E2024" t="s">
        <v>16</v>
      </c>
      <c r="F2024" t="s">
        <v>35</v>
      </c>
      <c r="G2024" t="s">
        <v>32</v>
      </c>
      <c r="H2024" t="s">
        <v>19</v>
      </c>
      <c r="I2024" t="s">
        <v>53</v>
      </c>
      <c r="J2024" s="2">
        <v>255</v>
      </c>
      <c r="L2024" t="s">
        <v>29</v>
      </c>
    </row>
    <row r="2025" spans="1:12" ht="19.95" customHeight="1">
      <c r="A2025" t="s">
        <v>2128</v>
      </c>
      <c r="B2025" t="s">
        <v>2099</v>
      </c>
      <c r="C2025" t="s">
        <v>47</v>
      </c>
      <c r="D2025" t="s">
        <v>152</v>
      </c>
      <c r="E2025" t="s">
        <v>16</v>
      </c>
      <c r="F2025" t="s">
        <v>17</v>
      </c>
      <c r="G2025" t="s">
        <v>32</v>
      </c>
      <c r="H2025" t="s">
        <v>19</v>
      </c>
      <c r="I2025" t="s">
        <v>20</v>
      </c>
      <c r="J2025" s="2">
        <v>255</v>
      </c>
      <c r="L2025" t="s">
        <v>29</v>
      </c>
    </row>
    <row r="2026" spans="1:12" ht="19.95" customHeight="1">
      <c r="A2026" t="s">
        <v>2129</v>
      </c>
      <c r="B2026" t="s">
        <v>2099</v>
      </c>
      <c r="C2026" t="s">
        <v>47</v>
      </c>
      <c r="D2026" t="s">
        <v>62</v>
      </c>
      <c r="E2026" t="s">
        <v>16</v>
      </c>
      <c r="F2026" t="s">
        <v>17</v>
      </c>
      <c r="G2026" t="s">
        <v>18</v>
      </c>
      <c r="H2026" t="s">
        <v>19</v>
      </c>
      <c r="I2026" t="s">
        <v>20</v>
      </c>
      <c r="J2026" s="2">
        <v>200</v>
      </c>
    </row>
    <row r="2027" spans="1:12" ht="19.95" customHeight="1">
      <c r="A2027" t="s">
        <v>2130</v>
      </c>
      <c r="B2027" t="s">
        <v>2099</v>
      </c>
      <c r="C2027" t="s">
        <v>47</v>
      </c>
      <c r="D2027" t="s">
        <v>64</v>
      </c>
      <c r="E2027" t="s">
        <v>16</v>
      </c>
      <c r="F2027" t="s">
        <v>17</v>
      </c>
      <c r="G2027" t="s">
        <v>32</v>
      </c>
      <c r="H2027" t="s">
        <v>19</v>
      </c>
      <c r="I2027" t="s">
        <v>20</v>
      </c>
      <c r="J2027" s="2">
        <v>300</v>
      </c>
    </row>
    <row r="2028" spans="1:12" ht="19.95" customHeight="1">
      <c r="A2028" t="s">
        <v>2131</v>
      </c>
      <c r="B2028" t="s">
        <v>2099</v>
      </c>
      <c r="C2028" t="s">
        <v>78</v>
      </c>
      <c r="D2028" t="s">
        <v>83</v>
      </c>
      <c r="E2028" t="s">
        <v>16</v>
      </c>
      <c r="F2028" t="s">
        <v>17</v>
      </c>
      <c r="G2028" t="s">
        <v>18</v>
      </c>
      <c r="H2028" t="s">
        <v>24</v>
      </c>
      <c r="I2028" t="s">
        <v>20</v>
      </c>
      <c r="J2028" s="2">
        <v>200</v>
      </c>
    </row>
    <row r="2029" spans="1:12" ht="19.95" customHeight="1">
      <c r="A2029" t="s">
        <v>2132</v>
      </c>
      <c r="B2029" t="s">
        <v>2099</v>
      </c>
      <c r="C2029" t="s">
        <v>78</v>
      </c>
      <c r="D2029" t="s">
        <v>79</v>
      </c>
      <c r="E2029" t="s">
        <v>16</v>
      </c>
      <c r="F2029" t="s">
        <v>17</v>
      </c>
      <c r="G2029" t="s">
        <v>32</v>
      </c>
      <c r="H2029" t="s">
        <v>19</v>
      </c>
      <c r="I2029" t="s">
        <v>20</v>
      </c>
      <c r="J2029" s="2">
        <v>300</v>
      </c>
    </row>
    <row r="2030" spans="1:12" ht="19.95" customHeight="1">
      <c r="A2030" t="s">
        <v>2133</v>
      </c>
      <c r="B2030" t="s">
        <v>2099</v>
      </c>
      <c r="C2030" t="s">
        <v>78</v>
      </c>
      <c r="D2030" t="s">
        <v>163</v>
      </c>
      <c r="E2030" t="s">
        <v>16</v>
      </c>
      <c r="F2030" t="s">
        <v>17</v>
      </c>
      <c r="G2030" t="s">
        <v>32</v>
      </c>
      <c r="H2030" t="s">
        <v>24</v>
      </c>
      <c r="I2030" t="s">
        <v>20</v>
      </c>
      <c r="J2030" s="2">
        <v>255</v>
      </c>
      <c r="L2030" t="s">
        <v>29</v>
      </c>
    </row>
    <row r="2031" spans="1:12" ht="19.95" customHeight="1">
      <c r="A2031" t="s">
        <v>2134</v>
      </c>
      <c r="B2031" t="s">
        <v>2099</v>
      </c>
      <c r="C2031" t="s">
        <v>78</v>
      </c>
      <c r="D2031" t="s">
        <v>97</v>
      </c>
      <c r="E2031" t="s">
        <v>16</v>
      </c>
      <c r="F2031" t="s">
        <v>35</v>
      </c>
      <c r="G2031" t="s">
        <v>32</v>
      </c>
      <c r="H2031" t="s">
        <v>19</v>
      </c>
      <c r="I2031" t="s">
        <v>20</v>
      </c>
      <c r="J2031" s="2">
        <v>300</v>
      </c>
    </row>
    <row r="2032" spans="1:12" ht="19.95" customHeight="1">
      <c r="A2032" t="s">
        <v>2135</v>
      </c>
      <c r="B2032" t="s">
        <v>2099</v>
      </c>
      <c r="C2032" t="s">
        <v>78</v>
      </c>
      <c r="D2032" t="s">
        <v>87</v>
      </c>
      <c r="E2032" t="s">
        <v>16</v>
      </c>
      <c r="F2032" t="s">
        <v>17</v>
      </c>
      <c r="G2032" t="s">
        <v>23</v>
      </c>
      <c r="H2032" t="s">
        <v>19</v>
      </c>
      <c r="I2032" t="s">
        <v>20</v>
      </c>
      <c r="J2032" s="2">
        <v>120</v>
      </c>
    </row>
    <row r="2033" spans="1:12" ht="19.95" customHeight="1">
      <c r="A2033" t="s">
        <v>2136</v>
      </c>
      <c r="B2033" t="s">
        <v>2099</v>
      </c>
      <c r="C2033" t="s">
        <v>78</v>
      </c>
      <c r="D2033" t="s">
        <v>83</v>
      </c>
      <c r="E2033" t="s">
        <v>16</v>
      </c>
      <c r="F2033" t="s">
        <v>17</v>
      </c>
      <c r="G2033" t="s">
        <v>23</v>
      </c>
      <c r="H2033" t="s">
        <v>19</v>
      </c>
      <c r="I2033" t="s">
        <v>20</v>
      </c>
      <c r="J2033" s="2">
        <v>90</v>
      </c>
      <c r="L2033" t="s">
        <v>29</v>
      </c>
    </row>
    <row r="2034" spans="1:12" ht="19.95" customHeight="1">
      <c r="A2034" t="s">
        <v>2137</v>
      </c>
      <c r="B2034" t="s">
        <v>2099</v>
      </c>
      <c r="C2034" t="s">
        <v>78</v>
      </c>
      <c r="D2034" t="s">
        <v>242</v>
      </c>
      <c r="E2034" t="s">
        <v>16</v>
      </c>
      <c r="F2034" t="s">
        <v>35</v>
      </c>
      <c r="G2034" t="s">
        <v>18</v>
      </c>
      <c r="H2034" t="s">
        <v>19</v>
      </c>
      <c r="I2034" t="s">
        <v>20</v>
      </c>
      <c r="J2034" s="2">
        <v>200</v>
      </c>
    </row>
    <row r="2035" spans="1:12" ht="19.95" customHeight="1">
      <c r="A2035" t="s">
        <v>2138</v>
      </c>
      <c r="B2035" t="s">
        <v>2099</v>
      </c>
      <c r="C2035" t="s">
        <v>78</v>
      </c>
      <c r="D2035" t="s">
        <v>102</v>
      </c>
      <c r="E2035" t="s">
        <v>16</v>
      </c>
      <c r="F2035" t="s">
        <v>35</v>
      </c>
      <c r="G2035" t="s">
        <v>32</v>
      </c>
      <c r="H2035" t="s">
        <v>19</v>
      </c>
      <c r="I2035" t="s">
        <v>53</v>
      </c>
      <c r="J2035" s="2">
        <v>225</v>
      </c>
      <c r="L2035" t="s">
        <v>29</v>
      </c>
    </row>
    <row r="2036" spans="1:12" ht="19.95" customHeight="1">
      <c r="A2036" t="s">
        <v>2139</v>
      </c>
      <c r="B2036" t="s">
        <v>2099</v>
      </c>
      <c r="C2036" t="s">
        <v>78</v>
      </c>
      <c r="D2036" t="s">
        <v>163</v>
      </c>
      <c r="E2036" t="s">
        <v>16</v>
      </c>
      <c r="F2036" t="s">
        <v>17</v>
      </c>
      <c r="G2036" t="s">
        <v>32</v>
      </c>
      <c r="H2036" t="s">
        <v>19</v>
      </c>
      <c r="I2036" t="s">
        <v>20</v>
      </c>
      <c r="J2036" s="2">
        <v>300</v>
      </c>
    </row>
    <row r="2037" spans="1:12" ht="19.95" customHeight="1">
      <c r="A2037" t="s">
        <v>2140</v>
      </c>
      <c r="B2037" t="s">
        <v>2099</v>
      </c>
      <c r="C2037" t="s">
        <v>78</v>
      </c>
      <c r="D2037" t="s">
        <v>93</v>
      </c>
      <c r="E2037" t="s">
        <v>16</v>
      </c>
      <c r="F2037" t="s">
        <v>17</v>
      </c>
      <c r="G2037" t="s">
        <v>23</v>
      </c>
      <c r="H2037" t="s">
        <v>19</v>
      </c>
      <c r="I2037" t="s">
        <v>20</v>
      </c>
      <c r="J2037" s="2">
        <v>90</v>
      </c>
      <c r="L2037" t="s">
        <v>29</v>
      </c>
    </row>
    <row r="2038" spans="1:12" ht="19.95" customHeight="1">
      <c r="A2038" t="s">
        <v>2141</v>
      </c>
      <c r="B2038" t="s">
        <v>2099</v>
      </c>
      <c r="C2038" t="s">
        <v>78</v>
      </c>
      <c r="D2038" t="s">
        <v>79</v>
      </c>
      <c r="E2038" t="s">
        <v>16</v>
      </c>
      <c r="F2038" t="s">
        <v>35</v>
      </c>
      <c r="G2038" t="s">
        <v>32</v>
      </c>
      <c r="H2038" t="s">
        <v>19</v>
      </c>
      <c r="I2038" t="s">
        <v>20</v>
      </c>
      <c r="J2038" s="2">
        <v>300</v>
      </c>
    </row>
    <row r="2039" spans="1:12" ht="19.95" customHeight="1">
      <c r="A2039" t="s">
        <v>2142</v>
      </c>
      <c r="B2039" t="s">
        <v>2099</v>
      </c>
      <c r="C2039" t="s">
        <v>78</v>
      </c>
      <c r="D2039" t="s">
        <v>85</v>
      </c>
      <c r="E2039" t="s">
        <v>16</v>
      </c>
      <c r="F2039" t="s">
        <v>17</v>
      </c>
      <c r="G2039" t="s">
        <v>18</v>
      </c>
      <c r="H2039" t="s">
        <v>24</v>
      </c>
      <c r="I2039" t="s">
        <v>74</v>
      </c>
      <c r="J2039" s="2">
        <v>200</v>
      </c>
    </row>
    <row r="2040" spans="1:12" ht="19.95" customHeight="1">
      <c r="A2040" t="s">
        <v>2143</v>
      </c>
      <c r="B2040" t="s">
        <v>2099</v>
      </c>
      <c r="C2040" t="s">
        <v>78</v>
      </c>
      <c r="D2040" t="s">
        <v>81</v>
      </c>
      <c r="E2040" t="s">
        <v>16</v>
      </c>
      <c r="F2040" t="s">
        <v>17</v>
      </c>
      <c r="G2040" t="s">
        <v>23</v>
      </c>
      <c r="H2040" t="s">
        <v>19</v>
      </c>
      <c r="I2040" t="s">
        <v>20</v>
      </c>
      <c r="J2040" s="2">
        <v>102</v>
      </c>
      <c r="L2040" t="s">
        <v>29</v>
      </c>
    </row>
    <row r="2041" spans="1:12" ht="19.95" customHeight="1">
      <c r="A2041" t="s">
        <v>2144</v>
      </c>
      <c r="B2041" t="s">
        <v>2099</v>
      </c>
      <c r="C2041" t="s">
        <v>78</v>
      </c>
      <c r="D2041" t="s">
        <v>163</v>
      </c>
      <c r="E2041" t="s">
        <v>16</v>
      </c>
      <c r="F2041" t="s">
        <v>35</v>
      </c>
      <c r="G2041" t="s">
        <v>18</v>
      </c>
      <c r="H2041" t="s">
        <v>19</v>
      </c>
      <c r="I2041" t="s">
        <v>20</v>
      </c>
      <c r="J2041" s="2">
        <v>200</v>
      </c>
    </row>
    <row r="2042" spans="1:12" ht="19.95" customHeight="1">
      <c r="A2042" t="s">
        <v>2145</v>
      </c>
      <c r="B2042" t="s">
        <v>2099</v>
      </c>
      <c r="C2042" t="s">
        <v>105</v>
      </c>
      <c r="D2042" t="s">
        <v>116</v>
      </c>
      <c r="E2042" t="s">
        <v>16</v>
      </c>
      <c r="F2042" t="s">
        <v>17</v>
      </c>
      <c r="G2042" t="s">
        <v>23</v>
      </c>
      <c r="H2042" t="s">
        <v>19</v>
      </c>
      <c r="I2042" t="s">
        <v>20</v>
      </c>
      <c r="J2042" s="2">
        <v>120</v>
      </c>
    </row>
    <row r="2043" spans="1:12" ht="19.95" customHeight="1">
      <c r="A2043" t="s">
        <v>2146</v>
      </c>
      <c r="B2043" t="s">
        <v>2099</v>
      </c>
      <c r="C2043" t="s">
        <v>105</v>
      </c>
      <c r="D2043" t="s">
        <v>120</v>
      </c>
      <c r="E2043" t="s">
        <v>16</v>
      </c>
      <c r="F2043" t="s">
        <v>17</v>
      </c>
      <c r="G2043" t="s">
        <v>18</v>
      </c>
      <c r="H2043" t="s">
        <v>24</v>
      </c>
      <c r="I2043" t="s">
        <v>20</v>
      </c>
      <c r="J2043" s="2">
        <v>200</v>
      </c>
    </row>
    <row r="2044" spans="1:12" ht="19.95" customHeight="1">
      <c r="A2044" t="s">
        <v>2147</v>
      </c>
      <c r="B2044" t="s">
        <v>2099</v>
      </c>
      <c r="C2044" t="s">
        <v>105</v>
      </c>
      <c r="D2044" t="s">
        <v>182</v>
      </c>
      <c r="E2044" t="s">
        <v>16</v>
      </c>
      <c r="F2044" t="s">
        <v>35</v>
      </c>
      <c r="G2044" t="s">
        <v>23</v>
      </c>
      <c r="H2044" t="s">
        <v>19</v>
      </c>
      <c r="I2044" t="s">
        <v>20</v>
      </c>
      <c r="J2044" s="2">
        <v>120</v>
      </c>
    </row>
    <row r="2045" spans="1:12" ht="19.95" customHeight="1">
      <c r="A2045" t="s">
        <v>2148</v>
      </c>
      <c r="B2045" t="s">
        <v>2099</v>
      </c>
      <c r="C2045" t="s">
        <v>105</v>
      </c>
      <c r="D2045" t="s">
        <v>118</v>
      </c>
      <c r="E2045" t="s">
        <v>16</v>
      </c>
      <c r="F2045" t="s">
        <v>17</v>
      </c>
      <c r="G2045" t="s">
        <v>23</v>
      </c>
      <c r="H2045" t="s">
        <v>19</v>
      </c>
      <c r="I2045" t="s">
        <v>20</v>
      </c>
      <c r="J2045" s="2">
        <v>120</v>
      </c>
    </row>
    <row r="2046" spans="1:12" ht="19.95" customHeight="1">
      <c r="A2046" t="s">
        <v>2149</v>
      </c>
      <c r="B2046" t="s">
        <v>2099</v>
      </c>
      <c r="C2046" t="s">
        <v>105</v>
      </c>
      <c r="D2046" t="s">
        <v>265</v>
      </c>
      <c r="E2046" t="s">
        <v>16</v>
      </c>
      <c r="F2046" t="s">
        <v>17</v>
      </c>
      <c r="G2046" t="s">
        <v>18</v>
      </c>
      <c r="H2046" t="s">
        <v>19</v>
      </c>
      <c r="I2046" t="s">
        <v>20</v>
      </c>
      <c r="J2046" s="2">
        <v>200</v>
      </c>
    </row>
    <row r="2047" spans="1:12" ht="19.95" customHeight="1">
      <c r="A2047" t="s">
        <v>2150</v>
      </c>
      <c r="B2047" t="s">
        <v>2099</v>
      </c>
      <c r="C2047" t="s">
        <v>105</v>
      </c>
      <c r="D2047" t="s">
        <v>194</v>
      </c>
      <c r="E2047" t="s">
        <v>16</v>
      </c>
      <c r="F2047" t="s">
        <v>17</v>
      </c>
      <c r="G2047" t="s">
        <v>18</v>
      </c>
      <c r="H2047" t="s">
        <v>24</v>
      </c>
      <c r="I2047" t="s">
        <v>20</v>
      </c>
      <c r="J2047" s="2">
        <v>150</v>
      </c>
      <c r="L2047" t="s">
        <v>29</v>
      </c>
    </row>
    <row r="2048" spans="1:12" ht="19.95" customHeight="1">
      <c r="A2048" t="s">
        <v>2151</v>
      </c>
      <c r="B2048" t="s">
        <v>2099</v>
      </c>
      <c r="C2048" t="s">
        <v>105</v>
      </c>
      <c r="D2048" t="s">
        <v>187</v>
      </c>
      <c r="E2048" t="s">
        <v>16</v>
      </c>
      <c r="F2048" t="s">
        <v>17</v>
      </c>
      <c r="G2048" t="s">
        <v>32</v>
      </c>
      <c r="H2048" t="s">
        <v>19</v>
      </c>
      <c r="I2048" t="s">
        <v>74</v>
      </c>
      <c r="J2048" s="2">
        <v>300</v>
      </c>
    </row>
    <row r="2049" spans="1:12" ht="19.95" customHeight="1">
      <c r="A2049" t="s">
        <v>2152</v>
      </c>
      <c r="B2049" t="s">
        <v>2099</v>
      </c>
      <c r="C2049" t="s">
        <v>105</v>
      </c>
      <c r="D2049" t="s">
        <v>265</v>
      </c>
      <c r="E2049" t="s">
        <v>16</v>
      </c>
      <c r="F2049" t="s">
        <v>17</v>
      </c>
      <c r="G2049" t="s">
        <v>32</v>
      </c>
      <c r="H2049" t="s">
        <v>24</v>
      </c>
      <c r="I2049" t="s">
        <v>20</v>
      </c>
      <c r="J2049" s="2">
        <v>300</v>
      </c>
    </row>
    <row r="2050" spans="1:12" ht="19.95" customHeight="1">
      <c r="A2050" t="s">
        <v>2153</v>
      </c>
      <c r="B2050" t="s">
        <v>2099</v>
      </c>
      <c r="C2050" t="s">
        <v>105</v>
      </c>
      <c r="D2050" t="s">
        <v>118</v>
      </c>
      <c r="E2050" t="s">
        <v>16</v>
      </c>
      <c r="F2050" t="s">
        <v>17</v>
      </c>
      <c r="G2050" t="s">
        <v>18</v>
      </c>
      <c r="H2050" t="s">
        <v>19</v>
      </c>
      <c r="I2050" t="s">
        <v>20</v>
      </c>
      <c r="J2050" s="2">
        <v>200</v>
      </c>
    </row>
    <row r="2051" spans="1:12" ht="19.95" customHeight="1">
      <c r="A2051" t="s">
        <v>2154</v>
      </c>
      <c r="B2051" t="s">
        <v>2099</v>
      </c>
      <c r="C2051" t="s">
        <v>105</v>
      </c>
      <c r="D2051" t="s">
        <v>116</v>
      </c>
      <c r="E2051" t="s">
        <v>16</v>
      </c>
      <c r="F2051" t="s">
        <v>17</v>
      </c>
      <c r="G2051" t="s">
        <v>18</v>
      </c>
      <c r="H2051" t="s">
        <v>19</v>
      </c>
      <c r="I2051" t="s">
        <v>20</v>
      </c>
      <c r="J2051" s="2">
        <v>200</v>
      </c>
    </row>
    <row r="2052" spans="1:12" ht="19.95" customHeight="1">
      <c r="A2052" t="s">
        <v>2155</v>
      </c>
      <c r="B2052" t="s">
        <v>2099</v>
      </c>
      <c r="C2052" t="s">
        <v>105</v>
      </c>
      <c r="D2052" t="s">
        <v>116</v>
      </c>
      <c r="E2052" t="s">
        <v>16</v>
      </c>
      <c r="F2052" t="s">
        <v>17</v>
      </c>
      <c r="G2052" t="s">
        <v>32</v>
      </c>
      <c r="H2052" t="s">
        <v>19</v>
      </c>
      <c r="I2052" t="s">
        <v>20</v>
      </c>
      <c r="J2052" s="2">
        <v>255</v>
      </c>
      <c r="L2052" t="s">
        <v>29</v>
      </c>
    </row>
    <row r="2053" spans="1:12" ht="19.95" customHeight="1">
      <c r="A2053" t="s">
        <v>2156</v>
      </c>
      <c r="B2053" t="s">
        <v>2099</v>
      </c>
      <c r="C2053" t="s">
        <v>105</v>
      </c>
      <c r="D2053" t="s">
        <v>120</v>
      </c>
      <c r="E2053" t="s">
        <v>16</v>
      </c>
      <c r="F2053" t="s">
        <v>17</v>
      </c>
      <c r="G2053" t="s">
        <v>18</v>
      </c>
      <c r="H2053" t="s">
        <v>19</v>
      </c>
      <c r="I2053" t="s">
        <v>20</v>
      </c>
      <c r="J2053" s="2">
        <v>200</v>
      </c>
    </row>
    <row r="2054" spans="1:12" ht="19.95" customHeight="1">
      <c r="A2054" t="s">
        <v>2157</v>
      </c>
      <c r="B2054" t="s">
        <v>2099</v>
      </c>
      <c r="C2054" t="s">
        <v>105</v>
      </c>
      <c r="D2054" t="s">
        <v>110</v>
      </c>
      <c r="E2054" t="s">
        <v>16</v>
      </c>
      <c r="F2054" t="s">
        <v>17</v>
      </c>
      <c r="G2054" t="s">
        <v>23</v>
      </c>
      <c r="H2054" t="s">
        <v>24</v>
      </c>
      <c r="I2054" t="s">
        <v>20</v>
      </c>
      <c r="J2054" s="2">
        <v>120</v>
      </c>
    </row>
    <row r="2055" spans="1:12" ht="19.95" customHeight="1">
      <c r="A2055" t="s">
        <v>2158</v>
      </c>
      <c r="B2055" t="s">
        <v>2099</v>
      </c>
      <c r="C2055" t="s">
        <v>47</v>
      </c>
      <c r="D2055" t="s">
        <v>152</v>
      </c>
      <c r="E2055" t="s">
        <v>402</v>
      </c>
      <c r="F2055" t="s">
        <v>35</v>
      </c>
      <c r="G2055" t="s">
        <v>32</v>
      </c>
      <c r="H2055" t="s">
        <v>19</v>
      </c>
      <c r="I2055" t="s">
        <v>20</v>
      </c>
      <c r="J2055" s="2">
        <v>300</v>
      </c>
      <c r="K2055" t="s">
        <v>1589</v>
      </c>
    </row>
    <row r="2056" spans="1:12" ht="19.95" customHeight="1">
      <c r="A2056" t="s">
        <v>2159</v>
      </c>
      <c r="B2056" t="s">
        <v>2099</v>
      </c>
      <c r="C2056" t="s">
        <v>14</v>
      </c>
      <c r="D2056" t="s">
        <v>28</v>
      </c>
      <c r="E2056" t="s">
        <v>402</v>
      </c>
      <c r="F2056" t="s">
        <v>35</v>
      </c>
      <c r="G2056" t="s">
        <v>32</v>
      </c>
      <c r="H2056" t="s">
        <v>19</v>
      </c>
      <c r="I2056" t="s">
        <v>20</v>
      </c>
      <c r="J2056" s="2">
        <v>300</v>
      </c>
      <c r="K2056" t="s">
        <v>1641</v>
      </c>
    </row>
    <row r="2057" spans="1:12" ht="19.95" customHeight="1">
      <c r="A2057" t="s">
        <v>2160</v>
      </c>
      <c r="B2057" t="s">
        <v>2099</v>
      </c>
      <c r="C2057" t="s">
        <v>14</v>
      </c>
      <c r="D2057" t="s">
        <v>28</v>
      </c>
      <c r="E2057" t="s">
        <v>402</v>
      </c>
      <c r="F2057" t="s">
        <v>17</v>
      </c>
      <c r="G2057" t="s">
        <v>18</v>
      </c>
      <c r="H2057" t="s">
        <v>19</v>
      </c>
      <c r="I2057" t="s">
        <v>20</v>
      </c>
      <c r="J2057" s="2">
        <v>200</v>
      </c>
      <c r="K2057" t="s">
        <v>72</v>
      </c>
    </row>
    <row r="2058" spans="1:12" ht="19.95" customHeight="1">
      <c r="A2058" t="s">
        <v>2161</v>
      </c>
      <c r="B2058" t="s">
        <v>2162</v>
      </c>
      <c r="C2058" t="s">
        <v>14</v>
      </c>
      <c r="D2058" t="s">
        <v>15</v>
      </c>
      <c r="E2058" t="s">
        <v>16</v>
      </c>
      <c r="F2058" t="s">
        <v>35</v>
      </c>
      <c r="G2058" t="s">
        <v>18</v>
      </c>
      <c r="H2058" t="s">
        <v>19</v>
      </c>
      <c r="I2058" t="s">
        <v>20</v>
      </c>
      <c r="J2058" s="2">
        <v>200</v>
      </c>
    </row>
    <row r="2059" spans="1:12" ht="19.95" customHeight="1">
      <c r="A2059" t="s">
        <v>2163</v>
      </c>
      <c r="B2059" t="s">
        <v>2162</v>
      </c>
      <c r="C2059" t="s">
        <v>14</v>
      </c>
      <c r="D2059" t="s">
        <v>34</v>
      </c>
      <c r="E2059" t="s">
        <v>16</v>
      </c>
      <c r="F2059" t="s">
        <v>17</v>
      </c>
      <c r="G2059" t="s">
        <v>18</v>
      </c>
      <c r="H2059" t="s">
        <v>19</v>
      </c>
      <c r="I2059" t="s">
        <v>20</v>
      </c>
      <c r="J2059" s="2">
        <v>170</v>
      </c>
      <c r="L2059" t="s">
        <v>29</v>
      </c>
    </row>
    <row r="2060" spans="1:12" ht="19.95" customHeight="1">
      <c r="A2060" t="s">
        <v>2164</v>
      </c>
      <c r="B2060" t="s">
        <v>2162</v>
      </c>
      <c r="C2060" t="s">
        <v>14</v>
      </c>
      <c r="D2060" t="s">
        <v>131</v>
      </c>
      <c r="E2060" t="s">
        <v>16</v>
      </c>
      <c r="F2060" t="s">
        <v>17</v>
      </c>
      <c r="G2060" t="s">
        <v>32</v>
      </c>
      <c r="H2060" t="s">
        <v>19</v>
      </c>
      <c r="I2060" t="s">
        <v>20</v>
      </c>
      <c r="J2060" s="2">
        <v>255</v>
      </c>
      <c r="L2060" t="s">
        <v>29</v>
      </c>
    </row>
    <row r="2061" spans="1:12" ht="19.95" customHeight="1">
      <c r="A2061" t="s">
        <v>2165</v>
      </c>
      <c r="B2061" t="s">
        <v>2162</v>
      </c>
      <c r="C2061" t="s">
        <v>14</v>
      </c>
      <c r="D2061" t="s">
        <v>22</v>
      </c>
      <c r="E2061" t="s">
        <v>16</v>
      </c>
      <c r="F2061" t="s">
        <v>17</v>
      </c>
      <c r="G2061" t="s">
        <v>18</v>
      </c>
      <c r="H2061" t="s">
        <v>24</v>
      </c>
      <c r="I2061" t="s">
        <v>20</v>
      </c>
      <c r="J2061" s="2">
        <v>200</v>
      </c>
    </row>
    <row r="2062" spans="1:12" ht="19.95" customHeight="1">
      <c r="A2062" t="s">
        <v>2166</v>
      </c>
      <c r="B2062" t="s">
        <v>2162</v>
      </c>
      <c r="C2062" t="s">
        <v>14</v>
      </c>
      <c r="D2062" t="s">
        <v>42</v>
      </c>
      <c r="E2062" t="s">
        <v>16</v>
      </c>
      <c r="F2062" t="s">
        <v>17</v>
      </c>
      <c r="G2062" t="s">
        <v>18</v>
      </c>
      <c r="H2062" t="s">
        <v>19</v>
      </c>
      <c r="I2062" t="s">
        <v>20</v>
      </c>
      <c r="J2062" s="2">
        <v>200</v>
      </c>
    </row>
    <row r="2063" spans="1:12" ht="19.95" customHeight="1">
      <c r="A2063" t="s">
        <v>2167</v>
      </c>
      <c r="B2063" t="s">
        <v>2162</v>
      </c>
      <c r="C2063" t="s">
        <v>14</v>
      </c>
      <c r="D2063" t="s">
        <v>210</v>
      </c>
      <c r="E2063" t="s">
        <v>16</v>
      </c>
      <c r="F2063" t="s">
        <v>17</v>
      </c>
      <c r="G2063" t="s">
        <v>18</v>
      </c>
      <c r="H2063" t="s">
        <v>19</v>
      </c>
      <c r="I2063" t="s">
        <v>20</v>
      </c>
      <c r="J2063" s="2">
        <v>200</v>
      </c>
    </row>
    <row r="2064" spans="1:12" ht="19.95" customHeight="1">
      <c r="A2064" t="s">
        <v>2168</v>
      </c>
      <c r="B2064" t="s">
        <v>2162</v>
      </c>
      <c r="C2064" t="s">
        <v>14</v>
      </c>
      <c r="D2064" t="s">
        <v>34</v>
      </c>
      <c r="E2064" t="s">
        <v>16</v>
      </c>
      <c r="F2064" t="s">
        <v>17</v>
      </c>
      <c r="G2064" t="s">
        <v>23</v>
      </c>
      <c r="H2064" t="s">
        <v>19</v>
      </c>
      <c r="I2064" t="s">
        <v>53</v>
      </c>
      <c r="J2064" s="2">
        <v>90</v>
      </c>
      <c r="L2064" t="s">
        <v>29</v>
      </c>
    </row>
    <row r="2065" spans="1:12" ht="19.95" customHeight="1">
      <c r="A2065" t="s">
        <v>2169</v>
      </c>
      <c r="B2065" t="s">
        <v>2162</v>
      </c>
      <c r="C2065" t="s">
        <v>14</v>
      </c>
      <c r="D2065" t="s">
        <v>137</v>
      </c>
      <c r="E2065" t="s">
        <v>16</v>
      </c>
      <c r="F2065" t="s">
        <v>17</v>
      </c>
      <c r="G2065" t="s">
        <v>18</v>
      </c>
      <c r="H2065" t="s">
        <v>19</v>
      </c>
      <c r="I2065" t="s">
        <v>20</v>
      </c>
      <c r="J2065" s="2">
        <v>200</v>
      </c>
    </row>
    <row r="2066" spans="1:12" ht="19.95" customHeight="1">
      <c r="A2066" t="s">
        <v>2170</v>
      </c>
      <c r="B2066" t="s">
        <v>2162</v>
      </c>
      <c r="C2066" t="s">
        <v>14</v>
      </c>
      <c r="D2066" t="s">
        <v>137</v>
      </c>
      <c r="E2066" t="s">
        <v>16</v>
      </c>
      <c r="F2066" t="s">
        <v>17</v>
      </c>
      <c r="G2066" t="s">
        <v>23</v>
      </c>
      <c r="H2066" t="s">
        <v>19</v>
      </c>
      <c r="I2066" t="s">
        <v>20</v>
      </c>
      <c r="J2066" s="2">
        <v>90</v>
      </c>
      <c r="L2066" t="s">
        <v>29</v>
      </c>
    </row>
    <row r="2067" spans="1:12" ht="19.95" customHeight="1">
      <c r="A2067" t="s">
        <v>2171</v>
      </c>
      <c r="B2067" t="s">
        <v>2162</v>
      </c>
      <c r="C2067" t="s">
        <v>14</v>
      </c>
      <c r="D2067" t="s">
        <v>37</v>
      </c>
      <c r="E2067" t="s">
        <v>16</v>
      </c>
      <c r="F2067" t="s">
        <v>17</v>
      </c>
      <c r="G2067" t="s">
        <v>18</v>
      </c>
      <c r="H2067" t="s">
        <v>24</v>
      </c>
      <c r="I2067" t="s">
        <v>20</v>
      </c>
      <c r="J2067" s="2">
        <v>200</v>
      </c>
    </row>
    <row r="2068" spans="1:12" ht="19.95" customHeight="1">
      <c r="A2068" t="s">
        <v>2172</v>
      </c>
      <c r="B2068" t="s">
        <v>2162</v>
      </c>
      <c r="C2068" t="s">
        <v>14</v>
      </c>
      <c r="D2068" t="s">
        <v>40</v>
      </c>
      <c r="E2068" t="s">
        <v>16</v>
      </c>
      <c r="F2068" t="s">
        <v>17</v>
      </c>
      <c r="G2068" t="s">
        <v>23</v>
      </c>
      <c r="H2068" t="s">
        <v>19</v>
      </c>
      <c r="I2068" t="s">
        <v>20</v>
      </c>
      <c r="J2068" s="2">
        <v>102</v>
      </c>
      <c r="L2068" t="s">
        <v>29</v>
      </c>
    </row>
    <row r="2069" spans="1:12" ht="19.95" customHeight="1">
      <c r="A2069" t="s">
        <v>2173</v>
      </c>
      <c r="B2069" t="s">
        <v>2162</v>
      </c>
      <c r="C2069" t="s">
        <v>14</v>
      </c>
      <c r="D2069" t="s">
        <v>26</v>
      </c>
      <c r="E2069" t="s">
        <v>16</v>
      </c>
      <c r="F2069" t="s">
        <v>17</v>
      </c>
      <c r="G2069" t="s">
        <v>32</v>
      </c>
      <c r="H2069" t="s">
        <v>24</v>
      </c>
      <c r="I2069" t="s">
        <v>20</v>
      </c>
      <c r="J2069" s="2">
        <v>300</v>
      </c>
    </row>
    <row r="2070" spans="1:12" ht="19.95" customHeight="1">
      <c r="A2070" t="s">
        <v>2174</v>
      </c>
      <c r="B2070" t="s">
        <v>2162</v>
      </c>
      <c r="C2070" t="s">
        <v>14</v>
      </c>
      <c r="D2070" t="s">
        <v>40</v>
      </c>
      <c r="E2070" t="s">
        <v>16</v>
      </c>
      <c r="F2070" t="s">
        <v>17</v>
      </c>
      <c r="G2070" t="s">
        <v>32</v>
      </c>
      <c r="H2070" t="s">
        <v>19</v>
      </c>
      <c r="I2070" t="s">
        <v>20</v>
      </c>
      <c r="J2070" s="2">
        <v>300</v>
      </c>
    </row>
    <row r="2071" spans="1:12" ht="19.95" customHeight="1">
      <c r="A2071" t="s">
        <v>2175</v>
      </c>
      <c r="B2071" t="s">
        <v>2162</v>
      </c>
      <c r="C2071" t="s">
        <v>14</v>
      </c>
      <c r="D2071" t="s">
        <v>37</v>
      </c>
      <c r="E2071" t="s">
        <v>16</v>
      </c>
      <c r="F2071" t="s">
        <v>35</v>
      </c>
      <c r="G2071" t="s">
        <v>32</v>
      </c>
      <c r="H2071" t="s">
        <v>19</v>
      </c>
      <c r="I2071" t="s">
        <v>20</v>
      </c>
      <c r="J2071" s="2">
        <v>300</v>
      </c>
    </row>
    <row r="2072" spans="1:12" ht="19.95" customHeight="1">
      <c r="A2072" t="s">
        <v>2176</v>
      </c>
      <c r="B2072" t="s">
        <v>2162</v>
      </c>
      <c r="C2072" t="s">
        <v>14</v>
      </c>
      <c r="D2072" t="s">
        <v>137</v>
      </c>
      <c r="E2072" t="s">
        <v>16</v>
      </c>
      <c r="F2072" t="s">
        <v>35</v>
      </c>
      <c r="G2072" t="s">
        <v>23</v>
      </c>
      <c r="H2072" t="s">
        <v>19</v>
      </c>
      <c r="I2072" t="s">
        <v>20</v>
      </c>
      <c r="J2072" s="2">
        <v>120</v>
      </c>
    </row>
    <row r="2073" spans="1:12" ht="19.95" customHeight="1">
      <c r="A2073" t="s">
        <v>2177</v>
      </c>
      <c r="B2073" t="s">
        <v>2162</v>
      </c>
      <c r="C2073" t="s">
        <v>14</v>
      </c>
      <c r="D2073" t="s">
        <v>131</v>
      </c>
      <c r="E2073" t="s">
        <v>16</v>
      </c>
      <c r="F2073" t="s">
        <v>17</v>
      </c>
      <c r="G2073" t="s">
        <v>32</v>
      </c>
      <c r="H2073" t="s">
        <v>24</v>
      </c>
      <c r="I2073" t="s">
        <v>20</v>
      </c>
      <c r="J2073" s="2">
        <v>300</v>
      </c>
    </row>
    <row r="2074" spans="1:12" ht="19.95" customHeight="1">
      <c r="A2074" t="s">
        <v>2178</v>
      </c>
      <c r="B2074" t="s">
        <v>2162</v>
      </c>
      <c r="C2074" t="s">
        <v>14</v>
      </c>
      <c r="D2074" t="s">
        <v>34</v>
      </c>
      <c r="E2074" t="s">
        <v>16</v>
      </c>
      <c r="F2074" t="s">
        <v>17</v>
      </c>
      <c r="G2074" t="s">
        <v>32</v>
      </c>
      <c r="H2074" t="s">
        <v>19</v>
      </c>
      <c r="I2074" t="s">
        <v>20</v>
      </c>
      <c r="J2074" s="2">
        <v>225</v>
      </c>
      <c r="L2074" t="s">
        <v>29</v>
      </c>
    </row>
    <row r="2075" spans="1:12" ht="19.95" customHeight="1">
      <c r="A2075" t="s">
        <v>2179</v>
      </c>
      <c r="B2075" t="s">
        <v>2162</v>
      </c>
      <c r="C2075" t="s">
        <v>47</v>
      </c>
      <c r="D2075" t="s">
        <v>59</v>
      </c>
      <c r="E2075" t="s">
        <v>16</v>
      </c>
      <c r="F2075" t="s">
        <v>17</v>
      </c>
      <c r="G2075" t="s">
        <v>32</v>
      </c>
      <c r="H2075" t="s">
        <v>19</v>
      </c>
      <c r="I2075" t="s">
        <v>20</v>
      </c>
      <c r="J2075" s="2">
        <v>300</v>
      </c>
    </row>
    <row r="2076" spans="1:12" ht="19.95" customHeight="1">
      <c r="A2076" t="s">
        <v>2180</v>
      </c>
      <c r="B2076" t="s">
        <v>2162</v>
      </c>
      <c r="C2076" t="s">
        <v>47</v>
      </c>
      <c r="D2076" t="s">
        <v>71</v>
      </c>
      <c r="E2076" t="s">
        <v>16</v>
      </c>
      <c r="F2076" t="s">
        <v>17</v>
      </c>
      <c r="G2076" t="s">
        <v>18</v>
      </c>
      <c r="H2076" t="s">
        <v>19</v>
      </c>
      <c r="I2076" t="s">
        <v>20</v>
      </c>
      <c r="J2076" s="2">
        <v>200</v>
      </c>
    </row>
    <row r="2077" spans="1:12" ht="19.95" customHeight="1">
      <c r="A2077" t="s">
        <v>2181</v>
      </c>
      <c r="B2077" t="s">
        <v>2162</v>
      </c>
      <c r="C2077" t="s">
        <v>47</v>
      </c>
      <c r="D2077" t="s">
        <v>148</v>
      </c>
      <c r="E2077" t="s">
        <v>16</v>
      </c>
      <c r="F2077" t="s">
        <v>17</v>
      </c>
      <c r="G2077" t="s">
        <v>18</v>
      </c>
      <c r="H2077" t="s">
        <v>19</v>
      </c>
      <c r="I2077" t="s">
        <v>20</v>
      </c>
      <c r="J2077" s="2">
        <v>200</v>
      </c>
    </row>
    <row r="2078" spans="1:12" ht="19.95" customHeight="1">
      <c r="A2078" t="s">
        <v>2182</v>
      </c>
      <c r="B2078" t="s">
        <v>2162</v>
      </c>
      <c r="C2078" t="s">
        <v>47</v>
      </c>
      <c r="D2078" t="s">
        <v>66</v>
      </c>
      <c r="E2078" t="s">
        <v>16</v>
      </c>
      <c r="F2078" t="s">
        <v>17</v>
      </c>
      <c r="G2078" t="s">
        <v>18</v>
      </c>
      <c r="H2078" t="s">
        <v>19</v>
      </c>
      <c r="I2078" t="s">
        <v>20</v>
      </c>
      <c r="J2078" s="2">
        <v>200</v>
      </c>
    </row>
    <row r="2079" spans="1:12" ht="19.95" customHeight="1">
      <c r="A2079" t="s">
        <v>2183</v>
      </c>
      <c r="B2079" t="s">
        <v>2162</v>
      </c>
      <c r="C2079" t="s">
        <v>47</v>
      </c>
      <c r="D2079" t="s">
        <v>62</v>
      </c>
      <c r="E2079" t="s">
        <v>16</v>
      </c>
      <c r="F2079" t="s">
        <v>17</v>
      </c>
      <c r="G2079" t="s">
        <v>32</v>
      </c>
      <c r="H2079" t="s">
        <v>19</v>
      </c>
      <c r="I2079" t="s">
        <v>20</v>
      </c>
      <c r="J2079" s="2">
        <v>300</v>
      </c>
    </row>
    <row r="2080" spans="1:12" ht="19.95" customHeight="1">
      <c r="A2080" t="s">
        <v>2184</v>
      </c>
      <c r="B2080" t="s">
        <v>2162</v>
      </c>
      <c r="C2080" t="s">
        <v>47</v>
      </c>
      <c r="D2080" t="s">
        <v>62</v>
      </c>
      <c r="E2080" t="s">
        <v>16</v>
      </c>
      <c r="F2080" t="s">
        <v>17</v>
      </c>
      <c r="G2080" t="s">
        <v>23</v>
      </c>
      <c r="H2080" t="s">
        <v>19</v>
      </c>
      <c r="I2080" t="s">
        <v>20</v>
      </c>
      <c r="J2080" s="2">
        <v>120</v>
      </c>
    </row>
    <row r="2081" spans="1:12" ht="19.95" customHeight="1">
      <c r="A2081" t="s">
        <v>2185</v>
      </c>
      <c r="B2081" t="s">
        <v>2162</v>
      </c>
      <c r="C2081" t="s">
        <v>47</v>
      </c>
      <c r="D2081" t="s">
        <v>152</v>
      </c>
      <c r="E2081" t="s">
        <v>16</v>
      </c>
      <c r="F2081" t="s">
        <v>35</v>
      </c>
      <c r="G2081" t="s">
        <v>18</v>
      </c>
      <c r="H2081" t="s">
        <v>19</v>
      </c>
      <c r="I2081" t="s">
        <v>20</v>
      </c>
      <c r="J2081" s="2">
        <v>200</v>
      </c>
    </row>
    <row r="2082" spans="1:12" ht="19.95" customHeight="1">
      <c r="A2082" t="s">
        <v>2186</v>
      </c>
      <c r="B2082" t="s">
        <v>2162</v>
      </c>
      <c r="C2082" t="s">
        <v>47</v>
      </c>
      <c r="D2082" t="s">
        <v>62</v>
      </c>
      <c r="E2082" t="s">
        <v>16</v>
      </c>
      <c r="F2082" t="s">
        <v>17</v>
      </c>
      <c r="G2082" t="s">
        <v>32</v>
      </c>
      <c r="H2082" t="s">
        <v>19</v>
      </c>
      <c r="I2082" t="s">
        <v>53</v>
      </c>
      <c r="J2082" s="2">
        <v>300</v>
      </c>
    </row>
    <row r="2083" spans="1:12" ht="19.95" customHeight="1">
      <c r="A2083" t="s">
        <v>2187</v>
      </c>
      <c r="B2083" t="s">
        <v>2162</v>
      </c>
      <c r="C2083" t="s">
        <v>47</v>
      </c>
      <c r="D2083" t="s">
        <v>152</v>
      </c>
      <c r="E2083" t="s">
        <v>16</v>
      </c>
      <c r="F2083" t="s">
        <v>17</v>
      </c>
      <c r="G2083" t="s">
        <v>18</v>
      </c>
      <c r="H2083" t="s">
        <v>19</v>
      </c>
      <c r="I2083" t="s">
        <v>20</v>
      </c>
      <c r="J2083" s="2">
        <v>150</v>
      </c>
      <c r="L2083" t="s">
        <v>29</v>
      </c>
    </row>
    <row r="2084" spans="1:12" ht="19.95" customHeight="1">
      <c r="A2084" t="s">
        <v>2188</v>
      </c>
      <c r="B2084" t="s">
        <v>2162</v>
      </c>
      <c r="C2084" t="s">
        <v>47</v>
      </c>
      <c r="D2084" t="s">
        <v>73</v>
      </c>
      <c r="E2084" t="s">
        <v>16</v>
      </c>
      <c r="F2084" t="s">
        <v>17</v>
      </c>
      <c r="G2084" t="s">
        <v>32</v>
      </c>
      <c r="H2084" t="s">
        <v>19</v>
      </c>
      <c r="I2084" t="s">
        <v>20</v>
      </c>
      <c r="J2084" s="2">
        <v>300</v>
      </c>
    </row>
    <row r="2085" spans="1:12" ht="19.95" customHeight="1">
      <c r="A2085" t="s">
        <v>2189</v>
      </c>
      <c r="B2085" t="s">
        <v>2162</v>
      </c>
      <c r="C2085" t="s">
        <v>47</v>
      </c>
      <c r="D2085" t="s">
        <v>148</v>
      </c>
      <c r="E2085" t="s">
        <v>16</v>
      </c>
      <c r="F2085" t="s">
        <v>35</v>
      </c>
      <c r="G2085" t="s">
        <v>18</v>
      </c>
      <c r="H2085" t="s">
        <v>19</v>
      </c>
      <c r="I2085" t="s">
        <v>20</v>
      </c>
      <c r="J2085" s="2">
        <v>200</v>
      </c>
    </row>
    <row r="2086" spans="1:12" ht="19.95" customHeight="1">
      <c r="A2086" t="s">
        <v>2190</v>
      </c>
      <c r="B2086" t="s">
        <v>2162</v>
      </c>
      <c r="C2086" t="s">
        <v>47</v>
      </c>
      <c r="D2086" t="s">
        <v>50</v>
      </c>
      <c r="E2086" t="s">
        <v>16</v>
      </c>
      <c r="F2086" t="s">
        <v>17</v>
      </c>
      <c r="G2086" t="s">
        <v>32</v>
      </c>
      <c r="H2086" t="s">
        <v>19</v>
      </c>
      <c r="I2086" t="s">
        <v>20</v>
      </c>
      <c r="J2086" s="2">
        <v>255</v>
      </c>
      <c r="L2086" t="s">
        <v>29</v>
      </c>
    </row>
    <row r="2087" spans="1:12" ht="19.95" customHeight="1">
      <c r="A2087" t="s">
        <v>2191</v>
      </c>
      <c r="B2087" t="s">
        <v>2162</v>
      </c>
      <c r="C2087" t="s">
        <v>47</v>
      </c>
      <c r="D2087" t="s">
        <v>71</v>
      </c>
      <c r="E2087" t="s">
        <v>16</v>
      </c>
      <c r="F2087" t="s">
        <v>17</v>
      </c>
      <c r="G2087" t="s">
        <v>32</v>
      </c>
      <c r="H2087" t="s">
        <v>19</v>
      </c>
      <c r="I2087" t="s">
        <v>20</v>
      </c>
      <c r="J2087" s="2">
        <v>300</v>
      </c>
    </row>
    <row r="2088" spans="1:12" ht="19.95" customHeight="1">
      <c r="A2088" t="s">
        <v>2192</v>
      </c>
      <c r="B2088" t="s">
        <v>2162</v>
      </c>
      <c r="C2088" t="s">
        <v>47</v>
      </c>
      <c r="D2088" t="s">
        <v>66</v>
      </c>
      <c r="E2088" t="s">
        <v>16</v>
      </c>
      <c r="F2088" t="s">
        <v>35</v>
      </c>
      <c r="G2088" t="s">
        <v>18</v>
      </c>
      <c r="H2088" t="s">
        <v>24</v>
      </c>
      <c r="I2088" t="s">
        <v>20</v>
      </c>
      <c r="J2088" s="2">
        <v>200</v>
      </c>
    </row>
    <row r="2089" spans="1:12" ht="19.95" customHeight="1">
      <c r="A2089" t="s">
        <v>2193</v>
      </c>
      <c r="B2089" t="s">
        <v>2162</v>
      </c>
      <c r="C2089" t="s">
        <v>47</v>
      </c>
      <c r="D2089" t="s">
        <v>152</v>
      </c>
      <c r="E2089" t="s">
        <v>16</v>
      </c>
      <c r="F2089" t="s">
        <v>17</v>
      </c>
      <c r="G2089" t="s">
        <v>23</v>
      </c>
      <c r="H2089" t="s">
        <v>19</v>
      </c>
      <c r="I2089" t="s">
        <v>20</v>
      </c>
      <c r="J2089" s="2">
        <v>120</v>
      </c>
    </row>
    <row r="2090" spans="1:12" ht="19.95" customHeight="1">
      <c r="A2090" t="s">
        <v>2194</v>
      </c>
      <c r="B2090" t="s">
        <v>2162</v>
      </c>
      <c r="C2090" t="s">
        <v>47</v>
      </c>
      <c r="D2090" t="s">
        <v>71</v>
      </c>
      <c r="E2090" t="s">
        <v>16</v>
      </c>
      <c r="F2090" t="s">
        <v>17</v>
      </c>
      <c r="G2090" t="s">
        <v>23</v>
      </c>
      <c r="H2090" t="s">
        <v>19</v>
      </c>
      <c r="I2090" t="s">
        <v>20</v>
      </c>
      <c r="J2090" s="2">
        <v>120</v>
      </c>
    </row>
    <row r="2091" spans="1:12" ht="19.95" customHeight="1">
      <c r="A2091" t="s">
        <v>2195</v>
      </c>
      <c r="B2091" t="s">
        <v>2162</v>
      </c>
      <c r="C2091" t="s">
        <v>78</v>
      </c>
      <c r="D2091" t="s">
        <v>102</v>
      </c>
      <c r="E2091" t="s">
        <v>16</v>
      </c>
      <c r="F2091" t="s">
        <v>17</v>
      </c>
      <c r="G2091" t="s">
        <v>23</v>
      </c>
      <c r="H2091" t="s">
        <v>19</v>
      </c>
      <c r="I2091" t="s">
        <v>20</v>
      </c>
      <c r="J2091" s="2">
        <v>90</v>
      </c>
      <c r="L2091" t="s">
        <v>29</v>
      </c>
    </row>
    <row r="2092" spans="1:12" ht="19.95" customHeight="1">
      <c r="A2092" t="s">
        <v>2196</v>
      </c>
      <c r="B2092" t="s">
        <v>2162</v>
      </c>
      <c r="C2092" t="s">
        <v>78</v>
      </c>
      <c r="D2092" t="s">
        <v>81</v>
      </c>
      <c r="E2092" t="s">
        <v>16</v>
      </c>
      <c r="F2092" t="s">
        <v>17</v>
      </c>
      <c r="G2092" t="s">
        <v>18</v>
      </c>
      <c r="H2092" t="s">
        <v>19</v>
      </c>
      <c r="I2092" t="s">
        <v>20</v>
      </c>
      <c r="J2092" s="2">
        <v>200</v>
      </c>
    </row>
    <row r="2093" spans="1:12" ht="19.95" customHeight="1">
      <c r="A2093" t="s">
        <v>2197</v>
      </c>
      <c r="B2093" t="s">
        <v>2162</v>
      </c>
      <c r="C2093" t="s">
        <v>78</v>
      </c>
      <c r="D2093" t="s">
        <v>85</v>
      </c>
      <c r="E2093" t="s">
        <v>16</v>
      </c>
      <c r="F2093" t="s">
        <v>17</v>
      </c>
      <c r="G2093" t="s">
        <v>23</v>
      </c>
      <c r="H2093" t="s">
        <v>19</v>
      </c>
      <c r="I2093" t="s">
        <v>20</v>
      </c>
      <c r="J2093" s="2">
        <v>120</v>
      </c>
    </row>
    <row r="2094" spans="1:12" ht="19.95" customHeight="1">
      <c r="A2094" t="s">
        <v>2198</v>
      </c>
      <c r="B2094" t="s">
        <v>2162</v>
      </c>
      <c r="C2094" t="s">
        <v>78</v>
      </c>
      <c r="D2094" t="s">
        <v>242</v>
      </c>
      <c r="E2094" t="s">
        <v>16</v>
      </c>
      <c r="F2094" t="s">
        <v>17</v>
      </c>
      <c r="G2094" t="s">
        <v>32</v>
      </c>
      <c r="H2094" t="s">
        <v>19</v>
      </c>
      <c r="I2094" t="s">
        <v>20</v>
      </c>
      <c r="J2094" s="2">
        <v>300</v>
      </c>
    </row>
    <row r="2095" spans="1:12" ht="19.95" customHeight="1">
      <c r="A2095" t="s">
        <v>2199</v>
      </c>
      <c r="B2095" t="s">
        <v>2162</v>
      </c>
      <c r="C2095" t="s">
        <v>78</v>
      </c>
      <c r="D2095" t="s">
        <v>102</v>
      </c>
      <c r="E2095" t="s">
        <v>16</v>
      </c>
      <c r="F2095" t="s">
        <v>17</v>
      </c>
      <c r="G2095" t="s">
        <v>18</v>
      </c>
      <c r="H2095" t="s">
        <v>19</v>
      </c>
      <c r="I2095" t="s">
        <v>20</v>
      </c>
      <c r="J2095" s="2">
        <v>200</v>
      </c>
    </row>
    <row r="2096" spans="1:12" ht="19.95" customHeight="1">
      <c r="A2096" t="s">
        <v>2200</v>
      </c>
      <c r="B2096" t="s">
        <v>2162</v>
      </c>
      <c r="C2096" t="s">
        <v>78</v>
      </c>
      <c r="D2096" t="s">
        <v>89</v>
      </c>
      <c r="E2096" t="s">
        <v>16</v>
      </c>
      <c r="F2096" t="s">
        <v>17</v>
      </c>
      <c r="G2096" t="s">
        <v>32</v>
      </c>
      <c r="H2096" t="s">
        <v>19</v>
      </c>
      <c r="I2096" t="s">
        <v>20</v>
      </c>
      <c r="J2096" s="2">
        <v>300</v>
      </c>
    </row>
    <row r="2097" spans="1:12" ht="19.95" customHeight="1">
      <c r="A2097" t="s">
        <v>2201</v>
      </c>
      <c r="B2097" t="s">
        <v>2162</v>
      </c>
      <c r="C2097" t="s">
        <v>78</v>
      </c>
      <c r="D2097" t="s">
        <v>102</v>
      </c>
      <c r="E2097" t="s">
        <v>16</v>
      </c>
      <c r="F2097" t="s">
        <v>17</v>
      </c>
      <c r="G2097" t="s">
        <v>23</v>
      </c>
      <c r="H2097" t="s">
        <v>24</v>
      </c>
      <c r="I2097" t="s">
        <v>20</v>
      </c>
      <c r="J2097" s="2">
        <v>120</v>
      </c>
    </row>
    <row r="2098" spans="1:12" ht="19.95" customHeight="1">
      <c r="A2098" t="s">
        <v>2202</v>
      </c>
      <c r="B2098" t="s">
        <v>2162</v>
      </c>
      <c r="C2098" t="s">
        <v>78</v>
      </c>
      <c r="D2098" t="s">
        <v>161</v>
      </c>
      <c r="E2098" t="s">
        <v>16</v>
      </c>
      <c r="F2098" t="s">
        <v>17</v>
      </c>
      <c r="G2098" t="s">
        <v>18</v>
      </c>
      <c r="H2098" t="s">
        <v>19</v>
      </c>
      <c r="I2098" t="s">
        <v>20</v>
      </c>
      <c r="J2098" s="2">
        <v>170</v>
      </c>
      <c r="L2098" t="s">
        <v>29</v>
      </c>
    </row>
    <row r="2099" spans="1:12" ht="19.95" customHeight="1">
      <c r="A2099" t="s">
        <v>2203</v>
      </c>
      <c r="B2099" t="s">
        <v>2162</v>
      </c>
      <c r="C2099" t="s">
        <v>78</v>
      </c>
      <c r="D2099" t="s">
        <v>161</v>
      </c>
      <c r="E2099" t="s">
        <v>16</v>
      </c>
      <c r="F2099" t="s">
        <v>17</v>
      </c>
      <c r="G2099" t="s">
        <v>18</v>
      </c>
      <c r="H2099" t="s">
        <v>19</v>
      </c>
      <c r="I2099" t="s">
        <v>20</v>
      </c>
      <c r="J2099" s="2">
        <v>200</v>
      </c>
    </row>
    <row r="2100" spans="1:12" ht="19.95" customHeight="1">
      <c r="A2100" t="s">
        <v>2204</v>
      </c>
      <c r="B2100" t="s">
        <v>2162</v>
      </c>
      <c r="C2100" t="s">
        <v>78</v>
      </c>
      <c r="D2100" t="s">
        <v>102</v>
      </c>
      <c r="E2100" t="s">
        <v>16</v>
      </c>
      <c r="F2100" t="s">
        <v>17</v>
      </c>
      <c r="G2100" t="s">
        <v>32</v>
      </c>
      <c r="H2100" t="s">
        <v>19</v>
      </c>
      <c r="I2100" t="s">
        <v>20</v>
      </c>
      <c r="J2100" s="2">
        <v>300</v>
      </c>
    </row>
    <row r="2101" spans="1:12" ht="19.95" customHeight="1">
      <c r="A2101" t="s">
        <v>2205</v>
      </c>
      <c r="B2101" t="s">
        <v>2162</v>
      </c>
      <c r="C2101" t="s">
        <v>78</v>
      </c>
      <c r="D2101" t="s">
        <v>102</v>
      </c>
      <c r="E2101" t="s">
        <v>16</v>
      </c>
      <c r="F2101" t="s">
        <v>17</v>
      </c>
      <c r="G2101" t="s">
        <v>32</v>
      </c>
      <c r="H2101" t="s">
        <v>19</v>
      </c>
      <c r="I2101" t="s">
        <v>20</v>
      </c>
      <c r="J2101" s="2">
        <v>300</v>
      </c>
    </row>
    <row r="2102" spans="1:12" ht="19.95" customHeight="1">
      <c r="A2102" t="s">
        <v>2206</v>
      </c>
      <c r="B2102" t="s">
        <v>2162</v>
      </c>
      <c r="C2102" t="s">
        <v>78</v>
      </c>
      <c r="D2102" t="s">
        <v>85</v>
      </c>
      <c r="E2102" t="s">
        <v>16</v>
      </c>
      <c r="F2102" t="s">
        <v>17</v>
      </c>
      <c r="G2102" t="s">
        <v>18</v>
      </c>
      <c r="H2102" t="s">
        <v>19</v>
      </c>
      <c r="I2102" t="s">
        <v>20</v>
      </c>
      <c r="J2102" s="2">
        <v>150</v>
      </c>
      <c r="L2102" t="s">
        <v>29</v>
      </c>
    </row>
    <row r="2103" spans="1:12" ht="19.95" customHeight="1">
      <c r="A2103" t="s">
        <v>2207</v>
      </c>
      <c r="B2103" t="s">
        <v>2162</v>
      </c>
      <c r="C2103" t="s">
        <v>78</v>
      </c>
      <c r="D2103" t="s">
        <v>89</v>
      </c>
      <c r="E2103" t="s">
        <v>16</v>
      </c>
      <c r="F2103" t="s">
        <v>35</v>
      </c>
      <c r="G2103" t="s">
        <v>18</v>
      </c>
      <c r="H2103" t="s">
        <v>19</v>
      </c>
      <c r="I2103" t="s">
        <v>20</v>
      </c>
      <c r="J2103" s="2">
        <v>170</v>
      </c>
      <c r="L2103" t="s">
        <v>29</v>
      </c>
    </row>
    <row r="2104" spans="1:12" ht="19.95" customHeight="1">
      <c r="A2104" t="s">
        <v>2208</v>
      </c>
      <c r="B2104" t="s">
        <v>2162</v>
      </c>
      <c r="C2104" t="s">
        <v>78</v>
      </c>
      <c r="D2104" t="s">
        <v>163</v>
      </c>
      <c r="E2104" t="s">
        <v>16</v>
      </c>
      <c r="F2104" t="s">
        <v>17</v>
      </c>
      <c r="G2104" t="s">
        <v>18</v>
      </c>
      <c r="H2104" t="s">
        <v>19</v>
      </c>
      <c r="I2104" t="s">
        <v>20</v>
      </c>
      <c r="J2104" s="2">
        <v>200</v>
      </c>
    </row>
    <row r="2105" spans="1:12" ht="19.95" customHeight="1">
      <c r="A2105" t="s">
        <v>2209</v>
      </c>
      <c r="B2105" t="s">
        <v>2162</v>
      </c>
      <c r="C2105" t="s">
        <v>78</v>
      </c>
      <c r="D2105" t="s">
        <v>242</v>
      </c>
      <c r="E2105" t="s">
        <v>16</v>
      </c>
      <c r="F2105" t="s">
        <v>17</v>
      </c>
      <c r="G2105" t="s">
        <v>32</v>
      </c>
      <c r="H2105" t="s">
        <v>19</v>
      </c>
      <c r="I2105" t="s">
        <v>20</v>
      </c>
      <c r="J2105" s="2">
        <v>300</v>
      </c>
    </row>
    <row r="2106" spans="1:12" ht="19.95" customHeight="1">
      <c r="A2106" t="s">
        <v>2210</v>
      </c>
      <c r="B2106" t="s">
        <v>2162</v>
      </c>
      <c r="C2106" t="s">
        <v>105</v>
      </c>
      <c r="D2106" t="s">
        <v>116</v>
      </c>
      <c r="E2106" t="s">
        <v>16</v>
      </c>
      <c r="F2106" t="s">
        <v>35</v>
      </c>
      <c r="G2106" t="s">
        <v>18</v>
      </c>
      <c r="H2106" t="s">
        <v>19</v>
      </c>
      <c r="I2106" t="s">
        <v>20</v>
      </c>
      <c r="J2106" s="2">
        <v>200</v>
      </c>
    </row>
    <row r="2107" spans="1:12" ht="19.95" customHeight="1">
      <c r="A2107" t="s">
        <v>2211</v>
      </c>
      <c r="B2107" t="s">
        <v>2162</v>
      </c>
      <c r="C2107" t="s">
        <v>105</v>
      </c>
      <c r="D2107" t="s">
        <v>265</v>
      </c>
      <c r="E2107" t="s">
        <v>16</v>
      </c>
      <c r="F2107" t="s">
        <v>17</v>
      </c>
      <c r="G2107" t="s">
        <v>23</v>
      </c>
      <c r="H2107" t="s">
        <v>24</v>
      </c>
      <c r="I2107" t="s">
        <v>20</v>
      </c>
      <c r="J2107" s="2">
        <v>120</v>
      </c>
    </row>
    <row r="2108" spans="1:12" ht="19.95" customHeight="1">
      <c r="A2108" t="s">
        <v>2212</v>
      </c>
      <c r="B2108" t="s">
        <v>2162</v>
      </c>
      <c r="C2108" t="s">
        <v>105</v>
      </c>
      <c r="D2108" t="s">
        <v>182</v>
      </c>
      <c r="E2108" t="s">
        <v>16</v>
      </c>
      <c r="F2108" t="s">
        <v>17</v>
      </c>
      <c r="G2108" t="s">
        <v>32</v>
      </c>
      <c r="H2108" t="s">
        <v>19</v>
      </c>
      <c r="I2108" t="s">
        <v>20</v>
      </c>
      <c r="J2108" s="2">
        <v>300</v>
      </c>
    </row>
    <row r="2109" spans="1:12" ht="19.95" customHeight="1">
      <c r="A2109" t="s">
        <v>2213</v>
      </c>
      <c r="B2109" t="s">
        <v>2162</v>
      </c>
      <c r="C2109" t="s">
        <v>105</v>
      </c>
      <c r="D2109" t="s">
        <v>108</v>
      </c>
      <c r="E2109" t="s">
        <v>16</v>
      </c>
      <c r="F2109" t="s">
        <v>35</v>
      </c>
      <c r="G2109" t="s">
        <v>32</v>
      </c>
      <c r="H2109" t="s">
        <v>19</v>
      </c>
      <c r="I2109" t="s">
        <v>20</v>
      </c>
      <c r="J2109" s="2">
        <v>300</v>
      </c>
    </row>
    <row r="2110" spans="1:12" ht="19.95" customHeight="1">
      <c r="A2110" t="s">
        <v>2214</v>
      </c>
      <c r="B2110" t="s">
        <v>2162</v>
      </c>
      <c r="C2110" t="s">
        <v>105</v>
      </c>
      <c r="D2110" t="s">
        <v>116</v>
      </c>
      <c r="E2110" t="s">
        <v>16</v>
      </c>
      <c r="F2110" t="s">
        <v>17</v>
      </c>
      <c r="G2110" t="s">
        <v>18</v>
      </c>
      <c r="H2110" t="s">
        <v>19</v>
      </c>
      <c r="I2110" t="s">
        <v>20</v>
      </c>
      <c r="J2110" s="2">
        <v>200</v>
      </c>
    </row>
    <row r="2111" spans="1:12" ht="19.95" customHeight="1">
      <c r="A2111" t="s">
        <v>2215</v>
      </c>
      <c r="B2111" t="s">
        <v>2162</v>
      </c>
      <c r="C2111" t="s">
        <v>105</v>
      </c>
      <c r="D2111" t="s">
        <v>191</v>
      </c>
      <c r="E2111" t="s">
        <v>16</v>
      </c>
      <c r="F2111" t="s">
        <v>35</v>
      </c>
      <c r="G2111" t="s">
        <v>18</v>
      </c>
      <c r="H2111" t="s">
        <v>19</v>
      </c>
      <c r="I2111" t="s">
        <v>20</v>
      </c>
      <c r="J2111" s="2">
        <v>200</v>
      </c>
    </row>
    <row r="2112" spans="1:12" ht="19.95" customHeight="1">
      <c r="A2112" t="s">
        <v>2216</v>
      </c>
      <c r="B2112" t="s">
        <v>2162</v>
      </c>
      <c r="C2112" t="s">
        <v>105</v>
      </c>
      <c r="D2112" t="s">
        <v>112</v>
      </c>
      <c r="E2112" t="s">
        <v>16</v>
      </c>
      <c r="F2112" t="s">
        <v>17</v>
      </c>
      <c r="G2112" t="s">
        <v>32</v>
      </c>
      <c r="H2112" t="s">
        <v>19</v>
      </c>
      <c r="I2112" t="s">
        <v>20</v>
      </c>
      <c r="J2112" s="2">
        <v>300</v>
      </c>
    </row>
    <row r="2113" spans="1:12" ht="19.95" customHeight="1">
      <c r="A2113" t="s">
        <v>2217</v>
      </c>
      <c r="B2113" t="s">
        <v>2162</v>
      </c>
      <c r="C2113" t="s">
        <v>105</v>
      </c>
      <c r="D2113" t="s">
        <v>110</v>
      </c>
      <c r="E2113" t="s">
        <v>16</v>
      </c>
      <c r="F2113" t="s">
        <v>17</v>
      </c>
      <c r="G2113" t="s">
        <v>32</v>
      </c>
      <c r="H2113" t="s">
        <v>19</v>
      </c>
      <c r="I2113" t="s">
        <v>20</v>
      </c>
      <c r="J2113" s="2">
        <v>300</v>
      </c>
    </row>
    <row r="2114" spans="1:12" ht="19.95" customHeight="1">
      <c r="A2114" t="s">
        <v>2218</v>
      </c>
      <c r="B2114" t="s">
        <v>2162</v>
      </c>
      <c r="C2114" t="s">
        <v>105</v>
      </c>
      <c r="D2114" t="s">
        <v>182</v>
      </c>
      <c r="E2114" t="s">
        <v>16</v>
      </c>
      <c r="F2114" t="s">
        <v>35</v>
      </c>
      <c r="G2114" t="s">
        <v>18</v>
      </c>
      <c r="H2114" t="s">
        <v>24</v>
      </c>
      <c r="I2114" t="s">
        <v>20</v>
      </c>
      <c r="J2114" s="2">
        <v>200</v>
      </c>
    </row>
    <row r="2115" spans="1:12" ht="19.95" customHeight="1">
      <c r="A2115" t="s">
        <v>2219</v>
      </c>
      <c r="B2115" t="s">
        <v>2162</v>
      </c>
      <c r="C2115" t="s">
        <v>105</v>
      </c>
      <c r="D2115" t="s">
        <v>265</v>
      </c>
      <c r="E2115" t="s">
        <v>16</v>
      </c>
      <c r="F2115" t="s">
        <v>17</v>
      </c>
      <c r="G2115" t="s">
        <v>18</v>
      </c>
      <c r="H2115" t="s">
        <v>19</v>
      </c>
      <c r="I2115" t="s">
        <v>20</v>
      </c>
      <c r="J2115" s="2">
        <v>200</v>
      </c>
    </row>
    <row r="2116" spans="1:12" ht="19.95" customHeight="1">
      <c r="A2116" t="s">
        <v>2220</v>
      </c>
      <c r="B2116" t="s">
        <v>2162</v>
      </c>
      <c r="C2116" t="s">
        <v>105</v>
      </c>
      <c r="D2116" t="s">
        <v>182</v>
      </c>
      <c r="E2116" t="s">
        <v>16</v>
      </c>
      <c r="F2116" t="s">
        <v>17</v>
      </c>
      <c r="G2116" t="s">
        <v>23</v>
      </c>
      <c r="H2116" t="s">
        <v>19</v>
      </c>
      <c r="I2116" t="s">
        <v>20</v>
      </c>
      <c r="J2116" s="2">
        <v>120</v>
      </c>
    </row>
    <row r="2117" spans="1:12" ht="19.95" customHeight="1">
      <c r="A2117" t="s">
        <v>2221</v>
      </c>
      <c r="B2117" t="s">
        <v>2162</v>
      </c>
      <c r="C2117" t="s">
        <v>105</v>
      </c>
      <c r="D2117" t="s">
        <v>116</v>
      </c>
      <c r="E2117" t="s">
        <v>16</v>
      </c>
      <c r="F2117" t="s">
        <v>17</v>
      </c>
      <c r="G2117" t="s">
        <v>32</v>
      </c>
      <c r="H2117" t="s">
        <v>19</v>
      </c>
      <c r="I2117" t="s">
        <v>20</v>
      </c>
      <c r="J2117" s="2">
        <v>255</v>
      </c>
      <c r="L2117" t="s">
        <v>29</v>
      </c>
    </row>
    <row r="2118" spans="1:12" ht="19.95" customHeight="1">
      <c r="A2118" t="s">
        <v>2222</v>
      </c>
      <c r="B2118" t="s">
        <v>2162</v>
      </c>
      <c r="C2118" t="s">
        <v>105</v>
      </c>
      <c r="D2118" t="s">
        <v>191</v>
      </c>
      <c r="E2118" t="s">
        <v>16</v>
      </c>
      <c r="F2118" t="s">
        <v>17</v>
      </c>
      <c r="G2118" t="s">
        <v>32</v>
      </c>
      <c r="H2118" t="s">
        <v>19</v>
      </c>
      <c r="I2118" t="s">
        <v>20</v>
      </c>
      <c r="J2118" s="2">
        <v>300</v>
      </c>
    </row>
    <row r="2119" spans="1:12" ht="19.95" customHeight="1">
      <c r="A2119" t="s">
        <v>2223</v>
      </c>
      <c r="B2119" t="s">
        <v>2162</v>
      </c>
      <c r="C2119" t="s">
        <v>105</v>
      </c>
      <c r="D2119" t="s">
        <v>120</v>
      </c>
      <c r="E2119" t="s">
        <v>16</v>
      </c>
      <c r="F2119" t="s">
        <v>17</v>
      </c>
      <c r="G2119" t="s">
        <v>18</v>
      </c>
      <c r="H2119" t="s">
        <v>24</v>
      </c>
      <c r="I2119" t="s">
        <v>74</v>
      </c>
      <c r="J2119" s="2">
        <v>200</v>
      </c>
    </row>
    <row r="2120" spans="1:12" ht="19.95" customHeight="1">
      <c r="A2120" t="s">
        <v>2224</v>
      </c>
      <c r="B2120" t="s">
        <v>2162</v>
      </c>
      <c r="C2120" t="s">
        <v>105</v>
      </c>
      <c r="D2120" t="s">
        <v>108</v>
      </c>
      <c r="E2120" t="s">
        <v>16</v>
      </c>
      <c r="F2120" t="s">
        <v>17</v>
      </c>
      <c r="G2120" t="s">
        <v>32</v>
      </c>
      <c r="H2120" t="s">
        <v>19</v>
      </c>
      <c r="I2120" t="s">
        <v>20</v>
      </c>
      <c r="J2120" s="2">
        <v>300</v>
      </c>
    </row>
    <row r="2121" spans="1:12" ht="19.95" customHeight="1">
      <c r="A2121" t="s">
        <v>2225</v>
      </c>
      <c r="B2121" t="s">
        <v>2162</v>
      </c>
      <c r="C2121" t="s">
        <v>105</v>
      </c>
      <c r="D2121" t="s">
        <v>106</v>
      </c>
      <c r="E2121" t="s">
        <v>402</v>
      </c>
      <c r="F2121" t="s">
        <v>17</v>
      </c>
      <c r="G2121" t="s">
        <v>23</v>
      </c>
      <c r="H2121" t="s">
        <v>19</v>
      </c>
      <c r="I2121" t="s">
        <v>20</v>
      </c>
      <c r="J2121" s="2">
        <v>120</v>
      </c>
      <c r="K2121" t="s">
        <v>1690</v>
      </c>
    </row>
    <row r="2122" spans="1:12" ht="19.95" customHeight="1">
      <c r="A2122" t="s">
        <v>2226</v>
      </c>
      <c r="B2122" t="s">
        <v>2162</v>
      </c>
      <c r="C2122" t="s">
        <v>47</v>
      </c>
      <c r="D2122" t="s">
        <v>59</v>
      </c>
      <c r="E2122" t="s">
        <v>402</v>
      </c>
      <c r="F2122" t="s">
        <v>17</v>
      </c>
      <c r="G2122" t="s">
        <v>18</v>
      </c>
      <c r="H2122" t="s">
        <v>19</v>
      </c>
      <c r="I2122" t="s">
        <v>20</v>
      </c>
      <c r="J2122" s="2">
        <v>200</v>
      </c>
      <c r="K2122" t="s">
        <v>2227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1"/>
  <sheetViews>
    <sheetView showGridLines="0" workbookViewId="0">
      <pane ySplit="1" topLeftCell="A2" activePane="bottomLeft" state="frozen"/>
      <selection pane="bottomLeft" activeCell="A5" sqref="A2:C121"/>
    </sheetView>
  </sheetViews>
  <sheetFormatPr defaultRowHeight="13.8"/>
  <cols>
    <col min="1" max="1" width="15" customWidth="1"/>
    <col min="2" max="2" width="20" customWidth="1"/>
    <col min="3" max="3" width="17" customWidth="1"/>
  </cols>
  <sheetData>
    <row r="1" spans="1:3" ht="19.95" customHeight="1">
      <c r="A1" s="1" t="s">
        <v>1</v>
      </c>
      <c r="B1" s="1" t="s">
        <v>2</v>
      </c>
      <c r="C1" s="1" t="s">
        <v>2228</v>
      </c>
    </row>
    <row r="2" spans="1:3" ht="19.95" customHeight="1">
      <c r="A2" t="s">
        <v>13</v>
      </c>
      <c r="B2" t="s">
        <v>14</v>
      </c>
      <c r="C2">
        <v>614</v>
      </c>
    </row>
    <row r="3" spans="1:3" ht="19.95" customHeight="1">
      <c r="A3" t="s">
        <v>13</v>
      </c>
      <c r="B3" t="s">
        <v>47</v>
      </c>
      <c r="C3">
        <v>551</v>
      </c>
    </row>
    <row r="4" spans="1:3" ht="19.95" customHeight="1">
      <c r="A4" t="s">
        <v>13</v>
      </c>
      <c r="B4" t="s">
        <v>78</v>
      </c>
      <c r="C4">
        <v>462</v>
      </c>
    </row>
    <row r="5" spans="1:3" ht="19.95" customHeight="1">
      <c r="A5" t="s">
        <v>13</v>
      </c>
      <c r="B5" t="s">
        <v>105</v>
      </c>
      <c r="C5">
        <v>538</v>
      </c>
    </row>
    <row r="6" spans="1:3" ht="19.95" customHeight="1">
      <c r="A6" t="s">
        <v>127</v>
      </c>
      <c r="B6" t="s">
        <v>14</v>
      </c>
      <c r="C6">
        <v>595</v>
      </c>
    </row>
    <row r="7" spans="1:3" ht="19.95" customHeight="1">
      <c r="A7" t="s">
        <v>127</v>
      </c>
      <c r="B7" t="s">
        <v>47</v>
      </c>
      <c r="C7">
        <v>479</v>
      </c>
    </row>
    <row r="8" spans="1:3" ht="19.95" customHeight="1">
      <c r="A8" t="s">
        <v>127</v>
      </c>
      <c r="B8" t="s">
        <v>78</v>
      </c>
      <c r="C8">
        <v>505</v>
      </c>
    </row>
    <row r="9" spans="1:3" ht="19.95" customHeight="1">
      <c r="A9" t="s">
        <v>127</v>
      </c>
      <c r="B9" t="s">
        <v>105</v>
      </c>
      <c r="C9">
        <v>539</v>
      </c>
    </row>
    <row r="10" spans="1:3" ht="19.95" customHeight="1">
      <c r="A10" t="s">
        <v>203</v>
      </c>
      <c r="B10" t="s">
        <v>14</v>
      </c>
      <c r="C10">
        <v>654</v>
      </c>
    </row>
    <row r="11" spans="1:3" ht="19.95" customHeight="1">
      <c r="A11" t="s">
        <v>203</v>
      </c>
      <c r="B11" t="s">
        <v>47</v>
      </c>
      <c r="C11">
        <v>494</v>
      </c>
    </row>
    <row r="12" spans="1:3" ht="19.95" customHeight="1">
      <c r="A12" t="s">
        <v>203</v>
      </c>
      <c r="B12" t="s">
        <v>78</v>
      </c>
      <c r="C12">
        <v>455</v>
      </c>
    </row>
    <row r="13" spans="1:3" ht="19.95" customHeight="1">
      <c r="A13" t="s">
        <v>203</v>
      </c>
      <c r="B13" t="s">
        <v>105</v>
      </c>
      <c r="C13">
        <v>567</v>
      </c>
    </row>
    <row r="14" spans="1:3" ht="19.95" customHeight="1">
      <c r="A14" t="s">
        <v>272</v>
      </c>
      <c r="B14" t="s">
        <v>14</v>
      </c>
      <c r="C14">
        <v>644</v>
      </c>
    </row>
    <row r="15" spans="1:3" ht="19.95" customHeight="1">
      <c r="A15" t="s">
        <v>272</v>
      </c>
      <c r="B15" t="s">
        <v>47</v>
      </c>
      <c r="C15">
        <v>552</v>
      </c>
    </row>
    <row r="16" spans="1:3" ht="19.95" customHeight="1">
      <c r="A16" t="s">
        <v>272</v>
      </c>
      <c r="B16" t="s">
        <v>78</v>
      </c>
      <c r="C16">
        <v>469</v>
      </c>
    </row>
    <row r="17" spans="1:3" ht="19.95" customHeight="1">
      <c r="A17" t="s">
        <v>272</v>
      </c>
      <c r="B17" t="s">
        <v>105</v>
      </c>
      <c r="C17">
        <v>530</v>
      </c>
    </row>
    <row r="18" spans="1:3" ht="19.95" customHeight="1">
      <c r="A18" t="s">
        <v>341</v>
      </c>
      <c r="B18" t="s">
        <v>14</v>
      </c>
      <c r="C18">
        <v>678</v>
      </c>
    </row>
    <row r="19" spans="1:3" ht="19.95" customHeight="1">
      <c r="A19" t="s">
        <v>341</v>
      </c>
      <c r="B19" t="s">
        <v>47</v>
      </c>
      <c r="C19">
        <v>494</v>
      </c>
    </row>
    <row r="20" spans="1:3" ht="19.95" customHeight="1">
      <c r="A20" t="s">
        <v>341</v>
      </c>
      <c r="B20" t="s">
        <v>78</v>
      </c>
      <c r="C20">
        <v>481</v>
      </c>
    </row>
    <row r="21" spans="1:3" ht="19.95" customHeight="1">
      <c r="A21" t="s">
        <v>341</v>
      </c>
      <c r="B21" t="s">
        <v>105</v>
      </c>
      <c r="C21">
        <v>588</v>
      </c>
    </row>
    <row r="22" spans="1:3" ht="19.95" customHeight="1">
      <c r="A22" t="s">
        <v>404</v>
      </c>
      <c r="B22" t="s">
        <v>14</v>
      </c>
      <c r="C22">
        <v>672</v>
      </c>
    </row>
    <row r="23" spans="1:3" ht="19.95" customHeight="1">
      <c r="A23" t="s">
        <v>404</v>
      </c>
      <c r="B23" t="s">
        <v>47</v>
      </c>
      <c r="C23">
        <v>502</v>
      </c>
    </row>
    <row r="24" spans="1:3" ht="19.95" customHeight="1">
      <c r="A24" t="s">
        <v>404</v>
      </c>
      <c r="B24" t="s">
        <v>78</v>
      </c>
      <c r="C24">
        <v>443</v>
      </c>
    </row>
    <row r="25" spans="1:3" ht="19.95" customHeight="1">
      <c r="A25" t="s">
        <v>404</v>
      </c>
      <c r="B25" t="s">
        <v>105</v>
      </c>
      <c r="C25">
        <v>607</v>
      </c>
    </row>
    <row r="26" spans="1:3" ht="19.95" customHeight="1">
      <c r="A26" t="s">
        <v>469</v>
      </c>
      <c r="B26" t="s">
        <v>14</v>
      </c>
      <c r="C26">
        <v>644</v>
      </c>
    </row>
    <row r="27" spans="1:3" ht="19.95" customHeight="1">
      <c r="A27" t="s">
        <v>469</v>
      </c>
      <c r="B27" t="s">
        <v>47</v>
      </c>
      <c r="C27">
        <v>535</v>
      </c>
    </row>
    <row r="28" spans="1:3" ht="19.95" customHeight="1">
      <c r="A28" t="s">
        <v>469</v>
      </c>
      <c r="B28" t="s">
        <v>78</v>
      </c>
      <c r="C28">
        <v>435</v>
      </c>
    </row>
    <row r="29" spans="1:3" ht="19.95" customHeight="1">
      <c r="A29" t="s">
        <v>469</v>
      </c>
      <c r="B29" t="s">
        <v>105</v>
      </c>
      <c r="C29">
        <v>546</v>
      </c>
    </row>
    <row r="30" spans="1:3" ht="19.95" customHeight="1">
      <c r="A30" t="s">
        <v>538</v>
      </c>
      <c r="B30" t="s">
        <v>14</v>
      </c>
      <c r="C30">
        <v>674</v>
      </c>
    </row>
    <row r="31" spans="1:3" ht="19.95" customHeight="1">
      <c r="A31" t="s">
        <v>538</v>
      </c>
      <c r="B31" t="s">
        <v>47</v>
      </c>
      <c r="C31">
        <v>472</v>
      </c>
    </row>
    <row r="32" spans="1:3" ht="19.95" customHeight="1">
      <c r="A32" t="s">
        <v>538</v>
      </c>
      <c r="B32" t="s">
        <v>78</v>
      </c>
      <c r="C32">
        <v>426</v>
      </c>
    </row>
    <row r="33" spans="1:3" ht="19.95" customHeight="1">
      <c r="A33" t="s">
        <v>538</v>
      </c>
      <c r="B33" t="s">
        <v>105</v>
      </c>
      <c r="C33">
        <v>585</v>
      </c>
    </row>
    <row r="34" spans="1:3" ht="19.95" customHeight="1">
      <c r="A34" t="s">
        <v>602</v>
      </c>
      <c r="B34" t="s">
        <v>14</v>
      </c>
      <c r="C34">
        <v>671</v>
      </c>
    </row>
    <row r="35" spans="1:3" ht="19.95" customHeight="1">
      <c r="A35" t="s">
        <v>602</v>
      </c>
      <c r="B35" t="s">
        <v>47</v>
      </c>
      <c r="C35">
        <v>550</v>
      </c>
    </row>
    <row r="36" spans="1:3" ht="19.95" customHeight="1">
      <c r="A36" t="s">
        <v>602</v>
      </c>
      <c r="B36" t="s">
        <v>78</v>
      </c>
      <c r="C36">
        <v>482</v>
      </c>
    </row>
    <row r="37" spans="1:3" ht="19.95" customHeight="1">
      <c r="A37" t="s">
        <v>602</v>
      </c>
      <c r="B37" t="s">
        <v>105</v>
      </c>
      <c r="C37">
        <v>528</v>
      </c>
    </row>
    <row r="38" spans="1:3" ht="19.95" customHeight="1">
      <c r="A38" t="s">
        <v>676</v>
      </c>
      <c r="B38" t="s">
        <v>14</v>
      </c>
      <c r="C38">
        <v>616</v>
      </c>
    </row>
    <row r="39" spans="1:3" ht="19.95" customHeight="1">
      <c r="A39" t="s">
        <v>676</v>
      </c>
      <c r="B39" t="s">
        <v>47</v>
      </c>
      <c r="C39">
        <v>517</v>
      </c>
    </row>
    <row r="40" spans="1:3" ht="19.95" customHeight="1">
      <c r="A40" t="s">
        <v>676</v>
      </c>
      <c r="B40" t="s">
        <v>78</v>
      </c>
      <c r="C40">
        <v>455</v>
      </c>
    </row>
    <row r="41" spans="1:3" ht="19.95" customHeight="1">
      <c r="A41" t="s">
        <v>676</v>
      </c>
      <c r="B41" t="s">
        <v>105</v>
      </c>
      <c r="C41">
        <v>540</v>
      </c>
    </row>
    <row r="42" spans="1:3" ht="19.95" customHeight="1">
      <c r="A42" t="s">
        <v>737</v>
      </c>
      <c r="B42" t="s">
        <v>14</v>
      </c>
      <c r="C42">
        <v>636</v>
      </c>
    </row>
    <row r="43" spans="1:3" ht="19.95" customHeight="1">
      <c r="A43" t="s">
        <v>737</v>
      </c>
      <c r="B43" t="s">
        <v>47</v>
      </c>
      <c r="C43">
        <v>562</v>
      </c>
    </row>
    <row r="44" spans="1:3" ht="19.95" customHeight="1">
      <c r="A44" t="s">
        <v>737</v>
      </c>
      <c r="B44" t="s">
        <v>78</v>
      </c>
      <c r="C44">
        <v>500</v>
      </c>
    </row>
    <row r="45" spans="1:3" ht="19.95" customHeight="1">
      <c r="A45" t="s">
        <v>737</v>
      </c>
      <c r="B45" t="s">
        <v>105</v>
      </c>
      <c r="C45">
        <v>534</v>
      </c>
    </row>
    <row r="46" spans="1:3" ht="19.95" customHeight="1">
      <c r="A46" t="s">
        <v>804</v>
      </c>
      <c r="B46" t="s">
        <v>14</v>
      </c>
      <c r="C46">
        <v>630</v>
      </c>
    </row>
    <row r="47" spans="1:3" ht="19.95" customHeight="1">
      <c r="A47" t="s">
        <v>804</v>
      </c>
      <c r="B47" t="s">
        <v>47</v>
      </c>
      <c r="C47">
        <v>488</v>
      </c>
    </row>
    <row r="48" spans="1:3" ht="19.95" customHeight="1">
      <c r="A48" t="s">
        <v>804</v>
      </c>
      <c r="B48" t="s">
        <v>78</v>
      </c>
      <c r="C48">
        <v>438</v>
      </c>
    </row>
    <row r="49" spans="1:3" ht="19.95" customHeight="1">
      <c r="A49" t="s">
        <v>804</v>
      </c>
      <c r="B49" t="s">
        <v>105</v>
      </c>
      <c r="C49">
        <v>601</v>
      </c>
    </row>
    <row r="50" spans="1:3" ht="19.95" customHeight="1">
      <c r="A50" t="s">
        <v>877</v>
      </c>
      <c r="B50" t="s">
        <v>14</v>
      </c>
      <c r="C50">
        <v>587</v>
      </c>
    </row>
    <row r="51" spans="1:3" ht="19.95" customHeight="1">
      <c r="A51" t="s">
        <v>877</v>
      </c>
      <c r="B51" t="s">
        <v>47</v>
      </c>
      <c r="C51">
        <v>515</v>
      </c>
    </row>
    <row r="52" spans="1:3" ht="19.95" customHeight="1">
      <c r="A52" t="s">
        <v>877</v>
      </c>
      <c r="B52" t="s">
        <v>78</v>
      </c>
      <c r="C52">
        <v>478</v>
      </c>
    </row>
    <row r="53" spans="1:3" ht="19.95" customHeight="1">
      <c r="A53" t="s">
        <v>877</v>
      </c>
      <c r="B53" t="s">
        <v>105</v>
      </c>
      <c r="C53">
        <v>597</v>
      </c>
    </row>
    <row r="54" spans="1:3" ht="19.95" customHeight="1">
      <c r="A54" t="s">
        <v>946</v>
      </c>
      <c r="B54" t="s">
        <v>14</v>
      </c>
      <c r="C54">
        <v>619</v>
      </c>
    </row>
    <row r="55" spans="1:3" ht="19.95" customHeight="1">
      <c r="A55" t="s">
        <v>946</v>
      </c>
      <c r="B55" t="s">
        <v>47</v>
      </c>
      <c r="C55">
        <v>565</v>
      </c>
    </row>
    <row r="56" spans="1:3" ht="19.95" customHeight="1">
      <c r="A56" t="s">
        <v>946</v>
      </c>
      <c r="B56" t="s">
        <v>78</v>
      </c>
      <c r="C56">
        <v>454</v>
      </c>
    </row>
    <row r="57" spans="1:3" ht="19.95" customHeight="1">
      <c r="A57" t="s">
        <v>946</v>
      </c>
      <c r="B57" t="s">
        <v>105</v>
      </c>
      <c r="C57">
        <v>513</v>
      </c>
    </row>
    <row r="58" spans="1:3" ht="19.95" customHeight="1">
      <c r="A58" t="s">
        <v>1013</v>
      </c>
      <c r="B58" t="s">
        <v>14</v>
      </c>
      <c r="C58">
        <v>625</v>
      </c>
    </row>
    <row r="59" spans="1:3" ht="19.95" customHeight="1">
      <c r="A59" t="s">
        <v>1013</v>
      </c>
      <c r="B59" t="s">
        <v>47</v>
      </c>
      <c r="C59">
        <v>478</v>
      </c>
    </row>
    <row r="60" spans="1:3" ht="19.95" customHeight="1">
      <c r="A60" t="s">
        <v>1013</v>
      </c>
      <c r="B60" t="s">
        <v>78</v>
      </c>
      <c r="C60">
        <v>482</v>
      </c>
    </row>
    <row r="61" spans="1:3" ht="19.95" customHeight="1">
      <c r="A61" t="s">
        <v>1013</v>
      </c>
      <c r="B61" t="s">
        <v>105</v>
      </c>
      <c r="C61">
        <v>571</v>
      </c>
    </row>
    <row r="62" spans="1:3" ht="19.95" customHeight="1">
      <c r="A62" t="s">
        <v>1076</v>
      </c>
      <c r="B62" t="s">
        <v>14</v>
      </c>
      <c r="C62">
        <v>611</v>
      </c>
    </row>
    <row r="63" spans="1:3" ht="19.95" customHeight="1">
      <c r="A63" t="s">
        <v>1076</v>
      </c>
      <c r="B63" t="s">
        <v>47</v>
      </c>
      <c r="C63">
        <v>519</v>
      </c>
    </row>
    <row r="64" spans="1:3" ht="19.95" customHeight="1">
      <c r="A64" t="s">
        <v>1076</v>
      </c>
      <c r="B64" t="s">
        <v>78</v>
      </c>
      <c r="C64">
        <v>461</v>
      </c>
    </row>
    <row r="65" spans="1:3" ht="19.95" customHeight="1">
      <c r="A65" t="s">
        <v>1076</v>
      </c>
      <c r="B65" t="s">
        <v>105</v>
      </c>
      <c r="C65">
        <v>573</v>
      </c>
    </row>
    <row r="66" spans="1:3" ht="19.95" customHeight="1">
      <c r="A66" t="s">
        <v>1145</v>
      </c>
      <c r="B66" t="s">
        <v>14</v>
      </c>
      <c r="C66">
        <v>637</v>
      </c>
    </row>
    <row r="67" spans="1:3" ht="19.95" customHeight="1">
      <c r="A67" t="s">
        <v>1145</v>
      </c>
      <c r="B67" t="s">
        <v>47</v>
      </c>
      <c r="C67">
        <v>510</v>
      </c>
    </row>
    <row r="68" spans="1:3" ht="19.95" customHeight="1">
      <c r="A68" t="s">
        <v>1145</v>
      </c>
      <c r="B68" t="s">
        <v>78</v>
      </c>
      <c r="C68">
        <v>449</v>
      </c>
    </row>
    <row r="69" spans="1:3" ht="19.95" customHeight="1">
      <c r="A69" t="s">
        <v>1145</v>
      </c>
      <c r="B69" t="s">
        <v>105</v>
      </c>
      <c r="C69">
        <v>558</v>
      </c>
    </row>
    <row r="70" spans="1:3" ht="19.95" customHeight="1">
      <c r="A70" t="s">
        <v>1217</v>
      </c>
      <c r="B70" t="s">
        <v>14</v>
      </c>
      <c r="C70">
        <v>623</v>
      </c>
    </row>
    <row r="71" spans="1:3" ht="19.95" customHeight="1">
      <c r="A71" t="s">
        <v>1217</v>
      </c>
      <c r="B71" t="s">
        <v>47</v>
      </c>
      <c r="C71">
        <v>546</v>
      </c>
    </row>
    <row r="72" spans="1:3" ht="19.95" customHeight="1">
      <c r="A72" t="s">
        <v>1217</v>
      </c>
      <c r="B72" t="s">
        <v>78</v>
      </c>
      <c r="C72">
        <v>430</v>
      </c>
    </row>
    <row r="73" spans="1:3" ht="19.95" customHeight="1">
      <c r="A73" t="s">
        <v>1217</v>
      </c>
      <c r="B73" t="s">
        <v>105</v>
      </c>
      <c r="C73">
        <v>572</v>
      </c>
    </row>
    <row r="74" spans="1:3" ht="19.95" customHeight="1">
      <c r="A74" t="s">
        <v>1313</v>
      </c>
      <c r="B74" t="s">
        <v>14</v>
      </c>
      <c r="C74">
        <v>598</v>
      </c>
    </row>
    <row r="75" spans="1:3" ht="19.95" customHeight="1">
      <c r="A75" t="s">
        <v>1313</v>
      </c>
      <c r="B75" t="s">
        <v>47</v>
      </c>
      <c r="C75">
        <v>524</v>
      </c>
    </row>
    <row r="76" spans="1:3" ht="19.95" customHeight="1">
      <c r="A76" t="s">
        <v>1313</v>
      </c>
      <c r="B76" t="s">
        <v>78</v>
      </c>
      <c r="C76">
        <v>458</v>
      </c>
    </row>
    <row r="77" spans="1:3" ht="19.95" customHeight="1">
      <c r="A77" t="s">
        <v>1313</v>
      </c>
      <c r="B77" t="s">
        <v>105</v>
      </c>
      <c r="C77">
        <v>552</v>
      </c>
    </row>
    <row r="78" spans="1:3" ht="19.95" customHeight="1">
      <c r="A78" t="s">
        <v>1399</v>
      </c>
      <c r="B78" t="s">
        <v>14</v>
      </c>
      <c r="C78">
        <v>636</v>
      </c>
    </row>
    <row r="79" spans="1:3" ht="19.95" customHeight="1">
      <c r="A79" t="s">
        <v>1399</v>
      </c>
      <c r="B79" t="s">
        <v>47</v>
      </c>
      <c r="C79">
        <v>478</v>
      </c>
    </row>
    <row r="80" spans="1:3" ht="19.95" customHeight="1">
      <c r="A80" t="s">
        <v>1399</v>
      </c>
      <c r="B80" t="s">
        <v>78</v>
      </c>
      <c r="C80">
        <v>423</v>
      </c>
    </row>
    <row r="81" spans="1:3" ht="19.95" customHeight="1">
      <c r="A81" t="s">
        <v>1399</v>
      </c>
      <c r="B81" t="s">
        <v>105</v>
      </c>
      <c r="C81">
        <v>561</v>
      </c>
    </row>
    <row r="82" spans="1:3" ht="19.95" customHeight="1">
      <c r="A82" t="s">
        <v>1483</v>
      </c>
      <c r="B82" t="s">
        <v>14</v>
      </c>
      <c r="C82">
        <v>582</v>
      </c>
    </row>
    <row r="83" spans="1:3" ht="19.95" customHeight="1">
      <c r="A83" t="s">
        <v>1483</v>
      </c>
      <c r="B83" t="s">
        <v>47</v>
      </c>
      <c r="C83">
        <v>505</v>
      </c>
    </row>
    <row r="84" spans="1:3" ht="19.95" customHeight="1">
      <c r="A84" t="s">
        <v>1483</v>
      </c>
      <c r="B84" t="s">
        <v>78</v>
      </c>
      <c r="C84">
        <v>424</v>
      </c>
    </row>
    <row r="85" spans="1:3" ht="19.95" customHeight="1">
      <c r="A85" t="s">
        <v>1483</v>
      </c>
      <c r="B85" t="s">
        <v>105</v>
      </c>
      <c r="C85">
        <v>542</v>
      </c>
    </row>
    <row r="86" spans="1:3" ht="19.95" customHeight="1">
      <c r="A86" t="s">
        <v>1566</v>
      </c>
      <c r="B86" t="s">
        <v>14</v>
      </c>
      <c r="C86">
        <v>655</v>
      </c>
    </row>
    <row r="87" spans="1:3" ht="19.95" customHeight="1">
      <c r="A87" t="s">
        <v>1566</v>
      </c>
      <c r="B87" t="s">
        <v>47</v>
      </c>
      <c r="C87">
        <v>505</v>
      </c>
    </row>
    <row r="88" spans="1:3" ht="19.95" customHeight="1">
      <c r="A88" t="s">
        <v>1566</v>
      </c>
      <c r="B88" t="s">
        <v>78</v>
      </c>
      <c r="C88">
        <v>455</v>
      </c>
    </row>
    <row r="89" spans="1:3" ht="19.95" customHeight="1">
      <c r="A89" t="s">
        <v>1566</v>
      </c>
      <c r="B89" t="s">
        <v>105</v>
      </c>
      <c r="C89">
        <v>562</v>
      </c>
    </row>
    <row r="90" spans="1:3" ht="19.95" customHeight="1">
      <c r="A90" t="s">
        <v>1639</v>
      </c>
      <c r="B90" t="s">
        <v>14</v>
      </c>
      <c r="C90">
        <v>616</v>
      </c>
    </row>
    <row r="91" spans="1:3" ht="19.95" customHeight="1">
      <c r="A91" t="s">
        <v>1639</v>
      </c>
      <c r="B91" t="s">
        <v>47</v>
      </c>
      <c r="C91">
        <v>556</v>
      </c>
    </row>
    <row r="92" spans="1:3" ht="19.95" customHeight="1">
      <c r="A92" t="s">
        <v>1639</v>
      </c>
      <c r="B92" t="s">
        <v>78</v>
      </c>
      <c r="C92">
        <v>431</v>
      </c>
    </row>
    <row r="93" spans="1:3" ht="19.95" customHeight="1">
      <c r="A93" t="s">
        <v>1639</v>
      </c>
      <c r="B93" t="s">
        <v>105</v>
      </c>
      <c r="C93">
        <v>587</v>
      </c>
    </row>
    <row r="94" spans="1:3" ht="19.95" customHeight="1">
      <c r="A94" t="s">
        <v>1704</v>
      </c>
      <c r="B94" t="s">
        <v>14</v>
      </c>
      <c r="C94">
        <v>642</v>
      </c>
    </row>
    <row r="95" spans="1:3" ht="19.95" customHeight="1">
      <c r="A95" t="s">
        <v>1704</v>
      </c>
      <c r="B95" t="s">
        <v>47</v>
      </c>
      <c r="C95">
        <v>489</v>
      </c>
    </row>
    <row r="96" spans="1:3" ht="19.95" customHeight="1">
      <c r="A96" t="s">
        <v>1704</v>
      </c>
      <c r="B96" t="s">
        <v>78</v>
      </c>
      <c r="C96">
        <v>515</v>
      </c>
    </row>
    <row r="97" spans="1:3" ht="19.95" customHeight="1">
      <c r="A97" t="s">
        <v>1704</v>
      </c>
      <c r="B97" t="s">
        <v>105</v>
      </c>
      <c r="C97">
        <v>553</v>
      </c>
    </row>
    <row r="98" spans="1:3" ht="19.95" customHeight="1">
      <c r="A98" t="s">
        <v>1774</v>
      </c>
      <c r="B98" t="s">
        <v>14</v>
      </c>
      <c r="C98">
        <v>590</v>
      </c>
    </row>
    <row r="99" spans="1:3" ht="19.95" customHeight="1">
      <c r="A99" t="s">
        <v>1774</v>
      </c>
      <c r="B99" t="s">
        <v>47</v>
      </c>
      <c r="C99">
        <v>570</v>
      </c>
    </row>
    <row r="100" spans="1:3" ht="19.95" customHeight="1">
      <c r="A100" t="s">
        <v>1774</v>
      </c>
      <c r="B100" t="s">
        <v>78</v>
      </c>
      <c r="C100">
        <v>447</v>
      </c>
    </row>
    <row r="101" spans="1:3" ht="19.95" customHeight="1">
      <c r="A101" t="s">
        <v>1774</v>
      </c>
      <c r="B101" t="s">
        <v>105</v>
      </c>
      <c r="C101">
        <v>567</v>
      </c>
    </row>
    <row r="102" spans="1:3" ht="19.95" customHeight="1">
      <c r="A102" t="s">
        <v>1859</v>
      </c>
      <c r="B102" t="s">
        <v>14</v>
      </c>
      <c r="C102">
        <v>679</v>
      </c>
    </row>
    <row r="103" spans="1:3" ht="19.95" customHeight="1">
      <c r="A103" t="s">
        <v>1859</v>
      </c>
      <c r="B103" t="s">
        <v>47</v>
      </c>
      <c r="C103">
        <v>511</v>
      </c>
    </row>
    <row r="104" spans="1:3" ht="19.95" customHeight="1">
      <c r="A104" t="s">
        <v>1859</v>
      </c>
      <c r="B104" t="s">
        <v>78</v>
      </c>
      <c r="C104">
        <v>433</v>
      </c>
    </row>
    <row r="105" spans="1:3" ht="19.95" customHeight="1">
      <c r="A105" t="s">
        <v>1859</v>
      </c>
      <c r="B105" t="s">
        <v>105</v>
      </c>
      <c r="C105">
        <v>543</v>
      </c>
    </row>
    <row r="106" spans="1:3" ht="19.95" customHeight="1">
      <c r="A106" t="s">
        <v>1947</v>
      </c>
      <c r="B106" t="s">
        <v>14</v>
      </c>
      <c r="C106">
        <v>598</v>
      </c>
    </row>
    <row r="107" spans="1:3" ht="19.95" customHeight="1">
      <c r="A107" t="s">
        <v>1947</v>
      </c>
      <c r="B107" t="s">
        <v>47</v>
      </c>
      <c r="C107">
        <v>560</v>
      </c>
    </row>
    <row r="108" spans="1:3" ht="19.95" customHeight="1">
      <c r="A108" t="s">
        <v>1947</v>
      </c>
      <c r="B108" t="s">
        <v>78</v>
      </c>
      <c r="C108">
        <v>494</v>
      </c>
    </row>
    <row r="109" spans="1:3" ht="19.95" customHeight="1">
      <c r="A109" t="s">
        <v>1947</v>
      </c>
      <c r="B109" t="s">
        <v>105</v>
      </c>
      <c r="C109">
        <v>531</v>
      </c>
    </row>
    <row r="110" spans="1:3" ht="19.95" customHeight="1">
      <c r="A110" t="s">
        <v>2026</v>
      </c>
      <c r="B110" t="s">
        <v>14</v>
      </c>
      <c r="C110">
        <v>643</v>
      </c>
    </row>
    <row r="111" spans="1:3" ht="19.95" customHeight="1">
      <c r="A111" t="s">
        <v>2026</v>
      </c>
      <c r="B111" t="s">
        <v>47</v>
      </c>
      <c r="C111">
        <v>513</v>
      </c>
    </row>
    <row r="112" spans="1:3" ht="19.95" customHeight="1">
      <c r="A112" t="s">
        <v>2026</v>
      </c>
      <c r="B112" t="s">
        <v>78</v>
      </c>
      <c r="C112">
        <v>481</v>
      </c>
    </row>
    <row r="113" spans="1:3" ht="19.95" customHeight="1">
      <c r="A113" t="s">
        <v>2026</v>
      </c>
      <c r="B113" t="s">
        <v>105</v>
      </c>
      <c r="C113">
        <v>515</v>
      </c>
    </row>
    <row r="114" spans="1:3" ht="19.95" customHeight="1">
      <c r="A114" t="s">
        <v>2099</v>
      </c>
      <c r="B114" t="s">
        <v>14</v>
      </c>
      <c r="C114">
        <v>591</v>
      </c>
    </row>
    <row r="115" spans="1:3" ht="19.95" customHeight="1">
      <c r="A115" t="s">
        <v>2099</v>
      </c>
      <c r="B115" t="s">
        <v>47</v>
      </c>
      <c r="C115">
        <v>490</v>
      </c>
    </row>
    <row r="116" spans="1:3" ht="19.95" customHeight="1">
      <c r="A116" t="s">
        <v>2099</v>
      </c>
      <c r="B116" t="s">
        <v>78</v>
      </c>
      <c r="C116">
        <v>506</v>
      </c>
    </row>
    <row r="117" spans="1:3" ht="19.95" customHeight="1">
      <c r="A117" t="s">
        <v>2099</v>
      </c>
      <c r="B117" t="s">
        <v>105</v>
      </c>
      <c r="C117">
        <v>537</v>
      </c>
    </row>
    <row r="118" spans="1:3" ht="19.95" customHeight="1">
      <c r="A118" t="s">
        <v>2162</v>
      </c>
      <c r="B118" t="s">
        <v>14</v>
      </c>
      <c r="C118">
        <v>638</v>
      </c>
    </row>
    <row r="119" spans="1:3" ht="19.95" customHeight="1">
      <c r="A119" t="s">
        <v>2162</v>
      </c>
      <c r="B119" t="s">
        <v>47</v>
      </c>
      <c r="C119">
        <v>502</v>
      </c>
    </row>
    <row r="120" spans="1:3" ht="19.95" customHeight="1">
      <c r="A120" t="s">
        <v>2162</v>
      </c>
      <c r="B120" t="s">
        <v>78</v>
      </c>
      <c r="C120">
        <v>443</v>
      </c>
    </row>
    <row r="121" spans="1:3" ht="19.95" customHeight="1">
      <c r="A121" t="s">
        <v>2162</v>
      </c>
      <c r="B121" t="s">
        <v>105</v>
      </c>
      <c r="C121">
        <v>576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DEC1-D1DE-4744-B825-B0070FD8ED60}">
  <dimension ref="A1:H7"/>
  <sheetViews>
    <sheetView workbookViewId="0">
      <selection activeCell="B24" sqref="B24"/>
    </sheetView>
  </sheetViews>
  <sheetFormatPr defaultRowHeight="13.8"/>
  <cols>
    <col min="1" max="1" width="15.296875" bestFit="1" customWidth="1"/>
    <col min="2" max="2" width="9.8984375" bestFit="1" customWidth="1"/>
    <col min="3" max="3" width="11.5" bestFit="1" customWidth="1"/>
    <col min="4" max="4" width="13.796875" bestFit="1" customWidth="1"/>
    <col min="5" max="5" width="12.796875" bestFit="1" customWidth="1"/>
    <col min="6" max="6" width="16.59765625" bestFit="1" customWidth="1"/>
    <col min="7" max="7" width="22.8984375" bestFit="1" customWidth="1"/>
    <col min="8" max="8" width="32.796875" bestFit="1" customWidth="1"/>
  </cols>
  <sheetData>
    <row r="1" spans="1:8">
      <c r="A1" t="s">
        <v>0</v>
      </c>
      <c r="B1" t="s">
        <v>1</v>
      </c>
      <c r="C1" t="s">
        <v>2</v>
      </c>
      <c r="D1" t="s">
        <v>3</v>
      </c>
      <c r="E1" t="s">
        <v>4</v>
      </c>
      <c r="F1" t="s">
        <v>9</v>
      </c>
      <c r="G1" t="s">
        <v>10</v>
      </c>
      <c r="H1" t="s">
        <v>2229</v>
      </c>
    </row>
    <row r="2" spans="1:8">
      <c r="A2" t="s">
        <v>2160</v>
      </c>
      <c r="B2" s="3">
        <v>46202</v>
      </c>
      <c r="C2" t="s">
        <v>14</v>
      </c>
      <c r="D2" t="s">
        <v>28</v>
      </c>
      <c r="E2" t="s">
        <v>402</v>
      </c>
      <c r="F2">
        <v>200</v>
      </c>
      <c r="G2" t="s">
        <v>72</v>
      </c>
      <c r="H2" t="s">
        <v>2230</v>
      </c>
    </row>
    <row r="3" spans="1:8">
      <c r="A3" t="s">
        <v>91</v>
      </c>
      <c r="B3" s="3">
        <v>46174</v>
      </c>
      <c r="C3" t="s">
        <v>78</v>
      </c>
      <c r="D3" t="s">
        <v>85</v>
      </c>
      <c r="E3" t="s">
        <v>16</v>
      </c>
      <c r="F3">
        <v>200</v>
      </c>
      <c r="H3" t="s">
        <v>2231</v>
      </c>
    </row>
    <row r="4" spans="1:8">
      <c r="A4" t="s">
        <v>91</v>
      </c>
      <c r="B4" s="3">
        <v>46174</v>
      </c>
      <c r="C4" t="s">
        <v>78</v>
      </c>
      <c r="D4" t="s">
        <v>85</v>
      </c>
      <c r="E4" t="s">
        <v>16</v>
      </c>
      <c r="F4">
        <v>200</v>
      </c>
      <c r="H4" t="s">
        <v>2231</v>
      </c>
    </row>
    <row r="5" spans="1:8">
      <c r="A5" t="s">
        <v>269</v>
      </c>
      <c r="B5" s="3">
        <v>46176</v>
      </c>
      <c r="C5" t="s">
        <v>105</v>
      </c>
      <c r="D5" t="s">
        <v>116</v>
      </c>
      <c r="E5" t="s">
        <v>16</v>
      </c>
      <c r="F5">
        <v>200</v>
      </c>
      <c r="H5" t="s">
        <v>2231</v>
      </c>
    </row>
    <row r="6" spans="1:8">
      <c r="A6" t="s">
        <v>269</v>
      </c>
      <c r="B6" s="3">
        <v>46176</v>
      </c>
      <c r="C6" t="s">
        <v>105</v>
      </c>
      <c r="D6" t="s">
        <v>116</v>
      </c>
      <c r="E6" t="s">
        <v>16</v>
      </c>
      <c r="F6">
        <v>200</v>
      </c>
      <c r="H6" t="s">
        <v>2231</v>
      </c>
    </row>
    <row r="7" spans="1:8">
      <c r="A7" t="s">
        <v>2226</v>
      </c>
      <c r="B7" s="3">
        <v>46203</v>
      </c>
      <c r="C7" t="s">
        <v>47</v>
      </c>
      <c r="D7" t="s">
        <v>59</v>
      </c>
      <c r="E7" t="s">
        <v>402</v>
      </c>
      <c r="F7">
        <v>200</v>
      </c>
      <c r="G7" t="s">
        <v>2227</v>
      </c>
      <c r="H7" t="s">
        <v>2232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6E4C-70F4-44E8-97D2-C94C36E1BCD7}">
  <dimension ref="A1:V2116"/>
  <sheetViews>
    <sheetView topLeftCell="A4" workbookViewId="0">
      <selection activeCell="S1473" sqref="S1473"/>
    </sheetView>
  </sheetViews>
  <sheetFormatPr defaultRowHeight="13.8"/>
  <cols>
    <col min="1" max="1" width="15.296875" bestFit="1" customWidth="1"/>
    <col min="2" max="2" width="9.8984375" bestFit="1" customWidth="1"/>
    <col min="3" max="3" width="11.5" bestFit="1" customWidth="1"/>
    <col min="4" max="4" width="13.796875" bestFit="1" customWidth="1"/>
    <col min="5" max="5" width="12.796875" bestFit="1" customWidth="1"/>
    <col min="6" max="6" width="11.19921875" bestFit="1" customWidth="1"/>
    <col min="7" max="7" width="9.59765625" bestFit="1" customWidth="1"/>
    <col min="8" max="8" width="9.796875" bestFit="1" customWidth="1"/>
    <col min="9" max="9" width="12.19921875" bestFit="1" customWidth="1"/>
    <col min="10" max="10" width="16.59765625" bestFit="1" customWidth="1"/>
    <col min="11" max="11" width="22.8984375" bestFit="1" customWidth="1"/>
    <col min="12" max="12" width="16.09765625" bestFit="1" customWidth="1"/>
    <col min="13" max="13" width="18.296875" bestFit="1" customWidth="1"/>
    <col min="14" max="14" width="15.69921875" bestFit="1" customWidth="1"/>
    <col min="15" max="15" width="14.19921875" bestFit="1" customWidth="1"/>
    <col min="16" max="16" width="12.59765625" bestFit="1" customWidth="1"/>
    <col min="17" max="17" width="13.8984375" bestFit="1" customWidth="1"/>
    <col min="18" max="18" width="14" bestFit="1" customWidth="1"/>
    <col min="19" max="19" width="15.69921875" bestFit="1" customWidth="1"/>
    <col min="20" max="20" width="16.8984375" bestFit="1" customWidth="1"/>
    <col min="21" max="21" width="19.09765625" bestFit="1" customWidth="1"/>
    <col min="22" max="22" width="21.19921875" bestFit="1" customWidth="1"/>
  </cols>
  <sheetData>
    <row r="1" spans="1:22">
      <c r="A1" t="s">
        <v>0</v>
      </c>
      <c r="B1" t="s">
        <v>1</v>
      </c>
      <c r="C1" t="s">
        <v>2</v>
      </c>
      <c r="D1" t="s">
        <v>3</v>
      </c>
      <c r="E1" t="s">
        <v>4</v>
      </c>
      <c r="F1" t="s">
        <v>5</v>
      </c>
      <c r="G1" t="s">
        <v>6</v>
      </c>
      <c r="H1" t="s">
        <v>7</v>
      </c>
      <c r="I1" t="s">
        <v>8</v>
      </c>
      <c r="J1" t="s">
        <v>9</v>
      </c>
      <c r="K1" t="s">
        <v>10</v>
      </c>
      <c r="L1" t="s">
        <v>11</v>
      </c>
      <c r="M1" t="s">
        <v>2233</v>
      </c>
      <c r="N1" t="s">
        <v>2234</v>
      </c>
      <c r="O1" t="s">
        <v>2235</v>
      </c>
      <c r="P1" t="s">
        <v>2236</v>
      </c>
      <c r="Q1" t="s">
        <v>2237</v>
      </c>
      <c r="R1" t="s">
        <v>2238</v>
      </c>
      <c r="S1" t="s">
        <v>2239</v>
      </c>
      <c r="T1" t="s">
        <v>2240</v>
      </c>
      <c r="U1" t="s">
        <v>2241</v>
      </c>
      <c r="V1" t="s">
        <v>2242</v>
      </c>
    </row>
    <row r="2" spans="1:22">
      <c r="A2" t="s">
        <v>534</v>
      </c>
      <c r="B2" s="3">
        <v>46180</v>
      </c>
      <c r="C2" t="s">
        <v>14</v>
      </c>
      <c r="D2" t="s">
        <v>28</v>
      </c>
      <c r="E2" t="s">
        <v>402</v>
      </c>
      <c r="F2" t="s">
        <v>35</v>
      </c>
      <c r="G2" t="s">
        <v>18</v>
      </c>
      <c r="H2" t="s">
        <v>19</v>
      </c>
      <c r="I2" t="s">
        <v>20</v>
      </c>
      <c r="J2">
        <v>200</v>
      </c>
      <c r="K2" t="s">
        <v>132</v>
      </c>
      <c r="M2" t="s">
        <v>131</v>
      </c>
      <c r="N2" t="s">
        <v>35</v>
      </c>
      <c r="O2" t="s">
        <v>19</v>
      </c>
      <c r="P2" t="s">
        <v>20</v>
      </c>
      <c r="Q2">
        <v>200</v>
      </c>
      <c r="R2" t="s">
        <v>18</v>
      </c>
      <c r="S2">
        <v>0</v>
      </c>
      <c r="T2">
        <v>6</v>
      </c>
      <c r="U2">
        <v>0</v>
      </c>
      <c r="V2">
        <v>0</v>
      </c>
    </row>
    <row r="3" spans="1:22">
      <c r="A3" t="s">
        <v>535</v>
      </c>
      <c r="B3" s="3">
        <v>46180</v>
      </c>
      <c r="C3" t="s">
        <v>47</v>
      </c>
      <c r="D3" t="s">
        <v>64</v>
      </c>
      <c r="E3" t="s">
        <v>402</v>
      </c>
      <c r="F3" t="s">
        <v>17</v>
      </c>
      <c r="G3" t="s">
        <v>23</v>
      </c>
      <c r="H3" t="s">
        <v>19</v>
      </c>
      <c r="I3" t="s">
        <v>20</v>
      </c>
      <c r="J3">
        <v>120</v>
      </c>
      <c r="K3" t="s">
        <v>145</v>
      </c>
      <c r="M3" t="s">
        <v>73</v>
      </c>
      <c r="N3" t="s">
        <v>17</v>
      </c>
      <c r="O3" t="s">
        <v>19</v>
      </c>
      <c r="P3" t="s">
        <v>20</v>
      </c>
      <c r="Q3">
        <v>120</v>
      </c>
      <c r="R3" t="s">
        <v>23</v>
      </c>
      <c r="S3">
        <v>0</v>
      </c>
      <c r="T3">
        <v>9.6</v>
      </c>
      <c r="U3">
        <v>0</v>
      </c>
      <c r="V3">
        <v>1</v>
      </c>
    </row>
    <row r="4" spans="1:22">
      <c r="A4" t="s">
        <v>536</v>
      </c>
      <c r="B4" s="3">
        <v>46180</v>
      </c>
      <c r="C4" t="s">
        <v>105</v>
      </c>
      <c r="D4" t="s">
        <v>120</v>
      </c>
      <c r="E4" t="s">
        <v>402</v>
      </c>
      <c r="F4" t="s">
        <v>35</v>
      </c>
      <c r="G4" t="s">
        <v>23</v>
      </c>
      <c r="H4" t="s">
        <v>24</v>
      </c>
      <c r="I4" t="s">
        <v>20</v>
      </c>
      <c r="J4">
        <v>120</v>
      </c>
      <c r="K4" t="s">
        <v>196</v>
      </c>
      <c r="M4" t="s">
        <v>120</v>
      </c>
      <c r="N4" t="s">
        <v>35</v>
      </c>
      <c r="O4" t="s">
        <v>24</v>
      </c>
      <c r="P4" t="s">
        <v>20</v>
      </c>
      <c r="Q4">
        <v>120</v>
      </c>
      <c r="R4" t="s">
        <v>23</v>
      </c>
      <c r="S4">
        <v>0</v>
      </c>
      <c r="T4">
        <v>0</v>
      </c>
      <c r="U4">
        <v>0</v>
      </c>
      <c r="V4">
        <v>0</v>
      </c>
    </row>
    <row r="5" spans="1:22">
      <c r="A5" t="s">
        <v>467</v>
      </c>
      <c r="B5" s="3">
        <v>46179</v>
      </c>
      <c r="C5" t="s">
        <v>78</v>
      </c>
      <c r="D5" t="s">
        <v>161</v>
      </c>
      <c r="E5" t="s">
        <v>402</v>
      </c>
      <c r="F5" t="s">
        <v>17</v>
      </c>
      <c r="G5" t="s">
        <v>18</v>
      </c>
      <c r="H5" t="s">
        <v>24</v>
      </c>
      <c r="I5" t="s">
        <v>20</v>
      </c>
      <c r="J5">
        <v>200</v>
      </c>
      <c r="K5" t="s">
        <v>252</v>
      </c>
      <c r="M5" t="s">
        <v>93</v>
      </c>
      <c r="N5" t="s">
        <v>17</v>
      </c>
      <c r="O5" t="s">
        <v>24</v>
      </c>
      <c r="P5" t="s">
        <v>20</v>
      </c>
      <c r="Q5">
        <v>200</v>
      </c>
      <c r="R5" t="s">
        <v>18</v>
      </c>
      <c r="S5">
        <v>0</v>
      </c>
      <c r="T5">
        <v>0</v>
      </c>
      <c r="U5">
        <v>0</v>
      </c>
      <c r="V5">
        <v>0</v>
      </c>
    </row>
    <row r="6" spans="1:22">
      <c r="A6" t="s">
        <v>672</v>
      </c>
      <c r="B6" s="3">
        <v>46182</v>
      </c>
      <c r="C6" t="s">
        <v>14</v>
      </c>
      <c r="D6" t="s">
        <v>31</v>
      </c>
      <c r="E6" t="s">
        <v>402</v>
      </c>
      <c r="F6" t="s">
        <v>35</v>
      </c>
      <c r="G6" t="s">
        <v>18</v>
      </c>
      <c r="H6" t="s">
        <v>19</v>
      </c>
      <c r="I6" t="s">
        <v>20</v>
      </c>
      <c r="J6">
        <v>200</v>
      </c>
      <c r="K6" t="s">
        <v>275</v>
      </c>
      <c r="M6" t="s">
        <v>42</v>
      </c>
      <c r="N6" t="s">
        <v>35</v>
      </c>
      <c r="O6" t="s">
        <v>19</v>
      </c>
      <c r="P6" t="s">
        <v>20</v>
      </c>
      <c r="Q6">
        <v>200</v>
      </c>
      <c r="R6" t="s">
        <v>18</v>
      </c>
      <c r="S6">
        <v>0</v>
      </c>
      <c r="T6">
        <v>6</v>
      </c>
      <c r="U6">
        <v>0</v>
      </c>
      <c r="V6">
        <v>0</v>
      </c>
    </row>
    <row r="7" spans="1:22">
      <c r="A7" t="s">
        <v>463</v>
      </c>
      <c r="B7" s="3">
        <v>46179</v>
      </c>
      <c r="C7" t="s">
        <v>47</v>
      </c>
      <c r="D7" t="s">
        <v>64</v>
      </c>
      <c r="E7" t="s">
        <v>402</v>
      </c>
      <c r="F7" t="s">
        <v>17</v>
      </c>
      <c r="G7" t="s">
        <v>23</v>
      </c>
      <c r="H7" t="s">
        <v>19</v>
      </c>
      <c r="I7" t="s">
        <v>20</v>
      </c>
      <c r="J7">
        <v>120</v>
      </c>
      <c r="K7" t="s">
        <v>297</v>
      </c>
      <c r="M7" t="s">
        <v>50</v>
      </c>
      <c r="N7" t="s">
        <v>17</v>
      </c>
      <c r="O7" t="s">
        <v>19</v>
      </c>
      <c r="P7" t="s">
        <v>20</v>
      </c>
      <c r="Q7">
        <v>120</v>
      </c>
      <c r="R7" t="s">
        <v>23</v>
      </c>
      <c r="S7">
        <v>0</v>
      </c>
      <c r="T7">
        <v>9.6</v>
      </c>
      <c r="U7">
        <v>0</v>
      </c>
      <c r="V7">
        <v>1</v>
      </c>
    </row>
    <row r="8" spans="1:22">
      <c r="A8" t="s">
        <v>464</v>
      </c>
      <c r="B8" s="3">
        <v>46179</v>
      </c>
      <c r="C8" t="s">
        <v>78</v>
      </c>
      <c r="D8" t="s">
        <v>85</v>
      </c>
      <c r="E8" t="s">
        <v>402</v>
      </c>
      <c r="F8" t="s">
        <v>17</v>
      </c>
      <c r="G8" t="s">
        <v>23</v>
      </c>
      <c r="H8" t="s">
        <v>24</v>
      </c>
      <c r="I8" t="s">
        <v>20</v>
      </c>
      <c r="J8">
        <v>120</v>
      </c>
      <c r="K8" t="s">
        <v>312</v>
      </c>
      <c r="M8" t="s">
        <v>102</v>
      </c>
      <c r="N8" t="s">
        <v>17</v>
      </c>
      <c r="O8" t="s">
        <v>24</v>
      </c>
      <c r="P8" t="s">
        <v>20</v>
      </c>
      <c r="Q8">
        <v>120</v>
      </c>
      <c r="R8" t="s">
        <v>23</v>
      </c>
      <c r="S8">
        <v>0</v>
      </c>
      <c r="T8">
        <v>0</v>
      </c>
      <c r="U8">
        <v>0</v>
      </c>
      <c r="V8">
        <v>0</v>
      </c>
    </row>
    <row r="9" spans="1:22">
      <c r="A9" t="s">
        <v>401</v>
      </c>
      <c r="B9" s="3">
        <v>46178</v>
      </c>
      <c r="C9" t="s">
        <v>78</v>
      </c>
      <c r="D9" t="s">
        <v>242</v>
      </c>
      <c r="E9" t="s">
        <v>402</v>
      </c>
      <c r="F9" t="s">
        <v>17</v>
      </c>
      <c r="G9" t="s">
        <v>18</v>
      </c>
      <c r="H9" t="s">
        <v>19</v>
      </c>
      <c r="I9" t="s">
        <v>20</v>
      </c>
      <c r="J9">
        <v>200</v>
      </c>
      <c r="K9" t="s">
        <v>319</v>
      </c>
      <c r="M9" t="s">
        <v>242</v>
      </c>
      <c r="N9" t="s">
        <v>17</v>
      </c>
      <c r="O9" t="s">
        <v>19</v>
      </c>
      <c r="P9" t="s">
        <v>20</v>
      </c>
      <c r="Q9">
        <v>200</v>
      </c>
      <c r="R9" t="s">
        <v>18</v>
      </c>
      <c r="S9">
        <v>0</v>
      </c>
      <c r="T9">
        <v>20</v>
      </c>
      <c r="U9">
        <v>0</v>
      </c>
      <c r="V9">
        <v>1</v>
      </c>
    </row>
    <row r="10" spans="1:22">
      <c r="A10" t="s">
        <v>673</v>
      </c>
      <c r="B10" s="3">
        <v>46182</v>
      </c>
      <c r="C10" t="s">
        <v>78</v>
      </c>
      <c r="D10" t="s">
        <v>79</v>
      </c>
      <c r="E10" t="s">
        <v>402</v>
      </c>
      <c r="F10" t="s">
        <v>17</v>
      </c>
      <c r="G10" t="s">
        <v>23</v>
      </c>
      <c r="H10" t="s">
        <v>19</v>
      </c>
      <c r="I10" t="s">
        <v>20</v>
      </c>
      <c r="J10">
        <v>120</v>
      </c>
      <c r="K10" t="s">
        <v>321</v>
      </c>
      <c r="M10" t="s">
        <v>89</v>
      </c>
      <c r="N10" t="s">
        <v>17</v>
      </c>
      <c r="O10" t="s">
        <v>19</v>
      </c>
      <c r="P10" t="s">
        <v>20</v>
      </c>
      <c r="Q10">
        <v>120</v>
      </c>
      <c r="R10" t="s">
        <v>23</v>
      </c>
      <c r="S10">
        <v>0</v>
      </c>
      <c r="T10">
        <v>9.6</v>
      </c>
      <c r="U10">
        <v>0</v>
      </c>
      <c r="V10">
        <v>1</v>
      </c>
    </row>
    <row r="11" spans="1:22">
      <c r="A11" t="s">
        <v>465</v>
      </c>
      <c r="B11" s="3">
        <v>46179</v>
      </c>
      <c r="C11" t="s">
        <v>14</v>
      </c>
      <c r="D11" t="s">
        <v>34</v>
      </c>
      <c r="E11" t="s">
        <v>402</v>
      </c>
      <c r="F11" t="s">
        <v>17</v>
      </c>
      <c r="G11" t="s">
        <v>23</v>
      </c>
      <c r="H11" t="s">
        <v>19</v>
      </c>
      <c r="I11" t="s">
        <v>20</v>
      </c>
      <c r="J11">
        <v>120</v>
      </c>
      <c r="K11" t="s">
        <v>352</v>
      </c>
      <c r="M11" t="s">
        <v>22</v>
      </c>
      <c r="N11" t="s">
        <v>17</v>
      </c>
      <c r="O11" t="s">
        <v>19</v>
      </c>
      <c r="P11" t="s">
        <v>20</v>
      </c>
      <c r="Q11">
        <v>120</v>
      </c>
      <c r="R11" t="s">
        <v>23</v>
      </c>
      <c r="S11">
        <v>0</v>
      </c>
      <c r="T11">
        <v>9.6</v>
      </c>
      <c r="U11">
        <v>0</v>
      </c>
      <c r="V11">
        <v>1</v>
      </c>
    </row>
    <row r="12" spans="1:22">
      <c r="A12" t="s">
        <v>466</v>
      </c>
      <c r="B12" s="3">
        <v>46179</v>
      </c>
      <c r="C12" t="s">
        <v>47</v>
      </c>
      <c r="D12" t="s">
        <v>59</v>
      </c>
      <c r="E12" t="s">
        <v>402</v>
      </c>
      <c r="F12" t="s">
        <v>17</v>
      </c>
      <c r="G12" t="s">
        <v>23</v>
      </c>
      <c r="H12" t="s">
        <v>19</v>
      </c>
      <c r="I12" t="s">
        <v>20</v>
      </c>
      <c r="J12">
        <v>120</v>
      </c>
      <c r="K12" t="s">
        <v>360</v>
      </c>
      <c r="M12" t="s">
        <v>148</v>
      </c>
      <c r="N12" t="s">
        <v>17</v>
      </c>
      <c r="O12" t="s">
        <v>19</v>
      </c>
      <c r="P12" t="s">
        <v>20</v>
      </c>
      <c r="Q12">
        <v>120</v>
      </c>
      <c r="R12" t="s">
        <v>23</v>
      </c>
      <c r="S12">
        <v>0</v>
      </c>
      <c r="T12">
        <v>9.6</v>
      </c>
      <c r="U12">
        <v>0</v>
      </c>
      <c r="V12">
        <v>1</v>
      </c>
    </row>
    <row r="13" spans="1:22">
      <c r="A13" t="s">
        <v>944</v>
      </c>
      <c r="B13" s="3">
        <v>46186</v>
      </c>
      <c r="C13" t="s">
        <v>78</v>
      </c>
      <c r="D13" t="s">
        <v>93</v>
      </c>
      <c r="E13" t="s">
        <v>402</v>
      </c>
      <c r="F13" t="s">
        <v>17</v>
      </c>
      <c r="G13" t="s">
        <v>23</v>
      </c>
      <c r="H13" t="s">
        <v>19</v>
      </c>
      <c r="I13" t="s">
        <v>20</v>
      </c>
      <c r="J13">
        <v>120</v>
      </c>
      <c r="K13" t="s">
        <v>433</v>
      </c>
      <c r="M13" t="s">
        <v>83</v>
      </c>
      <c r="N13" t="s">
        <v>17</v>
      </c>
      <c r="O13" t="s">
        <v>19</v>
      </c>
      <c r="P13" t="s">
        <v>20</v>
      </c>
      <c r="Q13">
        <v>120</v>
      </c>
      <c r="R13" t="s">
        <v>23</v>
      </c>
      <c r="S13">
        <v>0</v>
      </c>
      <c r="T13">
        <v>9.6</v>
      </c>
      <c r="U13">
        <v>0</v>
      </c>
      <c r="V13">
        <v>1</v>
      </c>
    </row>
    <row r="14" spans="1:22">
      <c r="A14" t="s">
        <v>600</v>
      </c>
      <c r="B14" s="3">
        <v>46181</v>
      </c>
      <c r="C14" t="s">
        <v>78</v>
      </c>
      <c r="D14" t="s">
        <v>89</v>
      </c>
      <c r="E14" t="s">
        <v>402</v>
      </c>
      <c r="F14" t="s">
        <v>17</v>
      </c>
      <c r="G14" t="s">
        <v>23</v>
      </c>
      <c r="H14" t="s">
        <v>19</v>
      </c>
      <c r="I14" t="s">
        <v>20</v>
      </c>
      <c r="J14">
        <v>120</v>
      </c>
      <c r="K14" t="s">
        <v>436</v>
      </c>
      <c r="M14" t="s">
        <v>89</v>
      </c>
      <c r="N14" t="s">
        <v>17</v>
      </c>
      <c r="O14" t="s">
        <v>19</v>
      </c>
      <c r="P14" t="s">
        <v>20</v>
      </c>
      <c r="Q14">
        <v>120</v>
      </c>
      <c r="R14" t="s">
        <v>23</v>
      </c>
      <c r="S14">
        <v>0</v>
      </c>
      <c r="T14">
        <v>9.6</v>
      </c>
      <c r="U14">
        <v>0</v>
      </c>
      <c r="V14">
        <v>1</v>
      </c>
    </row>
    <row r="15" spans="1:22">
      <c r="A15" t="s">
        <v>671</v>
      </c>
      <c r="B15" s="3">
        <v>46182</v>
      </c>
      <c r="C15" t="s">
        <v>105</v>
      </c>
      <c r="D15" t="s">
        <v>108</v>
      </c>
      <c r="E15" t="s">
        <v>402</v>
      </c>
      <c r="F15" t="s">
        <v>17</v>
      </c>
      <c r="G15" t="s">
        <v>32</v>
      </c>
      <c r="H15" t="s">
        <v>24</v>
      </c>
      <c r="I15" t="s">
        <v>20</v>
      </c>
      <c r="J15">
        <v>300</v>
      </c>
      <c r="K15" t="s">
        <v>450</v>
      </c>
      <c r="M15" t="s">
        <v>191</v>
      </c>
      <c r="N15" t="s">
        <v>17</v>
      </c>
      <c r="O15" t="s">
        <v>24</v>
      </c>
      <c r="P15" t="s">
        <v>20</v>
      </c>
      <c r="Q15">
        <v>300</v>
      </c>
      <c r="R15" t="s">
        <v>32</v>
      </c>
      <c r="S15">
        <v>0</v>
      </c>
      <c r="T15">
        <v>0</v>
      </c>
      <c r="U15">
        <v>0</v>
      </c>
      <c r="V15">
        <v>0</v>
      </c>
    </row>
    <row r="16" spans="1:22">
      <c r="A16" t="s">
        <v>873</v>
      </c>
      <c r="B16" s="3">
        <v>46185</v>
      </c>
      <c r="C16" t="s">
        <v>105</v>
      </c>
      <c r="D16" t="s">
        <v>106</v>
      </c>
      <c r="E16" t="s">
        <v>402</v>
      </c>
      <c r="F16" t="s">
        <v>17</v>
      </c>
      <c r="G16" t="s">
        <v>18</v>
      </c>
      <c r="H16" t="s">
        <v>19</v>
      </c>
      <c r="I16" t="s">
        <v>20</v>
      </c>
      <c r="J16">
        <v>200</v>
      </c>
      <c r="K16" t="s">
        <v>459</v>
      </c>
      <c r="M16" t="s">
        <v>116</v>
      </c>
      <c r="N16" t="s">
        <v>17</v>
      </c>
      <c r="O16" t="s">
        <v>19</v>
      </c>
      <c r="P16" t="s">
        <v>20</v>
      </c>
      <c r="Q16">
        <v>200</v>
      </c>
      <c r="R16" t="s">
        <v>18</v>
      </c>
      <c r="S16">
        <v>0</v>
      </c>
      <c r="T16">
        <v>20</v>
      </c>
      <c r="U16">
        <v>0</v>
      </c>
      <c r="V16">
        <v>1</v>
      </c>
    </row>
    <row r="17" spans="1:22">
      <c r="A17" t="s">
        <v>674</v>
      </c>
      <c r="B17" s="3">
        <v>46182</v>
      </c>
      <c r="C17" t="s">
        <v>14</v>
      </c>
      <c r="D17" t="s">
        <v>26</v>
      </c>
      <c r="E17" t="s">
        <v>402</v>
      </c>
      <c r="F17" t="s">
        <v>17</v>
      </c>
      <c r="G17" t="s">
        <v>32</v>
      </c>
      <c r="H17" t="s">
        <v>19</v>
      </c>
      <c r="I17" t="s">
        <v>20</v>
      </c>
      <c r="J17">
        <v>300</v>
      </c>
      <c r="K17" t="s">
        <v>468</v>
      </c>
      <c r="M17" t="s">
        <v>42</v>
      </c>
      <c r="N17" t="s">
        <v>17</v>
      </c>
      <c r="O17" t="s">
        <v>19</v>
      </c>
      <c r="P17" t="s">
        <v>20</v>
      </c>
      <c r="Q17">
        <v>300</v>
      </c>
      <c r="R17" t="s">
        <v>32</v>
      </c>
      <c r="S17">
        <v>0</v>
      </c>
      <c r="T17">
        <v>36</v>
      </c>
      <c r="U17">
        <v>0</v>
      </c>
      <c r="V17">
        <v>1</v>
      </c>
    </row>
    <row r="18" spans="1:22">
      <c r="A18" t="s">
        <v>875</v>
      </c>
      <c r="B18" s="3">
        <v>46185</v>
      </c>
      <c r="C18" t="s">
        <v>78</v>
      </c>
      <c r="D18" t="s">
        <v>83</v>
      </c>
      <c r="E18" t="s">
        <v>402</v>
      </c>
      <c r="F18" t="s">
        <v>17</v>
      </c>
      <c r="G18" t="s">
        <v>18</v>
      </c>
      <c r="H18" t="s">
        <v>19</v>
      </c>
      <c r="I18" t="s">
        <v>20</v>
      </c>
      <c r="J18">
        <v>200</v>
      </c>
      <c r="K18" t="s">
        <v>512</v>
      </c>
      <c r="M18" t="s">
        <v>83</v>
      </c>
      <c r="N18" t="s">
        <v>17</v>
      </c>
      <c r="O18" t="s">
        <v>19</v>
      </c>
      <c r="P18" t="s">
        <v>20</v>
      </c>
      <c r="Q18">
        <v>200</v>
      </c>
      <c r="R18" t="s">
        <v>18</v>
      </c>
      <c r="S18">
        <v>0</v>
      </c>
      <c r="T18">
        <v>20</v>
      </c>
      <c r="U18">
        <v>0</v>
      </c>
      <c r="V18">
        <v>1</v>
      </c>
    </row>
    <row r="19" spans="1:22">
      <c r="A19" t="s">
        <v>941</v>
      </c>
      <c r="B19" s="3">
        <v>46186</v>
      </c>
      <c r="C19" t="s">
        <v>105</v>
      </c>
      <c r="D19" t="s">
        <v>265</v>
      </c>
      <c r="E19" t="s">
        <v>402</v>
      </c>
      <c r="F19" t="s">
        <v>35</v>
      </c>
      <c r="G19" t="s">
        <v>23</v>
      </c>
      <c r="H19" t="s">
        <v>19</v>
      </c>
      <c r="I19" t="s">
        <v>20</v>
      </c>
      <c r="J19">
        <v>102</v>
      </c>
      <c r="K19" t="s">
        <v>527</v>
      </c>
      <c r="L19" t="s">
        <v>29</v>
      </c>
      <c r="M19" t="s">
        <v>182</v>
      </c>
      <c r="N19" t="s">
        <v>35</v>
      </c>
      <c r="O19" t="s">
        <v>19</v>
      </c>
      <c r="P19" t="s">
        <v>20</v>
      </c>
      <c r="Q19">
        <v>102</v>
      </c>
      <c r="R19" t="s">
        <v>23</v>
      </c>
      <c r="S19">
        <v>0</v>
      </c>
      <c r="T19">
        <v>3.06</v>
      </c>
      <c r="U19">
        <v>0</v>
      </c>
      <c r="V19">
        <v>0</v>
      </c>
    </row>
    <row r="20" spans="1:22">
      <c r="A20" t="s">
        <v>735</v>
      </c>
      <c r="B20" s="3">
        <v>46183</v>
      </c>
      <c r="C20" t="s">
        <v>47</v>
      </c>
      <c r="D20" t="s">
        <v>152</v>
      </c>
      <c r="E20" t="s">
        <v>402</v>
      </c>
      <c r="F20" t="s">
        <v>35</v>
      </c>
      <c r="G20" t="s">
        <v>32</v>
      </c>
      <c r="H20" t="s">
        <v>19</v>
      </c>
      <c r="I20" t="s">
        <v>20</v>
      </c>
      <c r="J20">
        <v>300</v>
      </c>
      <c r="K20" t="s">
        <v>563</v>
      </c>
      <c r="M20" t="s">
        <v>148</v>
      </c>
      <c r="N20" t="s">
        <v>35</v>
      </c>
      <c r="O20" t="s">
        <v>19</v>
      </c>
      <c r="P20" t="s">
        <v>20</v>
      </c>
      <c r="Q20">
        <v>300</v>
      </c>
      <c r="R20" t="s">
        <v>32</v>
      </c>
      <c r="S20">
        <v>0</v>
      </c>
      <c r="T20">
        <v>9</v>
      </c>
      <c r="U20">
        <v>0</v>
      </c>
      <c r="V20">
        <v>0</v>
      </c>
    </row>
    <row r="21" spans="1:22">
      <c r="A21" t="s">
        <v>874</v>
      </c>
      <c r="B21" s="3">
        <v>46185</v>
      </c>
      <c r="C21" t="s">
        <v>105</v>
      </c>
      <c r="D21" t="s">
        <v>116</v>
      </c>
      <c r="E21" t="s">
        <v>402</v>
      </c>
      <c r="F21" t="s">
        <v>17</v>
      </c>
      <c r="G21" t="s">
        <v>32</v>
      </c>
      <c r="H21" t="s">
        <v>24</v>
      </c>
      <c r="I21" t="s">
        <v>20</v>
      </c>
      <c r="J21">
        <v>300</v>
      </c>
      <c r="K21" t="s">
        <v>661</v>
      </c>
      <c r="M21" t="s">
        <v>194</v>
      </c>
      <c r="N21" t="s">
        <v>17</v>
      </c>
      <c r="O21" t="s">
        <v>24</v>
      </c>
      <c r="P21" t="s">
        <v>20</v>
      </c>
      <c r="Q21">
        <v>300</v>
      </c>
      <c r="R21" t="s">
        <v>32</v>
      </c>
      <c r="S21">
        <v>0</v>
      </c>
      <c r="T21">
        <v>0</v>
      </c>
      <c r="U21">
        <v>0</v>
      </c>
      <c r="V21">
        <v>0</v>
      </c>
    </row>
    <row r="22" spans="1:22">
      <c r="A22" t="s">
        <v>802</v>
      </c>
      <c r="B22" s="3">
        <v>46184</v>
      </c>
      <c r="C22" t="s">
        <v>47</v>
      </c>
      <c r="D22" t="s">
        <v>62</v>
      </c>
      <c r="E22" t="s">
        <v>402</v>
      </c>
      <c r="F22" t="s">
        <v>17</v>
      </c>
      <c r="G22" t="s">
        <v>18</v>
      </c>
      <c r="H22" t="s">
        <v>19</v>
      </c>
      <c r="I22" t="s">
        <v>20</v>
      </c>
      <c r="J22">
        <v>200</v>
      </c>
      <c r="K22" t="s">
        <v>700</v>
      </c>
      <c r="M22" t="s">
        <v>66</v>
      </c>
      <c r="N22" t="s">
        <v>17</v>
      </c>
      <c r="O22" t="s">
        <v>19</v>
      </c>
      <c r="P22" t="s">
        <v>20</v>
      </c>
      <c r="Q22">
        <v>200</v>
      </c>
      <c r="R22" t="s">
        <v>18</v>
      </c>
      <c r="S22">
        <v>0</v>
      </c>
      <c r="T22">
        <v>20</v>
      </c>
      <c r="U22">
        <v>0</v>
      </c>
      <c r="V22">
        <v>1</v>
      </c>
    </row>
    <row r="23" spans="1:22">
      <c r="A23" t="s">
        <v>942</v>
      </c>
      <c r="B23" s="3">
        <v>46186</v>
      </c>
      <c r="C23" t="s">
        <v>47</v>
      </c>
      <c r="D23" t="s">
        <v>50</v>
      </c>
      <c r="E23" t="s">
        <v>402</v>
      </c>
      <c r="F23" t="s">
        <v>17</v>
      </c>
      <c r="G23" t="s">
        <v>32</v>
      </c>
      <c r="H23" t="s">
        <v>19</v>
      </c>
      <c r="I23" t="s">
        <v>20</v>
      </c>
      <c r="J23">
        <v>300</v>
      </c>
      <c r="K23" t="s">
        <v>702</v>
      </c>
      <c r="M23" t="s">
        <v>55</v>
      </c>
      <c r="N23" t="s">
        <v>17</v>
      </c>
      <c r="O23" t="s">
        <v>19</v>
      </c>
      <c r="P23" t="s">
        <v>20</v>
      </c>
      <c r="Q23">
        <v>300</v>
      </c>
      <c r="R23" t="s">
        <v>32</v>
      </c>
      <c r="S23">
        <v>0</v>
      </c>
      <c r="T23">
        <v>36</v>
      </c>
      <c r="U23">
        <v>0</v>
      </c>
      <c r="V23">
        <v>1</v>
      </c>
    </row>
    <row r="24" spans="1:22">
      <c r="A24" t="s">
        <v>1143</v>
      </c>
      <c r="B24" s="3">
        <v>46189</v>
      </c>
      <c r="C24" t="s">
        <v>105</v>
      </c>
      <c r="D24" t="s">
        <v>108</v>
      </c>
      <c r="E24" t="s">
        <v>402</v>
      </c>
      <c r="F24" t="s">
        <v>35</v>
      </c>
      <c r="G24" t="s">
        <v>18</v>
      </c>
      <c r="H24" t="s">
        <v>19</v>
      </c>
      <c r="I24" t="s">
        <v>20</v>
      </c>
      <c r="J24">
        <v>200</v>
      </c>
      <c r="K24" t="s">
        <v>725</v>
      </c>
      <c r="M24" t="s">
        <v>120</v>
      </c>
      <c r="N24" t="s">
        <v>35</v>
      </c>
      <c r="O24" t="s">
        <v>19</v>
      </c>
      <c r="P24" t="s">
        <v>20</v>
      </c>
      <c r="Q24">
        <v>200</v>
      </c>
      <c r="R24" t="s">
        <v>18</v>
      </c>
      <c r="S24">
        <v>0</v>
      </c>
      <c r="T24">
        <v>6</v>
      </c>
      <c r="U24">
        <v>0</v>
      </c>
      <c r="V24">
        <v>0</v>
      </c>
    </row>
    <row r="25" spans="1:22">
      <c r="A25" t="s">
        <v>943</v>
      </c>
      <c r="B25" s="3">
        <v>46186</v>
      </c>
      <c r="C25" t="s">
        <v>47</v>
      </c>
      <c r="D25" t="s">
        <v>66</v>
      </c>
      <c r="E25" t="s">
        <v>402</v>
      </c>
      <c r="F25" t="s">
        <v>17</v>
      </c>
      <c r="G25" t="s">
        <v>32</v>
      </c>
      <c r="H25" t="s">
        <v>19</v>
      </c>
      <c r="I25" t="s">
        <v>20</v>
      </c>
      <c r="J25">
        <v>300</v>
      </c>
      <c r="K25" t="s">
        <v>755</v>
      </c>
      <c r="M25" t="s">
        <v>52</v>
      </c>
      <c r="N25" t="s">
        <v>17</v>
      </c>
      <c r="O25" t="s">
        <v>19</v>
      </c>
      <c r="P25" t="s">
        <v>20</v>
      </c>
      <c r="Q25">
        <v>300</v>
      </c>
      <c r="R25" t="s">
        <v>32</v>
      </c>
      <c r="S25">
        <v>0</v>
      </c>
      <c r="T25">
        <v>36</v>
      </c>
      <c r="U25">
        <v>0</v>
      </c>
      <c r="V25">
        <v>1</v>
      </c>
    </row>
    <row r="26" spans="1:22">
      <c r="A26" t="s">
        <v>1142</v>
      </c>
      <c r="B26" s="3">
        <v>46189</v>
      </c>
      <c r="C26" t="s">
        <v>14</v>
      </c>
      <c r="D26" t="s">
        <v>31</v>
      </c>
      <c r="E26" t="s">
        <v>402</v>
      </c>
      <c r="F26" t="s">
        <v>35</v>
      </c>
      <c r="G26" t="s">
        <v>23</v>
      </c>
      <c r="H26" t="s">
        <v>19</v>
      </c>
      <c r="I26" t="s">
        <v>20</v>
      </c>
      <c r="J26">
        <v>120</v>
      </c>
      <c r="K26" t="s">
        <v>881</v>
      </c>
      <c r="M26" t="s">
        <v>210</v>
      </c>
      <c r="N26" t="s">
        <v>35</v>
      </c>
      <c r="O26" t="s">
        <v>19</v>
      </c>
      <c r="P26" t="s">
        <v>20</v>
      </c>
      <c r="Q26">
        <v>120</v>
      </c>
      <c r="R26" t="s">
        <v>23</v>
      </c>
      <c r="S26">
        <v>0</v>
      </c>
      <c r="T26">
        <v>3.6</v>
      </c>
      <c r="U26">
        <v>0</v>
      </c>
      <c r="V26">
        <v>0</v>
      </c>
    </row>
    <row r="27" spans="1:22">
      <c r="A27" t="s">
        <v>1479</v>
      </c>
      <c r="B27" s="3">
        <v>46193</v>
      </c>
      <c r="C27" t="s">
        <v>78</v>
      </c>
      <c r="D27" t="s">
        <v>161</v>
      </c>
      <c r="E27" t="s">
        <v>402</v>
      </c>
      <c r="F27" t="s">
        <v>17</v>
      </c>
      <c r="G27" t="s">
        <v>18</v>
      </c>
      <c r="H27" t="s">
        <v>19</v>
      </c>
      <c r="I27" t="s">
        <v>20</v>
      </c>
      <c r="J27">
        <v>200</v>
      </c>
      <c r="K27" t="s">
        <v>914</v>
      </c>
      <c r="M27" t="s">
        <v>87</v>
      </c>
      <c r="N27" t="s">
        <v>17</v>
      </c>
      <c r="O27" t="s">
        <v>19</v>
      </c>
      <c r="P27" t="s">
        <v>20</v>
      </c>
      <c r="Q27">
        <v>200</v>
      </c>
      <c r="R27" t="s">
        <v>18</v>
      </c>
      <c r="S27">
        <v>0</v>
      </c>
      <c r="T27">
        <v>20</v>
      </c>
      <c r="U27">
        <v>0</v>
      </c>
      <c r="V27">
        <v>1</v>
      </c>
    </row>
    <row r="28" spans="1:22">
      <c r="A28" t="s">
        <v>1481</v>
      </c>
      <c r="B28" s="3">
        <v>46193</v>
      </c>
      <c r="C28" t="s">
        <v>78</v>
      </c>
      <c r="D28" t="s">
        <v>163</v>
      </c>
      <c r="E28" t="s">
        <v>402</v>
      </c>
      <c r="F28" t="s">
        <v>17</v>
      </c>
      <c r="G28" t="s">
        <v>23</v>
      </c>
      <c r="H28" t="s">
        <v>19</v>
      </c>
      <c r="I28" t="s">
        <v>20</v>
      </c>
      <c r="J28">
        <v>120</v>
      </c>
      <c r="K28" t="s">
        <v>924</v>
      </c>
      <c r="M28" t="s">
        <v>83</v>
      </c>
      <c r="N28" t="s">
        <v>17</v>
      </c>
      <c r="O28" t="s">
        <v>19</v>
      </c>
      <c r="P28" t="s">
        <v>20</v>
      </c>
      <c r="Q28">
        <v>120</v>
      </c>
      <c r="R28" t="s">
        <v>23</v>
      </c>
      <c r="S28">
        <v>0</v>
      </c>
      <c r="T28">
        <v>9.6</v>
      </c>
      <c r="U28">
        <v>0</v>
      </c>
      <c r="V28">
        <v>1</v>
      </c>
    </row>
    <row r="29" spans="1:22">
      <c r="A29" t="s">
        <v>1480</v>
      </c>
      <c r="B29" s="3">
        <v>46193</v>
      </c>
      <c r="C29" t="s">
        <v>105</v>
      </c>
      <c r="D29" t="s">
        <v>116</v>
      </c>
      <c r="E29" t="s">
        <v>402</v>
      </c>
      <c r="F29" t="s">
        <v>17</v>
      </c>
      <c r="G29" t="s">
        <v>23</v>
      </c>
      <c r="H29" t="s">
        <v>19</v>
      </c>
      <c r="I29" t="s">
        <v>20</v>
      </c>
      <c r="J29">
        <v>120</v>
      </c>
      <c r="K29" t="s">
        <v>933</v>
      </c>
      <c r="M29" t="s">
        <v>112</v>
      </c>
      <c r="N29" t="s">
        <v>17</v>
      </c>
      <c r="O29" t="s">
        <v>19</v>
      </c>
      <c r="P29" t="s">
        <v>20</v>
      </c>
      <c r="Q29">
        <v>120</v>
      </c>
      <c r="R29" t="s">
        <v>23</v>
      </c>
      <c r="S29">
        <v>0</v>
      </c>
      <c r="T29">
        <v>9.6</v>
      </c>
      <c r="U29">
        <v>0</v>
      </c>
      <c r="V29">
        <v>1</v>
      </c>
    </row>
    <row r="30" spans="1:22">
      <c r="A30" t="s">
        <v>1310</v>
      </c>
      <c r="B30" s="3">
        <v>46191</v>
      </c>
      <c r="C30" t="s">
        <v>105</v>
      </c>
      <c r="D30" t="s">
        <v>110</v>
      </c>
      <c r="E30" t="s">
        <v>402</v>
      </c>
      <c r="F30" t="s">
        <v>17</v>
      </c>
      <c r="G30" t="s">
        <v>32</v>
      </c>
      <c r="H30" t="s">
        <v>19</v>
      </c>
      <c r="I30" t="s">
        <v>20</v>
      </c>
      <c r="J30">
        <v>300</v>
      </c>
      <c r="K30" t="s">
        <v>999</v>
      </c>
      <c r="M30" t="s">
        <v>182</v>
      </c>
      <c r="N30" t="s">
        <v>17</v>
      </c>
      <c r="O30" t="s">
        <v>19</v>
      </c>
      <c r="P30" t="s">
        <v>20</v>
      </c>
      <c r="Q30">
        <v>300</v>
      </c>
      <c r="R30" t="s">
        <v>32</v>
      </c>
      <c r="S30">
        <v>0</v>
      </c>
      <c r="T30">
        <v>36</v>
      </c>
      <c r="U30">
        <v>0</v>
      </c>
      <c r="V30">
        <v>1</v>
      </c>
    </row>
    <row r="31" spans="1:22">
      <c r="A31" t="s">
        <v>1309</v>
      </c>
      <c r="B31" s="3">
        <v>46191</v>
      </c>
      <c r="C31" t="s">
        <v>47</v>
      </c>
      <c r="D31" t="s">
        <v>55</v>
      </c>
      <c r="E31" t="s">
        <v>402</v>
      </c>
      <c r="F31" t="s">
        <v>17</v>
      </c>
      <c r="G31" t="s">
        <v>32</v>
      </c>
      <c r="H31" t="s">
        <v>19</v>
      </c>
      <c r="I31" t="s">
        <v>20</v>
      </c>
      <c r="J31">
        <v>300</v>
      </c>
      <c r="K31" t="s">
        <v>1091</v>
      </c>
      <c r="M31" t="s">
        <v>148</v>
      </c>
      <c r="N31" t="s">
        <v>17</v>
      </c>
      <c r="O31" t="s">
        <v>19</v>
      </c>
      <c r="P31" t="s">
        <v>20</v>
      </c>
      <c r="Q31">
        <v>300</v>
      </c>
      <c r="R31" t="s">
        <v>32</v>
      </c>
      <c r="S31">
        <v>0</v>
      </c>
      <c r="T31">
        <v>36</v>
      </c>
      <c r="U31">
        <v>0</v>
      </c>
      <c r="V31">
        <v>1</v>
      </c>
    </row>
    <row r="32" spans="1:22">
      <c r="A32" t="s">
        <v>1215</v>
      </c>
      <c r="B32" s="3">
        <v>46190</v>
      </c>
      <c r="C32" t="s">
        <v>47</v>
      </c>
      <c r="D32" t="s">
        <v>66</v>
      </c>
      <c r="E32" t="s">
        <v>402</v>
      </c>
      <c r="F32" t="s">
        <v>17</v>
      </c>
      <c r="G32" t="s">
        <v>18</v>
      </c>
      <c r="H32" t="s">
        <v>19</v>
      </c>
      <c r="I32" t="s">
        <v>20</v>
      </c>
      <c r="J32">
        <v>200</v>
      </c>
      <c r="K32" t="s">
        <v>1096</v>
      </c>
      <c r="M32" t="s">
        <v>152</v>
      </c>
      <c r="N32" t="s">
        <v>17</v>
      </c>
      <c r="O32" t="s">
        <v>19</v>
      </c>
      <c r="P32" t="s">
        <v>20</v>
      </c>
      <c r="Q32">
        <v>200</v>
      </c>
      <c r="R32" t="s">
        <v>18</v>
      </c>
      <c r="S32">
        <v>0</v>
      </c>
      <c r="T32">
        <v>20</v>
      </c>
      <c r="U32">
        <v>0</v>
      </c>
      <c r="V32">
        <v>1</v>
      </c>
    </row>
    <row r="33" spans="1:22">
      <c r="A33" t="s">
        <v>1397</v>
      </c>
      <c r="B33" s="3">
        <v>46192</v>
      </c>
      <c r="C33" t="s">
        <v>47</v>
      </c>
      <c r="D33" t="s">
        <v>66</v>
      </c>
      <c r="E33" t="s">
        <v>402</v>
      </c>
      <c r="F33" t="s">
        <v>17</v>
      </c>
      <c r="G33" t="s">
        <v>23</v>
      </c>
      <c r="H33" t="s">
        <v>19</v>
      </c>
      <c r="I33" t="s">
        <v>20</v>
      </c>
      <c r="J33">
        <v>120</v>
      </c>
      <c r="K33" t="s">
        <v>1165</v>
      </c>
      <c r="M33" t="s">
        <v>152</v>
      </c>
      <c r="N33" t="s">
        <v>17</v>
      </c>
      <c r="O33" t="s">
        <v>19</v>
      </c>
      <c r="P33" t="s">
        <v>20</v>
      </c>
      <c r="Q33">
        <v>120</v>
      </c>
      <c r="R33" t="s">
        <v>23</v>
      </c>
      <c r="S33">
        <v>0</v>
      </c>
      <c r="T33">
        <v>9.6</v>
      </c>
      <c r="U33">
        <v>0</v>
      </c>
      <c r="V33">
        <v>1</v>
      </c>
    </row>
    <row r="34" spans="1:22">
      <c r="A34" t="s">
        <v>1311</v>
      </c>
      <c r="B34" s="3">
        <v>46191</v>
      </c>
      <c r="C34" t="s">
        <v>47</v>
      </c>
      <c r="D34" t="s">
        <v>59</v>
      </c>
      <c r="E34" t="s">
        <v>402</v>
      </c>
      <c r="F34" t="s">
        <v>17</v>
      </c>
      <c r="G34" t="s">
        <v>32</v>
      </c>
      <c r="H34" t="s">
        <v>19</v>
      </c>
      <c r="I34" t="s">
        <v>20</v>
      </c>
      <c r="J34">
        <v>300</v>
      </c>
      <c r="K34" t="s">
        <v>1170</v>
      </c>
      <c r="M34" t="s">
        <v>50</v>
      </c>
      <c r="N34" t="s">
        <v>17</v>
      </c>
      <c r="O34" t="s">
        <v>19</v>
      </c>
      <c r="P34" t="s">
        <v>20</v>
      </c>
      <c r="Q34">
        <v>300</v>
      </c>
      <c r="R34" t="s">
        <v>32</v>
      </c>
      <c r="S34">
        <v>0</v>
      </c>
      <c r="T34">
        <v>36</v>
      </c>
      <c r="U34">
        <v>0</v>
      </c>
      <c r="V34">
        <v>1</v>
      </c>
    </row>
    <row r="35" spans="1:22">
      <c r="A35" t="s">
        <v>1771</v>
      </c>
      <c r="B35" s="3">
        <v>46197</v>
      </c>
      <c r="C35" t="s">
        <v>78</v>
      </c>
      <c r="D35" t="s">
        <v>89</v>
      </c>
      <c r="E35" t="s">
        <v>402</v>
      </c>
      <c r="F35" t="s">
        <v>17</v>
      </c>
      <c r="G35" t="s">
        <v>18</v>
      </c>
      <c r="H35" t="s">
        <v>19</v>
      </c>
      <c r="I35" t="s">
        <v>20</v>
      </c>
      <c r="J35">
        <v>150</v>
      </c>
      <c r="K35" t="s">
        <v>1190</v>
      </c>
      <c r="L35" t="s">
        <v>29</v>
      </c>
      <c r="M35" t="s">
        <v>89</v>
      </c>
      <c r="N35" t="s">
        <v>17</v>
      </c>
      <c r="O35" t="s">
        <v>19</v>
      </c>
      <c r="P35" t="s">
        <v>20</v>
      </c>
      <c r="Q35">
        <v>150</v>
      </c>
      <c r="R35" t="s">
        <v>18</v>
      </c>
      <c r="S35">
        <v>0</v>
      </c>
      <c r="T35">
        <v>15</v>
      </c>
      <c r="U35">
        <v>0</v>
      </c>
      <c r="V35">
        <v>1</v>
      </c>
    </row>
    <row r="36" spans="1:22">
      <c r="A36" t="s">
        <v>1308</v>
      </c>
      <c r="B36" s="3">
        <v>46191</v>
      </c>
      <c r="C36" t="s">
        <v>105</v>
      </c>
      <c r="D36" t="s">
        <v>182</v>
      </c>
      <c r="E36" t="s">
        <v>402</v>
      </c>
      <c r="F36" t="s">
        <v>17</v>
      </c>
      <c r="G36" t="s">
        <v>23</v>
      </c>
      <c r="H36" t="s">
        <v>19</v>
      </c>
      <c r="I36" t="s">
        <v>20</v>
      </c>
      <c r="J36">
        <v>120</v>
      </c>
      <c r="K36" t="s">
        <v>1214</v>
      </c>
      <c r="M36" t="s">
        <v>106</v>
      </c>
      <c r="N36" t="s">
        <v>17</v>
      </c>
      <c r="O36" t="s">
        <v>19</v>
      </c>
      <c r="P36" t="s">
        <v>20</v>
      </c>
      <c r="Q36">
        <v>120</v>
      </c>
      <c r="R36" t="s">
        <v>23</v>
      </c>
      <c r="S36">
        <v>0</v>
      </c>
      <c r="T36">
        <v>9.6</v>
      </c>
      <c r="U36">
        <v>0</v>
      </c>
      <c r="V36">
        <v>1</v>
      </c>
    </row>
    <row r="37" spans="1:22">
      <c r="A37" t="s">
        <v>1840</v>
      </c>
      <c r="B37" s="3">
        <v>46198</v>
      </c>
      <c r="C37" t="s">
        <v>78</v>
      </c>
      <c r="D37" t="s">
        <v>163</v>
      </c>
      <c r="E37" t="s">
        <v>402</v>
      </c>
      <c r="F37" t="s">
        <v>17</v>
      </c>
      <c r="G37" t="s">
        <v>32</v>
      </c>
      <c r="H37" t="s">
        <v>19</v>
      </c>
      <c r="I37" t="s">
        <v>20</v>
      </c>
      <c r="J37">
        <v>225</v>
      </c>
      <c r="K37" t="s">
        <v>1269</v>
      </c>
      <c r="L37" t="s">
        <v>1270</v>
      </c>
      <c r="M37" t="s">
        <v>87</v>
      </c>
      <c r="N37" t="s">
        <v>17</v>
      </c>
      <c r="O37" t="s">
        <v>19</v>
      </c>
      <c r="P37" t="s">
        <v>20</v>
      </c>
      <c r="Q37">
        <v>225</v>
      </c>
      <c r="R37" t="s">
        <v>32</v>
      </c>
      <c r="S37">
        <v>0</v>
      </c>
      <c r="T37">
        <v>27</v>
      </c>
      <c r="U37">
        <v>0</v>
      </c>
      <c r="V37">
        <v>1</v>
      </c>
    </row>
    <row r="38" spans="1:22">
      <c r="A38" t="s">
        <v>2012</v>
      </c>
      <c r="B38" s="3">
        <v>46200</v>
      </c>
      <c r="C38" t="s">
        <v>78</v>
      </c>
      <c r="D38" t="s">
        <v>85</v>
      </c>
      <c r="E38" t="s">
        <v>402</v>
      </c>
      <c r="F38" t="s">
        <v>17</v>
      </c>
      <c r="G38" t="s">
        <v>32</v>
      </c>
      <c r="H38" t="s">
        <v>19</v>
      </c>
      <c r="I38" t="s">
        <v>20</v>
      </c>
      <c r="J38">
        <v>225</v>
      </c>
      <c r="K38" t="s">
        <v>1271</v>
      </c>
      <c r="L38" t="s">
        <v>1270</v>
      </c>
      <c r="M38" t="s">
        <v>81</v>
      </c>
      <c r="N38" t="s">
        <v>17</v>
      </c>
      <c r="O38" t="s">
        <v>19</v>
      </c>
      <c r="P38" t="s">
        <v>20</v>
      </c>
      <c r="Q38">
        <v>225</v>
      </c>
      <c r="R38" t="s">
        <v>32</v>
      </c>
      <c r="S38">
        <v>0</v>
      </c>
      <c r="T38">
        <v>27</v>
      </c>
      <c r="U38">
        <v>0</v>
      </c>
      <c r="V38">
        <v>1</v>
      </c>
    </row>
    <row r="39" spans="1:22">
      <c r="A39" t="s">
        <v>1922</v>
      </c>
      <c r="B39" s="3">
        <v>46199</v>
      </c>
      <c r="C39" t="s">
        <v>78</v>
      </c>
      <c r="D39" t="s">
        <v>81</v>
      </c>
      <c r="E39" t="s">
        <v>402</v>
      </c>
      <c r="F39" t="s">
        <v>17</v>
      </c>
      <c r="G39" t="s">
        <v>32</v>
      </c>
      <c r="H39" t="s">
        <v>19</v>
      </c>
      <c r="I39" t="s">
        <v>20</v>
      </c>
      <c r="J39">
        <v>225</v>
      </c>
      <c r="K39" t="s">
        <v>1272</v>
      </c>
      <c r="L39" t="s">
        <v>1270</v>
      </c>
      <c r="M39" t="s">
        <v>87</v>
      </c>
      <c r="N39" t="s">
        <v>17</v>
      </c>
      <c r="O39" t="s">
        <v>19</v>
      </c>
      <c r="P39" t="s">
        <v>20</v>
      </c>
      <c r="Q39">
        <v>225</v>
      </c>
      <c r="R39" t="s">
        <v>32</v>
      </c>
      <c r="S39">
        <v>0</v>
      </c>
      <c r="T39">
        <v>27</v>
      </c>
      <c r="U39">
        <v>0</v>
      </c>
      <c r="V39">
        <v>1</v>
      </c>
    </row>
    <row r="40" spans="1:22">
      <c r="A40" t="s">
        <v>2013</v>
      </c>
      <c r="B40" s="3">
        <v>46200</v>
      </c>
      <c r="C40" t="s">
        <v>78</v>
      </c>
      <c r="D40" t="s">
        <v>102</v>
      </c>
      <c r="E40" t="s">
        <v>402</v>
      </c>
      <c r="F40" t="s">
        <v>17</v>
      </c>
      <c r="G40" t="s">
        <v>32</v>
      </c>
      <c r="H40" t="s">
        <v>19</v>
      </c>
      <c r="I40" t="s">
        <v>20</v>
      </c>
      <c r="J40">
        <v>225</v>
      </c>
      <c r="K40" t="s">
        <v>1273</v>
      </c>
      <c r="L40" t="s">
        <v>1270</v>
      </c>
      <c r="M40" t="s">
        <v>81</v>
      </c>
      <c r="N40" t="s">
        <v>17</v>
      </c>
      <c r="O40" t="s">
        <v>19</v>
      </c>
      <c r="P40" t="s">
        <v>20</v>
      </c>
      <c r="Q40">
        <v>225</v>
      </c>
      <c r="R40" t="s">
        <v>32</v>
      </c>
      <c r="S40">
        <v>0</v>
      </c>
      <c r="T40">
        <v>27</v>
      </c>
      <c r="U40">
        <v>0</v>
      </c>
      <c r="V40">
        <v>1</v>
      </c>
    </row>
    <row r="41" spans="1:22">
      <c r="A41" t="s">
        <v>2014</v>
      </c>
      <c r="B41" s="3">
        <v>46200</v>
      </c>
      <c r="C41" t="s">
        <v>78</v>
      </c>
      <c r="D41" t="s">
        <v>97</v>
      </c>
      <c r="E41" t="s">
        <v>402</v>
      </c>
      <c r="F41" t="s">
        <v>17</v>
      </c>
      <c r="G41" t="s">
        <v>32</v>
      </c>
      <c r="H41" t="s">
        <v>19</v>
      </c>
      <c r="I41" t="s">
        <v>20</v>
      </c>
      <c r="J41">
        <v>225</v>
      </c>
      <c r="K41" t="s">
        <v>1274</v>
      </c>
      <c r="L41" t="s">
        <v>1270</v>
      </c>
      <c r="M41" t="s">
        <v>97</v>
      </c>
      <c r="N41" t="s">
        <v>17</v>
      </c>
      <c r="O41" t="s">
        <v>19</v>
      </c>
      <c r="P41" t="s">
        <v>20</v>
      </c>
      <c r="Q41">
        <v>225</v>
      </c>
      <c r="R41" t="s">
        <v>32</v>
      </c>
      <c r="S41">
        <v>0</v>
      </c>
      <c r="T41">
        <v>27</v>
      </c>
      <c r="U41">
        <v>0</v>
      </c>
      <c r="V41">
        <v>1</v>
      </c>
    </row>
    <row r="42" spans="1:22">
      <c r="A42" t="s">
        <v>2015</v>
      </c>
      <c r="B42" s="3">
        <v>46200</v>
      </c>
      <c r="C42" t="s">
        <v>78</v>
      </c>
      <c r="D42" t="s">
        <v>87</v>
      </c>
      <c r="E42" t="s">
        <v>402</v>
      </c>
      <c r="F42" t="s">
        <v>17</v>
      </c>
      <c r="G42" t="s">
        <v>32</v>
      </c>
      <c r="H42" t="s">
        <v>19</v>
      </c>
      <c r="I42" t="s">
        <v>20</v>
      </c>
      <c r="J42">
        <v>225</v>
      </c>
      <c r="K42" t="s">
        <v>1275</v>
      </c>
      <c r="L42" t="s">
        <v>1270</v>
      </c>
      <c r="M42" t="s">
        <v>102</v>
      </c>
      <c r="N42" t="s">
        <v>17</v>
      </c>
      <c r="O42" t="s">
        <v>19</v>
      </c>
      <c r="P42" t="s">
        <v>20</v>
      </c>
      <c r="Q42">
        <v>225</v>
      </c>
      <c r="R42" t="s">
        <v>32</v>
      </c>
      <c r="S42">
        <v>0</v>
      </c>
      <c r="T42">
        <v>27</v>
      </c>
      <c r="U42">
        <v>0</v>
      </c>
      <c r="V42">
        <v>1</v>
      </c>
    </row>
    <row r="43" spans="1:22">
      <c r="A43" t="s">
        <v>1923</v>
      </c>
      <c r="B43" s="3">
        <v>46199</v>
      </c>
      <c r="C43" t="s">
        <v>78</v>
      </c>
      <c r="D43" t="s">
        <v>102</v>
      </c>
      <c r="E43" t="s">
        <v>402</v>
      </c>
      <c r="F43" t="s">
        <v>17</v>
      </c>
      <c r="G43" t="s">
        <v>32</v>
      </c>
      <c r="H43" t="s">
        <v>19</v>
      </c>
      <c r="I43" t="s">
        <v>20</v>
      </c>
      <c r="J43">
        <v>225</v>
      </c>
      <c r="K43" t="s">
        <v>1276</v>
      </c>
      <c r="L43" t="s">
        <v>1270</v>
      </c>
      <c r="M43" t="s">
        <v>83</v>
      </c>
      <c r="N43" t="s">
        <v>17</v>
      </c>
      <c r="O43" t="s">
        <v>19</v>
      </c>
      <c r="P43" t="s">
        <v>20</v>
      </c>
      <c r="Q43">
        <v>225</v>
      </c>
      <c r="R43" t="s">
        <v>32</v>
      </c>
      <c r="S43">
        <v>0</v>
      </c>
      <c r="T43">
        <v>27</v>
      </c>
      <c r="U43">
        <v>0</v>
      </c>
      <c r="V43">
        <v>1</v>
      </c>
    </row>
    <row r="44" spans="1:22">
      <c r="A44" t="s">
        <v>1841</v>
      </c>
      <c r="B44" s="3">
        <v>46198</v>
      </c>
      <c r="C44" t="s">
        <v>78</v>
      </c>
      <c r="D44" t="s">
        <v>87</v>
      </c>
      <c r="E44" t="s">
        <v>402</v>
      </c>
      <c r="F44" t="s">
        <v>17</v>
      </c>
      <c r="G44" t="s">
        <v>32</v>
      </c>
      <c r="H44" t="s">
        <v>19</v>
      </c>
      <c r="I44" t="s">
        <v>20</v>
      </c>
      <c r="J44">
        <v>225</v>
      </c>
      <c r="K44" t="s">
        <v>1277</v>
      </c>
      <c r="L44" t="s">
        <v>1270</v>
      </c>
      <c r="M44" t="s">
        <v>97</v>
      </c>
      <c r="N44" t="s">
        <v>17</v>
      </c>
      <c r="O44" t="s">
        <v>19</v>
      </c>
      <c r="P44" t="s">
        <v>20</v>
      </c>
      <c r="Q44">
        <v>225</v>
      </c>
      <c r="R44" t="s">
        <v>32</v>
      </c>
      <c r="S44">
        <v>0</v>
      </c>
      <c r="T44">
        <v>27</v>
      </c>
      <c r="U44">
        <v>0</v>
      </c>
      <c r="V44">
        <v>1</v>
      </c>
    </row>
    <row r="45" spans="1:22">
      <c r="A45" t="s">
        <v>2089</v>
      </c>
      <c r="B45" s="3">
        <v>46201</v>
      </c>
      <c r="C45" t="s">
        <v>78</v>
      </c>
      <c r="D45" t="s">
        <v>81</v>
      </c>
      <c r="E45" t="s">
        <v>402</v>
      </c>
      <c r="F45" t="s">
        <v>17</v>
      </c>
      <c r="G45" t="s">
        <v>32</v>
      </c>
      <c r="H45" t="s">
        <v>19</v>
      </c>
      <c r="I45" t="s">
        <v>20</v>
      </c>
      <c r="J45">
        <v>225</v>
      </c>
      <c r="K45" t="s">
        <v>1278</v>
      </c>
      <c r="L45" t="s">
        <v>1270</v>
      </c>
      <c r="M45" t="s">
        <v>79</v>
      </c>
      <c r="N45" t="s">
        <v>17</v>
      </c>
      <c r="O45" t="s">
        <v>19</v>
      </c>
      <c r="P45" t="s">
        <v>20</v>
      </c>
      <c r="Q45">
        <v>225</v>
      </c>
      <c r="R45" t="s">
        <v>32</v>
      </c>
      <c r="S45">
        <v>0</v>
      </c>
      <c r="T45">
        <v>27</v>
      </c>
      <c r="U45">
        <v>0</v>
      </c>
      <c r="V45">
        <v>1</v>
      </c>
    </row>
    <row r="46" spans="1:22">
      <c r="A46" t="s">
        <v>1924</v>
      </c>
      <c r="B46" s="3">
        <v>46199</v>
      </c>
      <c r="C46" t="s">
        <v>78</v>
      </c>
      <c r="D46" t="s">
        <v>102</v>
      </c>
      <c r="E46" t="s">
        <v>402</v>
      </c>
      <c r="F46" t="s">
        <v>17</v>
      </c>
      <c r="G46" t="s">
        <v>32</v>
      </c>
      <c r="H46" t="s">
        <v>19</v>
      </c>
      <c r="I46" t="s">
        <v>20</v>
      </c>
      <c r="J46">
        <v>225</v>
      </c>
      <c r="K46" t="s">
        <v>1279</v>
      </c>
      <c r="L46" t="s">
        <v>1270</v>
      </c>
      <c r="M46" t="s">
        <v>161</v>
      </c>
      <c r="N46" t="s">
        <v>17</v>
      </c>
      <c r="O46" t="s">
        <v>19</v>
      </c>
      <c r="P46" t="s">
        <v>20</v>
      </c>
      <c r="Q46">
        <v>225</v>
      </c>
      <c r="R46" t="s">
        <v>32</v>
      </c>
      <c r="S46">
        <v>0</v>
      </c>
      <c r="T46">
        <v>27</v>
      </c>
      <c r="U46">
        <v>0</v>
      </c>
      <c r="V46">
        <v>1</v>
      </c>
    </row>
    <row r="47" spans="1:22">
      <c r="A47" t="s">
        <v>1925</v>
      </c>
      <c r="B47" s="3">
        <v>46199</v>
      </c>
      <c r="C47" t="s">
        <v>78</v>
      </c>
      <c r="D47" t="s">
        <v>161</v>
      </c>
      <c r="E47" t="s">
        <v>402</v>
      </c>
      <c r="F47" t="s">
        <v>17</v>
      </c>
      <c r="G47" t="s">
        <v>32</v>
      </c>
      <c r="H47" t="s">
        <v>19</v>
      </c>
      <c r="I47" t="s">
        <v>20</v>
      </c>
      <c r="J47">
        <v>225</v>
      </c>
      <c r="K47" t="s">
        <v>1280</v>
      </c>
      <c r="L47" t="s">
        <v>1270</v>
      </c>
      <c r="M47" t="s">
        <v>163</v>
      </c>
      <c r="N47" t="s">
        <v>17</v>
      </c>
      <c r="O47" t="s">
        <v>19</v>
      </c>
      <c r="P47" t="s">
        <v>20</v>
      </c>
      <c r="Q47">
        <v>225</v>
      </c>
      <c r="R47" t="s">
        <v>32</v>
      </c>
      <c r="S47">
        <v>0</v>
      </c>
      <c r="T47">
        <v>27</v>
      </c>
      <c r="U47">
        <v>0</v>
      </c>
      <c r="V47">
        <v>1</v>
      </c>
    </row>
    <row r="48" spans="1:22">
      <c r="A48" t="s">
        <v>1926</v>
      </c>
      <c r="B48" s="3">
        <v>46199</v>
      </c>
      <c r="C48" t="s">
        <v>78</v>
      </c>
      <c r="D48" t="s">
        <v>242</v>
      </c>
      <c r="E48" t="s">
        <v>402</v>
      </c>
      <c r="F48" t="s">
        <v>17</v>
      </c>
      <c r="G48" t="s">
        <v>32</v>
      </c>
      <c r="H48" t="s">
        <v>19</v>
      </c>
      <c r="I48" t="s">
        <v>20</v>
      </c>
      <c r="J48">
        <v>225</v>
      </c>
      <c r="K48" t="s">
        <v>1281</v>
      </c>
      <c r="L48" t="s">
        <v>1270</v>
      </c>
      <c r="M48" t="s">
        <v>242</v>
      </c>
      <c r="N48" t="s">
        <v>17</v>
      </c>
      <c r="O48" t="s">
        <v>19</v>
      </c>
      <c r="P48" t="s">
        <v>20</v>
      </c>
      <c r="Q48">
        <v>225</v>
      </c>
      <c r="R48" t="s">
        <v>32</v>
      </c>
      <c r="S48">
        <v>0</v>
      </c>
      <c r="T48">
        <v>27</v>
      </c>
      <c r="U48">
        <v>0</v>
      </c>
      <c r="V48">
        <v>1</v>
      </c>
    </row>
    <row r="49" spans="1:22">
      <c r="A49" t="s">
        <v>1927</v>
      </c>
      <c r="B49" s="3">
        <v>46199</v>
      </c>
      <c r="C49" t="s">
        <v>78</v>
      </c>
      <c r="D49" t="s">
        <v>161</v>
      </c>
      <c r="E49" t="s">
        <v>402</v>
      </c>
      <c r="F49" t="s">
        <v>17</v>
      </c>
      <c r="G49" t="s">
        <v>32</v>
      </c>
      <c r="H49" t="s">
        <v>19</v>
      </c>
      <c r="I49" t="s">
        <v>20</v>
      </c>
      <c r="J49">
        <v>225</v>
      </c>
      <c r="K49" t="s">
        <v>1282</v>
      </c>
      <c r="L49" t="s">
        <v>1270</v>
      </c>
      <c r="M49" t="s">
        <v>97</v>
      </c>
      <c r="N49" t="s">
        <v>17</v>
      </c>
      <c r="O49" t="s">
        <v>19</v>
      </c>
      <c r="P49" t="s">
        <v>20</v>
      </c>
      <c r="Q49">
        <v>225</v>
      </c>
      <c r="R49" t="s">
        <v>32</v>
      </c>
      <c r="S49">
        <v>0</v>
      </c>
      <c r="T49">
        <v>27</v>
      </c>
      <c r="U49">
        <v>0</v>
      </c>
      <c r="V49">
        <v>1</v>
      </c>
    </row>
    <row r="50" spans="1:22">
      <c r="A50" t="s">
        <v>1842</v>
      </c>
      <c r="B50" s="3">
        <v>46198</v>
      </c>
      <c r="C50" t="s">
        <v>78</v>
      </c>
      <c r="D50" t="s">
        <v>83</v>
      </c>
      <c r="E50" t="s">
        <v>402</v>
      </c>
      <c r="F50" t="s">
        <v>17</v>
      </c>
      <c r="G50" t="s">
        <v>32</v>
      </c>
      <c r="H50" t="s">
        <v>19</v>
      </c>
      <c r="I50" t="s">
        <v>20</v>
      </c>
      <c r="J50">
        <v>225</v>
      </c>
      <c r="K50" t="s">
        <v>1283</v>
      </c>
      <c r="L50" t="s">
        <v>1270</v>
      </c>
      <c r="M50" t="s">
        <v>89</v>
      </c>
      <c r="N50" t="s">
        <v>17</v>
      </c>
      <c r="O50" t="s">
        <v>19</v>
      </c>
      <c r="P50" t="s">
        <v>20</v>
      </c>
      <c r="Q50">
        <v>225</v>
      </c>
      <c r="R50" t="s">
        <v>32</v>
      </c>
      <c r="S50">
        <v>0</v>
      </c>
      <c r="T50">
        <v>27</v>
      </c>
      <c r="U50">
        <v>0</v>
      </c>
      <c r="V50">
        <v>1</v>
      </c>
    </row>
    <row r="51" spans="1:22">
      <c r="A51" t="s">
        <v>1928</v>
      </c>
      <c r="B51" s="3">
        <v>46199</v>
      </c>
      <c r="C51" t="s">
        <v>78</v>
      </c>
      <c r="D51" t="s">
        <v>93</v>
      </c>
      <c r="E51" t="s">
        <v>402</v>
      </c>
      <c r="F51" t="s">
        <v>17</v>
      </c>
      <c r="G51" t="s">
        <v>32</v>
      </c>
      <c r="H51" t="s">
        <v>19</v>
      </c>
      <c r="I51" t="s">
        <v>20</v>
      </c>
      <c r="J51">
        <v>225</v>
      </c>
      <c r="K51" t="s">
        <v>1284</v>
      </c>
      <c r="L51" t="s">
        <v>1270</v>
      </c>
      <c r="M51" t="s">
        <v>79</v>
      </c>
      <c r="N51" t="s">
        <v>17</v>
      </c>
      <c r="O51" t="s">
        <v>19</v>
      </c>
      <c r="P51" t="s">
        <v>20</v>
      </c>
      <c r="Q51">
        <v>225</v>
      </c>
      <c r="R51" t="s">
        <v>32</v>
      </c>
      <c r="S51">
        <v>0</v>
      </c>
      <c r="T51">
        <v>27</v>
      </c>
      <c r="U51">
        <v>0</v>
      </c>
      <c r="V51">
        <v>1</v>
      </c>
    </row>
    <row r="52" spans="1:22">
      <c r="A52" t="s">
        <v>2016</v>
      </c>
      <c r="B52" s="3">
        <v>46200</v>
      </c>
      <c r="C52" t="s">
        <v>78</v>
      </c>
      <c r="D52" t="s">
        <v>79</v>
      </c>
      <c r="E52" t="s">
        <v>402</v>
      </c>
      <c r="F52" t="s">
        <v>17</v>
      </c>
      <c r="G52" t="s">
        <v>32</v>
      </c>
      <c r="H52" t="s">
        <v>19</v>
      </c>
      <c r="I52" t="s">
        <v>20</v>
      </c>
      <c r="J52">
        <v>225</v>
      </c>
      <c r="K52" t="s">
        <v>1285</v>
      </c>
      <c r="L52" t="s">
        <v>1270</v>
      </c>
      <c r="M52" t="s">
        <v>102</v>
      </c>
      <c r="N52" t="s">
        <v>17</v>
      </c>
      <c r="O52" t="s">
        <v>19</v>
      </c>
      <c r="P52" t="s">
        <v>20</v>
      </c>
      <c r="Q52">
        <v>225</v>
      </c>
      <c r="R52" t="s">
        <v>32</v>
      </c>
      <c r="S52">
        <v>0</v>
      </c>
      <c r="T52">
        <v>27</v>
      </c>
      <c r="U52">
        <v>0</v>
      </c>
      <c r="V52">
        <v>1</v>
      </c>
    </row>
    <row r="53" spans="1:22">
      <c r="A53" t="s">
        <v>1929</v>
      </c>
      <c r="B53" s="3">
        <v>46199</v>
      </c>
      <c r="C53" t="s">
        <v>78</v>
      </c>
      <c r="D53" t="s">
        <v>79</v>
      </c>
      <c r="E53" t="s">
        <v>402</v>
      </c>
      <c r="F53" t="s">
        <v>17</v>
      </c>
      <c r="G53" t="s">
        <v>32</v>
      </c>
      <c r="H53" t="s">
        <v>19</v>
      </c>
      <c r="I53" t="s">
        <v>20</v>
      </c>
      <c r="J53">
        <v>225</v>
      </c>
      <c r="K53" t="s">
        <v>1286</v>
      </c>
      <c r="L53" t="s">
        <v>1270</v>
      </c>
      <c r="M53" t="s">
        <v>102</v>
      </c>
      <c r="N53" t="s">
        <v>17</v>
      </c>
      <c r="O53" t="s">
        <v>19</v>
      </c>
      <c r="P53" t="s">
        <v>20</v>
      </c>
      <c r="Q53">
        <v>225</v>
      </c>
      <c r="R53" t="s">
        <v>32</v>
      </c>
      <c r="S53">
        <v>0</v>
      </c>
      <c r="T53">
        <v>27</v>
      </c>
      <c r="U53">
        <v>0</v>
      </c>
      <c r="V53">
        <v>1</v>
      </c>
    </row>
    <row r="54" spans="1:22">
      <c r="A54" t="s">
        <v>2017</v>
      </c>
      <c r="B54" s="3">
        <v>46200</v>
      </c>
      <c r="C54" t="s">
        <v>78</v>
      </c>
      <c r="D54" t="s">
        <v>85</v>
      </c>
      <c r="E54" t="s">
        <v>402</v>
      </c>
      <c r="F54" t="s">
        <v>17</v>
      </c>
      <c r="G54" t="s">
        <v>32</v>
      </c>
      <c r="H54" t="s">
        <v>19</v>
      </c>
      <c r="I54" t="s">
        <v>20</v>
      </c>
      <c r="J54">
        <v>225</v>
      </c>
      <c r="K54" t="s">
        <v>1287</v>
      </c>
      <c r="L54" t="s">
        <v>1270</v>
      </c>
      <c r="M54" t="s">
        <v>102</v>
      </c>
      <c r="N54" t="s">
        <v>17</v>
      </c>
      <c r="O54" t="s">
        <v>19</v>
      </c>
      <c r="P54" t="s">
        <v>20</v>
      </c>
      <c r="Q54">
        <v>225</v>
      </c>
      <c r="R54" t="s">
        <v>32</v>
      </c>
      <c r="S54">
        <v>0</v>
      </c>
      <c r="T54">
        <v>27</v>
      </c>
      <c r="U54">
        <v>0</v>
      </c>
      <c r="V54">
        <v>1</v>
      </c>
    </row>
    <row r="55" spans="1:22">
      <c r="A55" t="s">
        <v>2090</v>
      </c>
      <c r="B55" s="3">
        <v>46201</v>
      </c>
      <c r="C55" t="s">
        <v>78</v>
      </c>
      <c r="D55" t="s">
        <v>79</v>
      </c>
      <c r="E55" t="s">
        <v>402</v>
      </c>
      <c r="F55" t="s">
        <v>17</v>
      </c>
      <c r="G55" t="s">
        <v>32</v>
      </c>
      <c r="H55" t="s">
        <v>19</v>
      </c>
      <c r="I55" t="s">
        <v>20</v>
      </c>
      <c r="J55">
        <v>225</v>
      </c>
      <c r="K55" t="s">
        <v>1288</v>
      </c>
      <c r="L55" t="s">
        <v>1270</v>
      </c>
      <c r="M55" t="s">
        <v>89</v>
      </c>
      <c r="N55" t="s">
        <v>17</v>
      </c>
      <c r="O55" t="s">
        <v>19</v>
      </c>
      <c r="P55" t="s">
        <v>20</v>
      </c>
      <c r="Q55">
        <v>225</v>
      </c>
      <c r="R55" t="s">
        <v>32</v>
      </c>
      <c r="S55">
        <v>0</v>
      </c>
      <c r="T55">
        <v>27</v>
      </c>
      <c r="U55">
        <v>0</v>
      </c>
      <c r="V55">
        <v>1</v>
      </c>
    </row>
    <row r="56" spans="1:22">
      <c r="A56" t="s">
        <v>1772</v>
      </c>
      <c r="B56" s="3">
        <v>46197</v>
      </c>
      <c r="C56" t="s">
        <v>14</v>
      </c>
      <c r="D56" t="s">
        <v>26</v>
      </c>
      <c r="E56" t="s">
        <v>402</v>
      </c>
      <c r="F56" t="s">
        <v>35</v>
      </c>
      <c r="G56" t="s">
        <v>32</v>
      </c>
      <c r="H56" t="s">
        <v>24</v>
      </c>
      <c r="I56" t="s">
        <v>20</v>
      </c>
      <c r="J56">
        <v>255</v>
      </c>
      <c r="K56" t="s">
        <v>1319</v>
      </c>
      <c r="L56" t="s">
        <v>29</v>
      </c>
      <c r="M56" t="s">
        <v>42</v>
      </c>
      <c r="N56" t="s">
        <v>35</v>
      </c>
      <c r="O56" t="s">
        <v>24</v>
      </c>
      <c r="P56" t="s">
        <v>20</v>
      </c>
      <c r="Q56">
        <v>255</v>
      </c>
      <c r="R56" t="s">
        <v>32</v>
      </c>
      <c r="S56">
        <v>0</v>
      </c>
      <c r="T56">
        <v>0</v>
      </c>
      <c r="U56">
        <v>0</v>
      </c>
      <c r="V56">
        <v>0</v>
      </c>
    </row>
    <row r="57" spans="1:22">
      <c r="A57" t="s">
        <v>1945</v>
      </c>
      <c r="B57" s="3">
        <v>46199</v>
      </c>
      <c r="C57" t="s">
        <v>14</v>
      </c>
      <c r="D57" t="s">
        <v>26</v>
      </c>
      <c r="E57" t="s">
        <v>402</v>
      </c>
      <c r="F57" t="s">
        <v>35</v>
      </c>
      <c r="G57" t="s">
        <v>18</v>
      </c>
      <c r="H57" t="s">
        <v>19</v>
      </c>
      <c r="I57" t="s">
        <v>20</v>
      </c>
      <c r="J57">
        <v>200</v>
      </c>
      <c r="K57" t="s">
        <v>1324</v>
      </c>
      <c r="M57" t="s">
        <v>42</v>
      </c>
      <c r="N57" t="s">
        <v>35</v>
      </c>
      <c r="O57" t="s">
        <v>19</v>
      </c>
      <c r="P57" t="s">
        <v>20</v>
      </c>
      <c r="Q57">
        <v>200</v>
      </c>
      <c r="R57" t="s">
        <v>18</v>
      </c>
      <c r="S57">
        <v>0</v>
      </c>
      <c r="T57">
        <v>6</v>
      </c>
      <c r="U57">
        <v>0</v>
      </c>
      <c r="V57">
        <v>0</v>
      </c>
    </row>
    <row r="58" spans="1:22">
      <c r="A58" t="s">
        <v>1944</v>
      </c>
      <c r="B58" s="3">
        <v>46199</v>
      </c>
      <c r="C58" t="s">
        <v>14</v>
      </c>
      <c r="D58" t="s">
        <v>34</v>
      </c>
      <c r="E58" t="s">
        <v>402</v>
      </c>
      <c r="F58" t="s">
        <v>17</v>
      </c>
      <c r="G58" t="s">
        <v>32</v>
      </c>
      <c r="H58" t="s">
        <v>19</v>
      </c>
      <c r="I58" t="s">
        <v>20</v>
      </c>
      <c r="J58">
        <v>300</v>
      </c>
      <c r="K58" t="s">
        <v>1326</v>
      </c>
      <c r="M58" t="s">
        <v>15</v>
      </c>
      <c r="N58" t="s">
        <v>17</v>
      </c>
      <c r="O58" t="s">
        <v>19</v>
      </c>
      <c r="P58" t="s">
        <v>20</v>
      </c>
      <c r="Q58">
        <v>300</v>
      </c>
      <c r="R58" t="s">
        <v>32</v>
      </c>
      <c r="S58">
        <v>0</v>
      </c>
      <c r="T58">
        <v>36</v>
      </c>
      <c r="U58">
        <v>0</v>
      </c>
      <c r="V58">
        <v>1</v>
      </c>
    </row>
    <row r="59" spans="1:22">
      <c r="A59" t="s">
        <v>1853</v>
      </c>
      <c r="B59" s="3">
        <v>46198</v>
      </c>
      <c r="C59" t="s">
        <v>78</v>
      </c>
      <c r="D59" t="s">
        <v>97</v>
      </c>
      <c r="E59" t="s">
        <v>402</v>
      </c>
      <c r="F59" t="s">
        <v>17</v>
      </c>
      <c r="G59" t="s">
        <v>23</v>
      </c>
      <c r="H59" t="s">
        <v>19</v>
      </c>
      <c r="I59" t="s">
        <v>20</v>
      </c>
      <c r="J59">
        <v>120</v>
      </c>
      <c r="K59" t="s">
        <v>1358</v>
      </c>
      <c r="M59" t="s">
        <v>242</v>
      </c>
      <c r="N59" t="s">
        <v>17</v>
      </c>
      <c r="O59" t="s">
        <v>19</v>
      </c>
      <c r="P59" t="s">
        <v>20</v>
      </c>
      <c r="Q59">
        <v>120</v>
      </c>
      <c r="R59" t="s">
        <v>23</v>
      </c>
      <c r="S59">
        <v>0</v>
      </c>
      <c r="T59">
        <v>9.6</v>
      </c>
      <c r="U59">
        <v>0</v>
      </c>
      <c r="V59">
        <v>1</v>
      </c>
    </row>
    <row r="60" spans="1:22">
      <c r="A60" t="s">
        <v>2018</v>
      </c>
      <c r="B60" s="3">
        <v>46200</v>
      </c>
      <c r="C60" t="s">
        <v>78</v>
      </c>
      <c r="D60" t="s">
        <v>87</v>
      </c>
      <c r="E60" t="s">
        <v>402</v>
      </c>
      <c r="F60" t="s">
        <v>17</v>
      </c>
      <c r="G60" t="s">
        <v>32</v>
      </c>
      <c r="H60" t="s">
        <v>19</v>
      </c>
      <c r="I60" t="s">
        <v>20</v>
      </c>
      <c r="J60">
        <v>225</v>
      </c>
      <c r="K60" t="s">
        <v>1360</v>
      </c>
      <c r="L60" t="s">
        <v>1270</v>
      </c>
      <c r="M60" t="s">
        <v>89</v>
      </c>
      <c r="N60" t="s">
        <v>17</v>
      </c>
      <c r="O60" t="s">
        <v>19</v>
      </c>
      <c r="P60" t="s">
        <v>20</v>
      </c>
      <c r="Q60">
        <v>225</v>
      </c>
      <c r="R60" t="s">
        <v>32</v>
      </c>
      <c r="S60">
        <v>0</v>
      </c>
      <c r="T60">
        <v>27</v>
      </c>
      <c r="U60">
        <v>0</v>
      </c>
      <c r="V60">
        <v>1</v>
      </c>
    </row>
    <row r="61" spans="1:22">
      <c r="A61" t="s">
        <v>2019</v>
      </c>
      <c r="B61" s="3">
        <v>46200</v>
      </c>
      <c r="C61" t="s">
        <v>78</v>
      </c>
      <c r="D61" t="s">
        <v>102</v>
      </c>
      <c r="E61" t="s">
        <v>402</v>
      </c>
      <c r="F61" t="s">
        <v>17</v>
      </c>
      <c r="G61" t="s">
        <v>32</v>
      </c>
      <c r="H61" t="s">
        <v>19</v>
      </c>
      <c r="I61" t="s">
        <v>20</v>
      </c>
      <c r="J61">
        <v>225</v>
      </c>
      <c r="K61" t="s">
        <v>1361</v>
      </c>
      <c r="L61" t="s">
        <v>1270</v>
      </c>
      <c r="M61" t="s">
        <v>242</v>
      </c>
      <c r="N61" t="s">
        <v>17</v>
      </c>
      <c r="O61" t="s">
        <v>19</v>
      </c>
      <c r="P61" t="s">
        <v>20</v>
      </c>
      <c r="Q61">
        <v>225</v>
      </c>
      <c r="R61" t="s">
        <v>32</v>
      </c>
      <c r="S61">
        <v>0</v>
      </c>
      <c r="T61">
        <v>27</v>
      </c>
      <c r="U61">
        <v>0</v>
      </c>
      <c r="V61">
        <v>1</v>
      </c>
    </row>
    <row r="62" spans="1:22">
      <c r="A62" t="s">
        <v>1930</v>
      </c>
      <c r="B62" s="3">
        <v>46199</v>
      </c>
      <c r="C62" t="s">
        <v>78</v>
      </c>
      <c r="D62" t="s">
        <v>79</v>
      </c>
      <c r="E62" t="s">
        <v>402</v>
      </c>
      <c r="F62" t="s">
        <v>17</v>
      </c>
      <c r="G62" t="s">
        <v>32</v>
      </c>
      <c r="H62" t="s">
        <v>19</v>
      </c>
      <c r="I62" t="s">
        <v>20</v>
      </c>
      <c r="J62">
        <v>225</v>
      </c>
      <c r="K62" t="s">
        <v>1362</v>
      </c>
      <c r="L62" t="s">
        <v>1270</v>
      </c>
      <c r="M62" t="s">
        <v>79</v>
      </c>
      <c r="N62" t="s">
        <v>17</v>
      </c>
      <c r="O62" t="s">
        <v>19</v>
      </c>
      <c r="P62" t="s">
        <v>20</v>
      </c>
      <c r="Q62">
        <v>225</v>
      </c>
      <c r="R62" t="s">
        <v>32</v>
      </c>
      <c r="S62">
        <v>0</v>
      </c>
      <c r="T62">
        <v>27</v>
      </c>
      <c r="U62">
        <v>0</v>
      </c>
      <c r="V62">
        <v>1</v>
      </c>
    </row>
    <row r="63" spans="1:22">
      <c r="A63" t="s">
        <v>2091</v>
      </c>
      <c r="B63" s="3">
        <v>46201</v>
      </c>
      <c r="C63" t="s">
        <v>78</v>
      </c>
      <c r="D63" t="s">
        <v>242</v>
      </c>
      <c r="E63" t="s">
        <v>402</v>
      </c>
      <c r="F63" t="s">
        <v>17</v>
      </c>
      <c r="G63" t="s">
        <v>32</v>
      </c>
      <c r="H63" t="s">
        <v>19</v>
      </c>
      <c r="I63" t="s">
        <v>20</v>
      </c>
      <c r="J63">
        <v>225</v>
      </c>
      <c r="K63" t="s">
        <v>1363</v>
      </c>
      <c r="L63" t="s">
        <v>1270</v>
      </c>
      <c r="M63" t="s">
        <v>83</v>
      </c>
      <c r="N63" t="s">
        <v>17</v>
      </c>
      <c r="O63" t="s">
        <v>19</v>
      </c>
      <c r="P63" t="s">
        <v>20</v>
      </c>
      <c r="Q63">
        <v>225</v>
      </c>
      <c r="R63" t="s">
        <v>32</v>
      </c>
      <c r="S63">
        <v>0</v>
      </c>
      <c r="T63">
        <v>27</v>
      </c>
      <c r="U63">
        <v>0</v>
      </c>
      <c r="V63">
        <v>1</v>
      </c>
    </row>
    <row r="64" spans="1:22">
      <c r="A64" t="s">
        <v>1843</v>
      </c>
      <c r="B64" s="3">
        <v>46198</v>
      </c>
      <c r="C64" t="s">
        <v>78</v>
      </c>
      <c r="D64" t="s">
        <v>85</v>
      </c>
      <c r="E64" t="s">
        <v>402</v>
      </c>
      <c r="F64" t="s">
        <v>17</v>
      </c>
      <c r="G64" t="s">
        <v>32</v>
      </c>
      <c r="H64" t="s">
        <v>19</v>
      </c>
      <c r="I64" t="s">
        <v>20</v>
      </c>
      <c r="J64">
        <v>225</v>
      </c>
      <c r="K64" t="s">
        <v>1364</v>
      </c>
      <c r="L64" t="s">
        <v>1270</v>
      </c>
      <c r="M64" t="s">
        <v>89</v>
      </c>
      <c r="N64" t="s">
        <v>17</v>
      </c>
      <c r="O64" t="s">
        <v>19</v>
      </c>
      <c r="P64" t="s">
        <v>20</v>
      </c>
      <c r="Q64">
        <v>225</v>
      </c>
      <c r="R64" t="s">
        <v>32</v>
      </c>
      <c r="S64">
        <v>0</v>
      </c>
      <c r="T64">
        <v>27</v>
      </c>
      <c r="U64">
        <v>0</v>
      </c>
      <c r="V64">
        <v>1</v>
      </c>
    </row>
    <row r="65" spans="1:22">
      <c r="A65" t="s">
        <v>2092</v>
      </c>
      <c r="B65" s="3">
        <v>46201</v>
      </c>
      <c r="C65" t="s">
        <v>78</v>
      </c>
      <c r="D65" t="s">
        <v>102</v>
      </c>
      <c r="E65" t="s">
        <v>402</v>
      </c>
      <c r="F65" t="s">
        <v>17</v>
      </c>
      <c r="G65" t="s">
        <v>32</v>
      </c>
      <c r="H65" t="s">
        <v>19</v>
      </c>
      <c r="I65" t="s">
        <v>20</v>
      </c>
      <c r="J65">
        <v>225</v>
      </c>
      <c r="K65" t="s">
        <v>1365</v>
      </c>
      <c r="L65" t="s">
        <v>1270</v>
      </c>
      <c r="M65" t="s">
        <v>163</v>
      </c>
      <c r="N65" t="s">
        <v>17</v>
      </c>
      <c r="O65" t="s">
        <v>19</v>
      </c>
      <c r="P65" t="s">
        <v>20</v>
      </c>
      <c r="Q65">
        <v>225</v>
      </c>
      <c r="R65" t="s">
        <v>32</v>
      </c>
      <c r="S65">
        <v>0</v>
      </c>
      <c r="T65">
        <v>27</v>
      </c>
      <c r="U65">
        <v>0</v>
      </c>
      <c r="V65">
        <v>1</v>
      </c>
    </row>
    <row r="66" spans="1:22">
      <c r="A66" t="s">
        <v>1931</v>
      </c>
      <c r="B66" s="3">
        <v>46199</v>
      </c>
      <c r="C66" t="s">
        <v>78</v>
      </c>
      <c r="D66" t="s">
        <v>93</v>
      </c>
      <c r="E66" t="s">
        <v>402</v>
      </c>
      <c r="F66" t="s">
        <v>17</v>
      </c>
      <c r="G66" t="s">
        <v>32</v>
      </c>
      <c r="H66" t="s">
        <v>19</v>
      </c>
      <c r="I66" t="s">
        <v>20</v>
      </c>
      <c r="J66">
        <v>225</v>
      </c>
      <c r="K66" t="s">
        <v>1366</v>
      </c>
      <c r="L66" t="s">
        <v>1270</v>
      </c>
      <c r="M66" t="s">
        <v>81</v>
      </c>
      <c r="N66" t="s">
        <v>17</v>
      </c>
      <c r="O66" t="s">
        <v>19</v>
      </c>
      <c r="P66" t="s">
        <v>20</v>
      </c>
      <c r="Q66">
        <v>225</v>
      </c>
      <c r="R66" t="s">
        <v>32</v>
      </c>
      <c r="S66">
        <v>0</v>
      </c>
      <c r="T66">
        <v>27</v>
      </c>
      <c r="U66">
        <v>0</v>
      </c>
      <c r="V66">
        <v>1</v>
      </c>
    </row>
    <row r="67" spans="1:22">
      <c r="A67" t="s">
        <v>1766</v>
      </c>
      <c r="B67" s="3">
        <v>46197</v>
      </c>
      <c r="C67" t="s">
        <v>78</v>
      </c>
      <c r="D67" t="s">
        <v>87</v>
      </c>
      <c r="E67" t="s">
        <v>402</v>
      </c>
      <c r="F67" t="s">
        <v>17</v>
      </c>
      <c r="G67" t="s">
        <v>32</v>
      </c>
      <c r="H67" t="s">
        <v>19</v>
      </c>
      <c r="I67" t="s">
        <v>20</v>
      </c>
      <c r="J67">
        <v>225</v>
      </c>
      <c r="K67" t="s">
        <v>1367</v>
      </c>
      <c r="L67" t="s">
        <v>1270</v>
      </c>
      <c r="M67" t="s">
        <v>93</v>
      </c>
      <c r="N67" t="s">
        <v>17</v>
      </c>
      <c r="O67" t="s">
        <v>19</v>
      </c>
      <c r="P67" t="s">
        <v>20</v>
      </c>
      <c r="Q67">
        <v>225</v>
      </c>
      <c r="R67" t="s">
        <v>32</v>
      </c>
      <c r="S67">
        <v>0</v>
      </c>
      <c r="T67">
        <v>27</v>
      </c>
      <c r="U67">
        <v>0</v>
      </c>
      <c r="V67">
        <v>1</v>
      </c>
    </row>
    <row r="68" spans="1:22">
      <c r="A68" t="s">
        <v>2020</v>
      </c>
      <c r="B68" s="3">
        <v>46200</v>
      </c>
      <c r="C68" t="s">
        <v>78</v>
      </c>
      <c r="D68" t="s">
        <v>163</v>
      </c>
      <c r="E68" t="s">
        <v>402</v>
      </c>
      <c r="F68" t="s">
        <v>17</v>
      </c>
      <c r="G68" t="s">
        <v>32</v>
      </c>
      <c r="H68" t="s">
        <v>19</v>
      </c>
      <c r="I68" t="s">
        <v>20</v>
      </c>
      <c r="J68">
        <v>225</v>
      </c>
      <c r="K68" t="s">
        <v>1368</v>
      </c>
      <c r="L68" t="s">
        <v>1270</v>
      </c>
      <c r="M68" t="s">
        <v>87</v>
      </c>
      <c r="N68" t="s">
        <v>17</v>
      </c>
      <c r="O68" t="s">
        <v>19</v>
      </c>
      <c r="P68" t="s">
        <v>20</v>
      </c>
      <c r="Q68">
        <v>225</v>
      </c>
      <c r="R68" t="s">
        <v>32</v>
      </c>
      <c r="S68">
        <v>0</v>
      </c>
      <c r="T68">
        <v>27</v>
      </c>
      <c r="U68">
        <v>0</v>
      </c>
      <c r="V68">
        <v>1</v>
      </c>
    </row>
    <row r="69" spans="1:22">
      <c r="A69" t="s">
        <v>2021</v>
      </c>
      <c r="B69" s="3">
        <v>46200</v>
      </c>
      <c r="C69" t="s">
        <v>78</v>
      </c>
      <c r="D69" t="s">
        <v>79</v>
      </c>
      <c r="E69" t="s">
        <v>402</v>
      </c>
      <c r="F69" t="s">
        <v>17</v>
      </c>
      <c r="G69" t="s">
        <v>32</v>
      </c>
      <c r="H69" t="s">
        <v>19</v>
      </c>
      <c r="I69" t="s">
        <v>20</v>
      </c>
      <c r="J69">
        <v>225</v>
      </c>
      <c r="K69" t="s">
        <v>1369</v>
      </c>
      <c r="L69" t="s">
        <v>1270</v>
      </c>
      <c r="M69" t="s">
        <v>83</v>
      </c>
      <c r="N69" t="s">
        <v>17</v>
      </c>
      <c r="O69" t="s">
        <v>19</v>
      </c>
      <c r="P69" t="s">
        <v>20</v>
      </c>
      <c r="Q69">
        <v>225</v>
      </c>
      <c r="R69" t="s">
        <v>32</v>
      </c>
      <c r="S69">
        <v>0</v>
      </c>
      <c r="T69">
        <v>27</v>
      </c>
      <c r="U69">
        <v>0</v>
      </c>
      <c r="V69">
        <v>1</v>
      </c>
    </row>
    <row r="70" spans="1:22">
      <c r="A70" t="s">
        <v>1932</v>
      </c>
      <c r="B70" s="3">
        <v>46199</v>
      </c>
      <c r="C70" t="s">
        <v>78</v>
      </c>
      <c r="D70" t="s">
        <v>163</v>
      </c>
      <c r="E70" t="s">
        <v>402</v>
      </c>
      <c r="F70" t="s">
        <v>17</v>
      </c>
      <c r="G70" t="s">
        <v>32</v>
      </c>
      <c r="H70" t="s">
        <v>19</v>
      </c>
      <c r="I70" t="s">
        <v>20</v>
      </c>
      <c r="J70">
        <v>225</v>
      </c>
      <c r="K70" t="s">
        <v>1370</v>
      </c>
      <c r="L70" t="s">
        <v>1270</v>
      </c>
      <c r="M70" t="s">
        <v>161</v>
      </c>
      <c r="N70" t="s">
        <v>17</v>
      </c>
      <c r="O70" t="s">
        <v>19</v>
      </c>
      <c r="P70" t="s">
        <v>20</v>
      </c>
      <c r="Q70">
        <v>225</v>
      </c>
      <c r="R70" t="s">
        <v>32</v>
      </c>
      <c r="S70">
        <v>0</v>
      </c>
      <c r="T70">
        <v>27</v>
      </c>
      <c r="U70">
        <v>0</v>
      </c>
      <c r="V70">
        <v>1</v>
      </c>
    </row>
    <row r="71" spans="1:22">
      <c r="A71" t="s">
        <v>1844</v>
      </c>
      <c r="B71" s="3">
        <v>46198</v>
      </c>
      <c r="C71" t="s">
        <v>78</v>
      </c>
      <c r="D71" t="s">
        <v>83</v>
      </c>
      <c r="E71" t="s">
        <v>402</v>
      </c>
      <c r="F71" t="s">
        <v>17</v>
      </c>
      <c r="G71" t="s">
        <v>32</v>
      </c>
      <c r="H71" t="s">
        <v>19</v>
      </c>
      <c r="I71" t="s">
        <v>20</v>
      </c>
      <c r="J71">
        <v>225</v>
      </c>
      <c r="K71" t="s">
        <v>1371</v>
      </c>
      <c r="L71" t="s">
        <v>1270</v>
      </c>
      <c r="M71" t="s">
        <v>81</v>
      </c>
      <c r="N71" t="s">
        <v>17</v>
      </c>
      <c r="O71" t="s">
        <v>19</v>
      </c>
      <c r="P71" t="s">
        <v>20</v>
      </c>
      <c r="Q71">
        <v>225</v>
      </c>
      <c r="R71" t="s">
        <v>32</v>
      </c>
      <c r="S71">
        <v>0</v>
      </c>
      <c r="T71">
        <v>27</v>
      </c>
      <c r="U71">
        <v>0</v>
      </c>
      <c r="V71">
        <v>1</v>
      </c>
    </row>
    <row r="72" spans="1:22">
      <c r="A72" t="s">
        <v>1767</v>
      </c>
      <c r="B72" s="3">
        <v>46197</v>
      </c>
      <c r="C72" t="s">
        <v>78</v>
      </c>
      <c r="D72" t="s">
        <v>102</v>
      </c>
      <c r="E72" t="s">
        <v>402</v>
      </c>
      <c r="F72" t="s">
        <v>17</v>
      </c>
      <c r="G72" t="s">
        <v>32</v>
      </c>
      <c r="H72" t="s">
        <v>19</v>
      </c>
      <c r="I72" t="s">
        <v>20</v>
      </c>
      <c r="J72">
        <v>225</v>
      </c>
      <c r="K72" t="s">
        <v>1372</v>
      </c>
      <c r="L72" t="s">
        <v>1270</v>
      </c>
      <c r="M72" t="s">
        <v>93</v>
      </c>
      <c r="N72" t="s">
        <v>17</v>
      </c>
      <c r="O72" t="s">
        <v>19</v>
      </c>
      <c r="P72" t="s">
        <v>20</v>
      </c>
      <c r="Q72">
        <v>225</v>
      </c>
      <c r="R72" t="s">
        <v>32</v>
      </c>
      <c r="S72">
        <v>0</v>
      </c>
      <c r="T72">
        <v>27</v>
      </c>
      <c r="U72">
        <v>0</v>
      </c>
      <c r="V72">
        <v>1</v>
      </c>
    </row>
    <row r="73" spans="1:22">
      <c r="A73" t="s">
        <v>1933</v>
      </c>
      <c r="B73" s="3">
        <v>46199</v>
      </c>
      <c r="C73" t="s">
        <v>78</v>
      </c>
      <c r="D73" t="s">
        <v>97</v>
      </c>
      <c r="E73" t="s">
        <v>402</v>
      </c>
      <c r="F73" t="s">
        <v>17</v>
      </c>
      <c r="G73" t="s">
        <v>32</v>
      </c>
      <c r="H73" t="s">
        <v>19</v>
      </c>
      <c r="I73" t="s">
        <v>20</v>
      </c>
      <c r="J73">
        <v>225</v>
      </c>
      <c r="K73" t="s">
        <v>1373</v>
      </c>
      <c r="L73" t="s">
        <v>1270</v>
      </c>
      <c r="M73" t="s">
        <v>97</v>
      </c>
      <c r="N73" t="s">
        <v>17</v>
      </c>
      <c r="O73" t="s">
        <v>19</v>
      </c>
      <c r="P73" t="s">
        <v>20</v>
      </c>
      <c r="Q73">
        <v>225</v>
      </c>
      <c r="R73" t="s">
        <v>32</v>
      </c>
      <c r="S73">
        <v>0</v>
      </c>
      <c r="T73">
        <v>27</v>
      </c>
      <c r="U73">
        <v>0</v>
      </c>
      <c r="V73">
        <v>1</v>
      </c>
    </row>
    <row r="74" spans="1:22">
      <c r="A74" t="s">
        <v>1934</v>
      </c>
      <c r="B74" s="3">
        <v>46199</v>
      </c>
      <c r="C74" t="s">
        <v>78</v>
      </c>
      <c r="D74" t="s">
        <v>93</v>
      </c>
      <c r="E74" t="s">
        <v>402</v>
      </c>
      <c r="F74" t="s">
        <v>17</v>
      </c>
      <c r="G74" t="s">
        <v>32</v>
      </c>
      <c r="H74" t="s">
        <v>19</v>
      </c>
      <c r="I74" t="s">
        <v>20</v>
      </c>
      <c r="J74">
        <v>225</v>
      </c>
      <c r="K74" t="s">
        <v>1374</v>
      </c>
      <c r="L74" t="s">
        <v>1270</v>
      </c>
      <c r="M74" t="s">
        <v>161</v>
      </c>
      <c r="N74" t="s">
        <v>17</v>
      </c>
      <c r="O74" t="s">
        <v>19</v>
      </c>
      <c r="P74" t="s">
        <v>20</v>
      </c>
      <c r="Q74">
        <v>225</v>
      </c>
      <c r="R74" t="s">
        <v>32</v>
      </c>
      <c r="S74">
        <v>0</v>
      </c>
      <c r="T74">
        <v>27</v>
      </c>
      <c r="U74">
        <v>0</v>
      </c>
      <c r="V74">
        <v>1</v>
      </c>
    </row>
    <row r="75" spans="1:22">
      <c r="A75" t="s">
        <v>1845</v>
      </c>
      <c r="B75" s="3">
        <v>46198</v>
      </c>
      <c r="C75" t="s">
        <v>78</v>
      </c>
      <c r="D75" t="s">
        <v>97</v>
      </c>
      <c r="E75" t="s">
        <v>402</v>
      </c>
      <c r="F75" t="s">
        <v>17</v>
      </c>
      <c r="G75" t="s">
        <v>32</v>
      </c>
      <c r="H75" t="s">
        <v>19</v>
      </c>
      <c r="I75" t="s">
        <v>20</v>
      </c>
      <c r="J75">
        <v>225</v>
      </c>
      <c r="K75" t="s">
        <v>1375</v>
      </c>
      <c r="L75" t="s">
        <v>1270</v>
      </c>
      <c r="M75" t="s">
        <v>79</v>
      </c>
      <c r="N75" t="s">
        <v>17</v>
      </c>
      <c r="O75" t="s">
        <v>19</v>
      </c>
      <c r="P75" t="s">
        <v>20</v>
      </c>
      <c r="Q75">
        <v>225</v>
      </c>
      <c r="R75" t="s">
        <v>32</v>
      </c>
      <c r="S75">
        <v>0</v>
      </c>
      <c r="T75">
        <v>27</v>
      </c>
      <c r="U75">
        <v>0</v>
      </c>
      <c r="V75">
        <v>1</v>
      </c>
    </row>
    <row r="76" spans="1:22">
      <c r="A76" t="s">
        <v>1935</v>
      </c>
      <c r="B76" s="3">
        <v>46199</v>
      </c>
      <c r="C76" t="s">
        <v>78</v>
      </c>
      <c r="D76" t="s">
        <v>85</v>
      </c>
      <c r="E76" t="s">
        <v>402</v>
      </c>
      <c r="F76" t="s">
        <v>17</v>
      </c>
      <c r="G76" t="s">
        <v>32</v>
      </c>
      <c r="H76" t="s">
        <v>19</v>
      </c>
      <c r="I76" t="s">
        <v>20</v>
      </c>
      <c r="J76">
        <v>225</v>
      </c>
      <c r="K76" t="s">
        <v>1376</v>
      </c>
      <c r="L76" t="s">
        <v>1270</v>
      </c>
      <c r="M76" t="s">
        <v>93</v>
      </c>
      <c r="N76" t="s">
        <v>17</v>
      </c>
      <c r="O76" t="s">
        <v>19</v>
      </c>
      <c r="P76" t="s">
        <v>20</v>
      </c>
      <c r="Q76">
        <v>225</v>
      </c>
      <c r="R76" t="s">
        <v>32</v>
      </c>
      <c r="S76">
        <v>0</v>
      </c>
      <c r="T76">
        <v>27</v>
      </c>
      <c r="U76">
        <v>0</v>
      </c>
      <c r="V76">
        <v>1</v>
      </c>
    </row>
    <row r="77" spans="1:22">
      <c r="A77" t="s">
        <v>1768</v>
      </c>
      <c r="B77" s="3">
        <v>46197</v>
      </c>
      <c r="C77" t="s">
        <v>78</v>
      </c>
      <c r="D77" t="s">
        <v>81</v>
      </c>
      <c r="E77" t="s">
        <v>402</v>
      </c>
      <c r="F77" t="s">
        <v>17</v>
      </c>
      <c r="G77" t="s">
        <v>32</v>
      </c>
      <c r="H77" t="s">
        <v>19</v>
      </c>
      <c r="I77" t="s">
        <v>20</v>
      </c>
      <c r="J77">
        <v>225</v>
      </c>
      <c r="K77" t="s">
        <v>1377</v>
      </c>
      <c r="L77" t="s">
        <v>1270</v>
      </c>
      <c r="M77" t="s">
        <v>161</v>
      </c>
      <c r="N77" t="s">
        <v>17</v>
      </c>
      <c r="O77" t="s">
        <v>19</v>
      </c>
      <c r="P77" t="s">
        <v>20</v>
      </c>
      <c r="Q77">
        <v>225</v>
      </c>
      <c r="R77" t="s">
        <v>32</v>
      </c>
      <c r="S77">
        <v>0</v>
      </c>
      <c r="T77">
        <v>27</v>
      </c>
      <c r="U77">
        <v>0</v>
      </c>
      <c r="V77">
        <v>1</v>
      </c>
    </row>
    <row r="78" spans="1:22">
      <c r="A78" t="s">
        <v>1936</v>
      </c>
      <c r="B78" s="3">
        <v>46199</v>
      </c>
      <c r="C78" t="s">
        <v>78</v>
      </c>
      <c r="D78" t="s">
        <v>85</v>
      </c>
      <c r="E78" t="s">
        <v>402</v>
      </c>
      <c r="F78" t="s">
        <v>17</v>
      </c>
      <c r="G78" t="s">
        <v>32</v>
      </c>
      <c r="H78" t="s">
        <v>19</v>
      </c>
      <c r="I78" t="s">
        <v>20</v>
      </c>
      <c r="J78">
        <v>225</v>
      </c>
      <c r="K78" t="s">
        <v>1378</v>
      </c>
      <c r="L78" t="s">
        <v>1270</v>
      </c>
      <c r="M78" t="s">
        <v>79</v>
      </c>
      <c r="N78" t="s">
        <v>17</v>
      </c>
      <c r="O78" t="s">
        <v>19</v>
      </c>
      <c r="P78" t="s">
        <v>20</v>
      </c>
      <c r="Q78">
        <v>225</v>
      </c>
      <c r="R78" t="s">
        <v>32</v>
      </c>
      <c r="S78">
        <v>0</v>
      </c>
      <c r="T78">
        <v>27</v>
      </c>
      <c r="U78">
        <v>0</v>
      </c>
      <c r="V78">
        <v>1</v>
      </c>
    </row>
    <row r="79" spans="1:22">
      <c r="A79" t="s">
        <v>2093</v>
      </c>
      <c r="B79" s="3">
        <v>46201</v>
      </c>
      <c r="C79" t="s">
        <v>78</v>
      </c>
      <c r="D79" t="s">
        <v>83</v>
      </c>
      <c r="E79" t="s">
        <v>402</v>
      </c>
      <c r="F79" t="s">
        <v>17</v>
      </c>
      <c r="G79" t="s">
        <v>32</v>
      </c>
      <c r="H79" t="s">
        <v>19</v>
      </c>
      <c r="I79" t="s">
        <v>20</v>
      </c>
      <c r="J79">
        <v>225</v>
      </c>
      <c r="K79" t="s">
        <v>1446</v>
      </c>
      <c r="L79" t="s">
        <v>1270</v>
      </c>
      <c r="M79" t="s">
        <v>163</v>
      </c>
      <c r="N79" t="s">
        <v>17</v>
      </c>
      <c r="O79" t="s">
        <v>19</v>
      </c>
      <c r="P79" t="s">
        <v>20</v>
      </c>
      <c r="Q79">
        <v>225</v>
      </c>
      <c r="R79" t="s">
        <v>32</v>
      </c>
      <c r="S79">
        <v>0</v>
      </c>
      <c r="T79">
        <v>27</v>
      </c>
      <c r="U79">
        <v>0</v>
      </c>
      <c r="V79">
        <v>1</v>
      </c>
    </row>
    <row r="80" spans="1:22">
      <c r="A80" t="s">
        <v>2022</v>
      </c>
      <c r="B80" s="3">
        <v>46200</v>
      </c>
      <c r="C80" t="s">
        <v>78</v>
      </c>
      <c r="D80" t="s">
        <v>89</v>
      </c>
      <c r="E80" t="s">
        <v>402</v>
      </c>
      <c r="F80" t="s">
        <v>17</v>
      </c>
      <c r="G80" t="s">
        <v>32</v>
      </c>
      <c r="H80" t="s">
        <v>19</v>
      </c>
      <c r="I80" t="s">
        <v>20</v>
      </c>
      <c r="J80">
        <v>225</v>
      </c>
      <c r="K80" t="s">
        <v>1447</v>
      </c>
      <c r="L80" t="s">
        <v>1270</v>
      </c>
      <c r="M80" t="s">
        <v>89</v>
      </c>
      <c r="N80" t="s">
        <v>17</v>
      </c>
      <c r="O80" t="s">
        <v>19</v>
      </c>
      <c r="P80" t="s">
        <v>20</v>
      </c>
      <c r="Q80">
        <v>225</v>
      </c>
      <c r="R80" t="s">
        <v>32</v>
      </c>
      <c r="S80">
        <v>0</v>
      </c>
      <c r="T80">
        <v>27</v>
      </c>
      <c r="U80">
        <v>0</v>
      </c>
      <c r="V80">
        <v>1</v>
      </c>
    </row>
    <row r="81" spans="1:22">
      <c r="A81" t="s">
        <v>1846</v>
      </c>
      <c r="B81" s="3">
        <v>46198</v>
      </c>
      <c r="C81" t="s">
        <v>78</v>
      </c>
      <c r="D81" t="s">
        <v>97</v>
      </c>
      <c r="E81" t="s">
        <v>402</v>
      </c>
      <c r="F81" t="s">
        <v>17</v>
      </c>
      <c r="G81" t="s">
        <v>32</v>
      </c>
      <c r="H81" t="s">
        <v>19</v>
      </c>
      <c r="I81" t="s">
        <v>20</v>
      </c>
      <c r="J81">
        <v>225</v>
      </c>
      <c r="K81" t="s">
        <v>1448</v>
      </c>
      <c r="L81" t="s">
        <v>1270</v>
      </c>
      <c r="M81" t="s">
        <v>93</v>
      </c>
      <c r="N81" t="s">
        <v>17</v>
      </c>
      <c r="O81" t="s">
        <v>19</v>
      </c>
      <c r="P81" t="s">
        <v>20</v>
      </c>
      <c r="Q81">
        <v>225</v>
      </c>
      <c r="R81" t="s">
        <v>32</v>
      </c>
      <c r="S81">
        <v>0</v>
      </c>
      <c r="T81">
        <v>27</v>
      </c>
      <c r="U81">
        <v>0</v>
      </c>
      <c r="V81">
        <v>1</v>
      </c>
    </row>
    <row r="82" spans="1:22">
      <c r="A82" t="s">
        <v>1937</v>
      </c>
      <c r="B82" s="3">
        <v>46199</v>
      </c>
      <c r="C82" t="s">
        <v>78</v>
      </c>
      <c r="D82" t="s">
        <v>242</v>
      </c>
      <c r="E82" t="s">
        <v>402</v>
      </c>
      <c r="F82" t="s">
        <v>17</v>
      </c>
      <c r="G82" t="s">
        <v>32</v>
      </c>
      <c r="H82" t="s">
        <v>19</v>
      </c>
      <c r="I82" t="s">
        <v>20</v>
      </c>
      <c r="J82">
        <v>225</v>
      </c>
      <c r="K82" t="s">
        <v>1449</v>
      </c>
      <c r="L82" t="s">
        <v>1270</v>
      </c>
      <c r="M82" t="s">
        <v>87</v>
      </c>
      <c r="N82" t="s">
        <v>17</v>
      </c>
      <c r="O82" t="s">
        <v>19</v>
      </c>
      <c r="P82" t="s">
        <v>20</v>
      </c>
      <c r="Q82">
        <v>225</v>
      </c>
      <c r="R82" t="s">
        <v>32</v>
      </c>
      <c r="S82">
        <v>0</v>
      </c>
      <c r="T82">
        <v>27</v>
      </c>
      <c r="U82">
        <v>0</v>
      </c>
      <c r="V82">
        <v>1</v>
      </c>
    </row>
    <row r="83" spans="1:22">
      <c r="A83" t="s">
        <v>1847</v>
      </c>
      <c r="B83" s="3">
        <v>46198</v>
      </c>
      <c r="C83" t="s">
        <v>78</v>
      </c>
      <c r="D83" t="s">
        <v>163</v>
      </c>
      <c r="E83" t="s">
        <v>402</v>
      </c>
      <c r="F83" t="s">
        <v>17</v>
      </c>
      <c r="G83" t="s">
        <v>32</v>
      </c>
      <c r="H83" t="s">
        <v>19</v>
      </c>
      <c r="I83" t="s">
        <v>20</v>
      </c>
      <c r="J83">
        <v>225</v>
      </c>
      <c r="K83" t="s">
        <v>1450</v>
      </c>
      <c r="L83" t="s">
        <v>1270</v>
      </c>
      <c r="M83" t="s">
        <v>89</v>
      </c>
      <c r="N83" t="s">
        <v>17</v>
      </c>
      <c r="O83" t="s">
        <v>19</v>
      </c>
      <c r="P83" t="s">
        <v>20</v>
      </c>
      <c r="Q83">
        <v>225</v>
      </c>
      <c r="R83" t="s">
        <v>32</v>
      </c>
      <c r="S83">
        <v>0</v>
      </c>
      <c r="T83">
        <v>27</v>
      </c>
      <c r="U83">
        <v>0</v>
      </c>
      <c r="V83">
        <v>1</v>
      </c>
    </row>
    <row r="84" spans="1:22">
      <c r="A84" t="s">
        <v>1848</v>
      </c>
      <c r="B84" s="3">
        <v>46198</v>
      </c>
      <c r="C84" t="s">
        <v>78</v>
      </c>
      <c r="D84" t="s">
        <v>163</v>
      </c>
      <c r="E84" t="s">
        <v>402</v>
      </c>
      <c r="F84" t="s">
        <v>17</v>
      </c>
      <c r="G84" t="s">
        <v>32</v>
      </c>
      <c r="H84" t="s">
        <v>19</v>
      </c>
      <c r="I84" t="s">
        <v>20</v>
      </c>
      <c r="J84">
        <v>225</v>
      </c>
      <c r="K84" t="s">
        <v>1451</v>
      </c>
      <c r="L84" t="s">
        <v>1270</v>
      </c>
      <c r="M84" t="s">
        <v>79</v>
      </c>
      <c r="N84" t="s">
        <v>17</v>
      </c>
      <c r="O84" t="s">
        <v>19</v>
      </c>
      <c r="P84" t="s">
        <v>20</v>
      </c>
      <c r="Q84">
        <v>225</v>
      </c>
      <c r="R84" t="s">
        <v>32</v>
      </c>
      <c r="S84">
        <v>0</v>
      </c>
      <c r="T84">
        <v>27</v>
      </c>
      <c r="U84">
        <v>0</v>
      </c>
      <c r="V84">
        <v>1</v>
      </c>
    </row>
    <row r="85" spans="1:22">
      <c r="A85" t="s">
        <v>1849</v>
      </c>
      <c r="B85" s="3">
        <v>46198</v>
      </c>
      <c r="C85" t="s">
        <v>78</v>
      </c>
      <c r="D85" t="s">
        <v>97</v>
      </c>
      <c r="E85" t="s">
        <v>402</v>
      </c>
      <c r="F85" t="s">
        <v>17</v>
      </c>
      <c r="G85" t="s">
        <v>32</v>
      </c>
      <c r="H85" t="s">
        <v>19</v>
      </c>
      <c r="I85" t="s">
        <v>20</v>
      </c>
      <c r="J85">
        <v>225</v>
      </c>
      <c r="K85" t="s">
        <v>1452</v>
      </c>
      <c r="L85" t="s">
        <v>1270</v>
      </c>
      <c r="M85" t="s">
        <v>79</v>
      </c>
      <c r="N85" t="s">
        <v>17</v>
      </c>
      <c r="O85" t="s">
        <v>19</v>
      </c>
      <c r="P85" t="s">
        <v>20</v>
      </c>
      <c r="Q85">
        <v>225</v>
      </c>
      <c r="R85" t="s">
        <v>32</v>
      </c>
      <c r="S85">
        <v>0</v>
      </c>
      <c r="T85">
        <v>27</v>
      </c>
      <c r="U85">
        <v>0</v>
      </c>
      <c r="V85">
        <v>1</v>
      </c>
    </row>
    <row r="86" spans="1:22">
      <c r="A86" t="s">
        <v>1769</v>
      </c>
      <c r="B86" s="3">
        <v>46197</v>
      </c>
      <c r="C86" t="s">
        <v>78</v>
      </c>
      <c r="D86" t="s">
        <v>97</v>
      </c>
      <c r="E86" t="s">
        <v>402</v>
      </c>
      <c r="F86" t="s">
        <v>17</v>
      </c>
      <c r="G86" t="s">
        <v>32</v>
      </c>
      <c r="H86" t="s">
        <v>19</v>
      </c>
      <c r="I86" t="s">
        <v>20</v>
      </c>
      <c r="J86">
        <v>225</v>
      </c>
      <c r="K86" t="s">
        <v>1453</v>
      </c>
      <c r="L86" t="s">
        <v>1270</v>
      </c>
      <c r="M86" t="s">
        <v>79</v>
      </c>
      <c r="N86" t="s">
        <v>17</v>
      </c>
      <c r="O86" t="s">
        <v>19</v>
      </c>
      <c r="P86" t="s">
        <v>20</v>
      </c>
      <c r="Q86">
        <v>225</v>
      </c>
      <c r="R86" t="s">
        <v>32</v>
      </c>
      <c r="S86">
        <v>0</v>
      </c>
      <c r="T86">
        <v>27</v>
      </c>
      <c r="U86">
        <v>0</v>
      </c>
      <c r="V86">
        <v>1</v>
      </c>
    </row>
    <row r="87" spans="1:22">
      <c r="A87" t="s">
        <v>2094</v>
      </c>
      <c r="B87" s="3">
        <v>46201</v>
      </c>
      <c r="C87" t="s">
        <v>78</v>
      </c>
      <c r="D87" t="s">
        <v>93</v>
      </c>
      <c r="E87" t="s">
        <v>402</v>
      </c>
      <c r="F87" t="s">
        <v>17</v>
      </c>
      <c r="G87" t="s">
        <v>32</v>
      </c>
      <c r="H87" t="s">
        <v>19</v>
      </c>
      <c r="I87" t="s">
        <v>20</v>
      </c>
      <c r="J87">
        <v>225</v>
      </c>
      <c r="K87" t="s">
        <v>1454</v>
      </c>
      <c r="L87" t="s">
        <v>1270</v>
      </c>
      <c r="M87" t="s">
        <v>102</v>
      </c>
      <c r="N87" t="s">
        <v>17</v>
      </c>
      <c r="O87" t="s">
        <v>19</v>
      </c>
      <c r="P87" t="s">
        <v>20</v>
      </c>
      <c r="Q87">
        <v>225</v>
      </c>
      <c r="R87" t="s">
        <v>32</v>
      </c>
      <c r="S87">
        <v>0</v>
      </c>
      <c r="T87">
        <v>27</v>
      </c>
      <c r="U87">
        <v>0</v>
      </c>
      <c r="V87">
        <v>1</v>
      </c>
    </row>
    <row r="88" spans="1:22">
      <c r="A88" t="s">
        <v>1850</v>
      </c>
      <c r="B88" s="3">
        <v>46198</v>
      </c>
      <c r="C88" t="s">
        <v>78</v>
      </c>
      <c r="D88" t="s">
        <v>87</v>
      </c>
      <c r="E88" t="s">
        <v>402</v>
      </c>
      <c r="F88" t="s">
        <v>17</v>
      </c>
      <c r="G88" t="s">
        <v>32</v>
      </c>
      <c r="H88" t="s">
        <v>19</v>
      </c>
      <c r="I88" t="s">
        <v>20</v>
      </c>
      <c r="J88">
        <v>225</v>
      </c>
      <c r="K88" t="s">
        <v>1455</v>
      </c>
      <c r="L88" t="s">
        <v>1270</v>
      </c>
      <c r="M88" t="s">
        <v>163</v>
      </c>
      <c r="N88" t="s">
        <v>17</v>
      </c>
      <c r="O88" t="s">
        <v>19</v>
      </c>
      <c r="P88" t="s">
        <v>20</v>
      </c>
      <c r="Q88">
        <v>225</v>
      </c>
      <c r="R88" t="s">
        <v>32</v>
      </c>
      <c r="S88">
        <v>0</v>
      </c>
      <c r="T88">
        <v>27</v>
      </c>
      <c r="U88">
        <v>0</v>
      </c>
      <c r="V88">
        <v>1</v>
      </c>
    </row>
    <row r="89" spans="1:22">
      <c r="A89" t="s">
        <v>1851</v>
      </c>
      <c r="B89" s="3">
        <v>46198</v>
      </c>
      <c r="C89" t="s">
        <v>78</v>
      </c>
      <c r="D89" t="s">
        <v>79</v>
      </c>
      <c r="E89" t="s">
        <v>402</v>
      </c>
      <c r="F89" t="s">
        <v>17</v>
      </c>
      <c r="G89" t="s">
        <v>32</v>
      </c>
      <c r="H89" t="s">
        <v>19</v>
      </c>
      <c r="I89" t="s">
        <v>20</v>
      </c>
      <c r="J89">
        <v>225</v>
      </c>
      <c r="K89" t="s">
        <v>1456</v>
      </c>
      <c r="L89" t="s">
        <v>1270</v>
      </c>
      <c r="M89" t="s">
        <v>85</v>
      </c>
      <c r="N89" t="s">
        <v>17</v>
      </c>
      <c r="O89" t="s">
        <v>19</v>
      </c>
      <c r="P89" t="s">
        <v>20</v>
      </c>
      <c r="Q89">
        <v>225</v>
      </c>
      <c r="R89" t="s">
        <v>32</v>
      </c>
      <c r="S89">
        <v>0</v>
      </c>
      <c r="T89">
        <v>27</v>
      </c>
      <c r="U89">
        <v>0</v>
      </c>
      <c r="V89">
        <v>1</v>
      </c>
    </row>
    <row r="90" spans="1:22">
      <c r="A90" t="s">
        <v>1852</v>
      </c>
      <c r="B90" s="3">
        <v>46198</v>
      </c>
      <c r="C90" t="s">
        <v>78</v>
      </c>
      <c r="D90" t="s">
        <v>97</v>
      </c>
      <c r="E90" t="s">
        <v>402</v>
      </c>
      <c r="F90" t="s">
        <v>17</v>
      </c>
      <c r="G90" t="s">
        <v>32</v>
      </c>
      <c r="H90" t="s">
        <v>19</v>
      </c>
      <c r="I90" t="s">
        <v>20</v>
      </c>
      <c r="J90">
        <v>225</v>
      </c>
      <c r="K90" t="s">
        <v>1457</v>
      </c>
      <c r="L90" t="s">
        <v>1270</v>
      </c>
      <c r="M90" t="s">
        <v>81</v>
      </c>
      <c r="N90" t="s">
        <v>17</v>
      </c>
      <c r="O90" t="s">
        <v>19</v>
      </c>
      <c r="P90" t="s">
        <v>20</v>
      </c>
      <c r="Q90">
        <v>225</v>
      </c>
      <c r="R90" t="s">
        <v>32</v>
      </c>
      <c r="S90">
        <v>0</v>
      </c>
      <c r="T90">
        <v>27</v>
      </c>
      <c r="U90">
        <v>0</v>
      </c>
      <c r="V90">
        <v>1</v>
      </c>
    </row>
    <row r="91" spans="1:22">
      <c r="A91" t="s">
        <v>1938</v>
      </c>
      <c r="B91" s="3">
        <v>46199</v>
      </c>
      <c r="C91" t="s">
        <v>78</v>
      </c>
      <c r="D91" t="s">
        <v>81</v>
      </c>
      <c r="E91" t="s">
        <v>402</v>
      </c>
      <c r="F91" t="s">
        <v>17</v>
      </c>
      <c r="G91" t="s">
        <v>32</v>
      </c>
      <c r="H91" t="s">
        <v>19</v>
      </c>
      <c r="I91" t="s">
        <v>20</v>
      </c>
      <c r="J91">
        <v>225</v>
      </c>
      <c r="K91" t="s">
        <v>1458</v>
      </c>
      <c r="L91" t="s">
        <v>1270</v>
      </c>
      <c r="M91" t="s">
        <v>89</v>
      </c>
      <c r="N91" t="s">
        <v>17</v>
      </c>
      <c r="O91" t="s">
        <v>19</v>
      </c>
      <c r="P91" t="s">
        <v>20</v>
      </c>
      <c r="Q91">
        <v>225</v>
      </c>
      <c r="R91" t="s">
        <v>32</v>
      </c>
      <c r="S91">
        <v>0</v>
      </c>
      <c r="T91">
        <v>27</v>
      </c>
      <c r="U91">
        <v>0</v>
      </c>
      <c r="V91">
        <v>1</v>
      </c>
    </row>
    <row r="92" spans="1:22">
      <c r="A92" t="s">
        <v>2095</v>
      </c>
      <c r="B92" s="3">
        <v>46201</v>
      </c>
      <c r="C92" t="s">
        <v>78</v>
      </c>
      <c r="D92" t="s">
        <v>83</v>
      </c>
      <c r="E92" t="s">
        <v>402</v>
      </c>
      <c r="F92" t="s">
        <v>17</v>
      </c>
      <c r="G92" t="s">
        <v>32</v>
      </c>
      <c r="H92" t="s">
        <v>19</v>
      </c>
      <c r="I92" t="s">
        <v>20</v>
      </c>
      <c r="J92">
        <v>225</v>
      </c>
      <c r="K92" t="s">
        <v>1459</v>
      </c>
      <c r="L92" t="s">
        <v>1270</v>
      </c>
      <c r="M92" t="s">
        <v>102</v>
      </c>
      <c r="N92" t="s">
        <v>17</v>
      </c>
      <c r="O92" t="s">
        <v>19</v>
      </c>
      <c r="P92" t="s">
        <v>20</v>
      </c>
      <c r="Q92">
        <v>225</v>
      </c>
      <c r="R92" t="s">
        <v>32</v>
      </c>
      <c r="S92">
        <v>0</v>
      </c>
      <c r="T92">
        <v>27</v>
      </c>
      <c r="U92">
        <v>0</v>
      </c>
      <c r="V92">
        <v>1</v>
      </c>
    </row>
    <row r="93" spans="1:22">
      <c r="A93" t="s">
        <v>1939</v>
      </c>
      <c r="B93" s="3">
        <v>46199</v>
      </c>
      <c r="C93" t="s">
        <v>78</v>
      </c>
      <c r="D93" t="s">
        <v>242</v>
      </c>
      <c r="E93" t="s">
        <v>402</v>
      </c>
      <c r="F93" t="s">
        <v>17</v>
      </c>
      <c r="G93" t="s">
        <v>32</v>
      </c>
      <c r="H93" t="s">
        <v>19</v>
      </c>
      <c r="I93" t="s">
        <v>20</v>
      </c>
      <c r="J93">
        <v>225</v>
      </c>
      <c r="K93" t="s">
        <v>1460</v>
      </c>
      <c r="L93" t="s">
        <v>1270</v>
      </c>
      <c r="M93" t="s">
        <v>93</v>
      </c>
      <c r="N93" t="s">
        <v>17</v>
      </c>
      <c r="O93" t="s">
        <v>19</v>
      </c>
      <c r="P93" t="s">
        <v>20</v>
      </c>
      <c r="Q93">
        <v>225</v>
      </c>
      <c r="R93" t="s">
        <v>32</v>
      </c>
      <c r="S93">
        <v>0</v>
      </c>
      <c r="T93">
        <v>27</v>
      </c>
      <c r="U93">
        <v>0</v>
      </c>
      <c r="V93">
        <v>1</v>
      </c>
    </row>
    <row r="94" spans="1:22">
      <c r="A94" t="s">
        <v>1770</v>
      </c>
      <c r="B94" s="3">
        <v>46197</v>
      </c>
      <c r="C94" t="s">
        <v>78</v>
      </c>
      <c r="D94" t="s">
        <v>97</v>
      </c>
      <c r="E94" t="s">
        <v>402</v>
      </c>
      <c r="F94" t="s">
        <v>17</v>
      </c>
      <c r="G94" t="s">
        <v>32</v>
      </c>
      <c r="H94" t="s">
        <v>19</v>
      </c>
      <c r="I94" t="s">
        <v>20</v>
      </c>
      <c r="J94">
        <v>225</v>
      </c>
      <c r="K94" t="s">
        <v>1461</v>
      </c>
      <c r="L94" t="s">
        <v>1270</v>
      </c>
      <c r="M94" t="s">
        <v>93</v>
      </c>
      <c r="N94" t="s">
        <v>17</v>
      </c>
      <c r="O94" t="s">
        <v>19</v>
      </c>
      <c r="P94" t="s">
        <v>20</v>
      </c>
      <c r="Q94">
        <v>225</v>
      </c>
      <c r="R94" t="s">
        <v>32</v>
      </c>
      <c r="S94">
        <v>0</v>
      </c>
      <c r="T94">
        <v>27</v>
      </c>
      <c r="U94">
        <v>0</v>
      </c>
      <c r="V94">
        <v>1</v>
      </c>
    </row>
    <row r="95" spans="1:22">
      <c r="A95" t="s">
        <v>1940</v>
      </c>
      <c r="B95" s="3">
        <v>46199</v>
      </c>
      <c r="C95" t="s">
        <v>78</v>
      </c>
      <c r="D95" t="s">
        <v>161</v>
      </c>
      <c r="E95" t="s">
        <v>402</v>
      </c>
      <c r="F95" t="s">
        <v>17</v>
      </c>
      <c r="G95" t="s">
        <v>32</v>
      </c>
      <c r="H95" t="s">
        <v>19</v>
      </c>
      <c r="I95" t="s">
        <v>20</v>
      </c>
      <c r="J95">
        <v>225</v>
      </c>
      <c r="K95" t="s">
        <v>1462</v>
      </c>
      <c r="L95" t="s">
        <v>1270</v>
      </c>
      <c r="M95" t="s">
        <v>161</v>
      </c>
      <c r="N95" t="s">
        <v>17</v>
      </c>
      <c r="O95" t="s">
        <v>19</v>
      </c>
      <c r="P95" t="s">
        <v>20</v>
      </c>
      <c r="Q95">
        <v>225</v>
      </c>
      <c r="R95" t="s">
        <v>32</v>
      </c>
      <c r="S95">
        <v>0</v>
      </c>
      <c r="T95">
        <v>27</v>
      </c>
      <c r="U95">
        <v>0</v>
      </c>
      <c r="V95">
        <v>1</v>
      </c>
    </row>
    <row r="96" spans="1:22">
      <c r="A96" t="s">
        <v>1941</v>
      </c>
      <c r="B96" s="3">
        <v>46199</v>
      </c>
      <c r="C96" t="s">
        <v>78</v>
      </c>
      <c r="D96" t="s">
        <v>81</v>
      </c>
      <c r="E96" t="s">
        <v>402</v>
      </c>
      <c r="F96" t="s">
        <v>17</v>
      </c>
      <c r="G96" t="s">
        <v>32</v>
      </c>
      <c r="H96" t="s">
        <v>19</v>
      </c>
      <c r="I96" t="s">
        <v>20</v>
      </c>
      <c r="J96">
        <v>225</v>
      </c>
      <c r="K96" t="s">
        <v>1463</v>
      </c>
      <c r="L96" t="s">
        <v>1270</v>
      </c>
      <c r="M96" t="s">
        <v>242</v>
      </c>
      <c r="N96" t="s">
        <v>17</v>
      </c>
      <c r="O96" t="s">
        <v>19</v>
      </c>
      <c r="P96" t="s">
        <v>20</v>
      </c>
      <c r="Q96">
        <v>225</v>
      </c>
      <c r="R96" t="s">
        <v>32</v>
      </c>
      <c r="S96">
        <v>0</v>
      </c>
      <c r="T96">
        <v>27</v>
      </c>
      <c r="U96">
        <v>0</v>
      </c>
      <c r="V96">
        <v>1</v>
      </c>
    </row>
    <row r="97" spans="1:22">
      <c r="A97" t="s">
        <v>2096</v>
      </c>
      <c r="B97" s="3">
        <v>46201</v>
      </c>
      <c r="C97" t="s">
        <v>78</v>
      </c>
      <c r="D97" t="s">
        <v>85</v>
      </c>
      <c r="E97" t="s">
        <v>402</v>
      </c>
      <c r="F97" t="s">
        <v>17</v>
      </c>
      <c r="G97" t="s">
        <v>32</v>
      </c>
      <c r="H97" t="s">
        <v>19</v>
      </c>
      <c r="I97" t="s">
        <v>20</v>
      </c>
      <c r="J97">
        <v>225</v>
      </c>
      <c r="K97" t="s">
        <v>1464</v>
      </c>
      <c r="L97" t="s">
        <v>1270</v>
      </c>
      <c r="M97" t="s">
        <v>161</v>
      </c>
      <c r="N97" t="s">
        <v>17</v>
      </c>
      <c r="O97" t="s">
        <v>19</v>
      </c>
      <c r="P97" t="s">
        <v>20</v>
      </c>
      <c r="Q97">
        <v>225</v>
      </c>
      <c r="R97" t="s">
        <v>32</v>
      </c>
      <c r="S97">
        <v>0</v>
      </c>
      <c r="T97">
        <v>27</v>
      </c>
      <c r="U97">
        <v>0</v>
      </c>
      <c r="V97">
        <v>1</v>
      </c>
    </row>
    <row r="98" spans="1:22">
      <c r="A98" t="s">
        <v>2024</v>
      </c>
      <c r="B98" s="3">
        <v>46200</v>
      </c>
      <c r="C98" t="s">
        <v>47</v>
      </c>
      <c r="D98" t="s">
        <v>48</v>
      </c>
      <c r="E98" t="s">
        <v>402</v>
      </c>
      <c r="F98" t="s">
        <v>17</v>
      </c>
      <c r="G98" t="s">
        <v>23</v>
      </c>
      <c r="H98" t="s">
        <v>24</v>
      </c>
      <c r="I98" t="s">
        <v>20</v>
      </c>
      <c r="J98">
        <v>120</v>
      </c>
      <c r="K98" t="s">
        <v>1502</v>
      </c>
      <c r="M98" t="s">
        <v>62</v>
      </c>
      <c r="N98" t="s">
        <v>17</v>
      </c>
      <c r="O98" t="s">
        <v>24</v>
      </c>
      <c r="P98" t="s">
        <v>20</v>
      </c>
      <c r="Q98">
        <v>120</v>
      </c>
      <c r="R98" t="s">
        <v>23</v>
      </c>
      <c r="S98">
        <v>0</v>
      </c>
      <c r="T98">
        <v>0</v>
      </c>
      <c r="U98">
        <v>0</v>
      </c>
      <c r="V98">
        <v>0</v>
      </c>
    </row>
    <row r="99" spans="1:22">
      <c r="A99" t="s">
        <v>1636</v>
      </c>
      <c r="B99" s="3">
        <v>46195</v>
      </c>
      <c r="C99" t="s">
        <v>47</v>
      </c>
      <c r="D99" t="s">
        <v>148</v>
      </c>
      <c r="E99" t="s">
        <v>402</v>
      </c>
      <c r="F99" t="s">
        <v>17</v>
      </c>
      <c r="G99" t="s">
        <v>23</v>
      </c>
      <c r="H99" t="s">
        <v>19</v>
      </c>
      <c r="I99" t="s">
        <v>20</v>
      </c>
      <c r="J99">
        <v>120</v>
      </c>
      <c r="K99" t="s">
        <v>1505</v>
      </c>
      <c r="M99" t="s">
        <v>55</v>
      </c>
      <c r="N99" t="s">
        <v>17</v>
      </c>
      <c r="O99" t="s">
        <v>19</v>
      </c>
      <c r="P99" t="s">
        <v>20</v>
      </c>
      <c r="Q99">
        <v>120</v>
      </c>
      <c r="R99" t="s">
        <v>23</v>
      </c>
      <c r="S99">
        <v>0</v>
      </c>
      <c r="T99">
        <v>9.6</v>
      </c>
      <c r="U99">
        <v>0</v>
      </c>
      <c r="V99">
        <v>1</v>
      </c>
    </row>
    <row r="100" spans="1:22">
      <c r="A100" t="s">
        <v>1701</v>
      </c>
      <c r="B100" s="3">
        <v>46196</v>
      </c>
      <c r="C100" t="s">
        <v>47</v>
      </c>
      <c r="D100" t="s">
        <v>59</v>
      </c>
      <c r="E100" t="s">
        <v>402</v>
      </c>
      <c r="F100" t="s">
        <v>17</v>
      </c>
      <c r="G100" t="s">
        <v>23</v>
      </c>
      <c r="H100" t="s">
        <v>19</v>
      </c>
      <c r="I100" t="s">
        <v>20</v>
      </c>
      <c r="J100">
        <v>120</v>
      </c>
      <c r="K100" t="s">
        <v>1512</v>
      </c>
      <c r="M100" t="s">
        <v>55</v>
      </c>
      <c r="N100" t="s">
        <v>17</v>
      </c>
      <c r="O100" t="s">
        <v>19</v>
      </c>
      <c r="P100" t="s">
        <v>20</v>
      </c>
      <c r="Q100">
        <v>120</v>
      </c>
      <c r="R100" t="s">
        <v>23</v>
      </c>
      <c r="S100">
        <v>0</v>
      </c>
      <c r="T100">
        <v>9.6</v>
      </c>
      <c r="U100">
        <v>0</v>
      </c>
      <c r="V100">
        <v>1</v>
      </c>
    </row>
    <row r="101" spans="1:22">
      <c r="A101" t="s">
        <v>1854</v>
      </c>
      <c r="B101" s="3">
        <v>46198</v>
      </c>
      <c r="C101" t="s">
        <v>78</v>
      </c>
      <c r="D101" t="s">
        <v>81</v>
      </c>
      <c r="E101" t="s">
        <v>402</v>
      </c>
      <c r="F101" t="s">
        <v>17</v>
      </c>
      <c r="G101" t="s">
        <v>23</v>
      </c>
      <c r="H101" t="s">
        <v>19</v>
      </c>
      <c r="I101" t="s">
        <v>20</v>
      </c>
      <c r="J101">
        <v>120</v>
      </c>
      <c r="K101" t="s">
        <v>1524</v>
      </c>
      <c r="M101" t="s">
        <v>102</v>
      </c>
      <c r="N101" t="s">
        <v>17</v>
      </c>
      <c r="O101" t="s">
        <v>19</v>
      </c>
      <c r="P101" t="s">
        <v>20</v>
      </c>
      <c r="Q101">
        <v>120</v>
      </c>
      <c r="R101" t="s">
        <v>23</v>
      </c>
      <c r="S101">
        <v>0</v>
      </c>
      <c r="T101">
        <v>9.6</v>
      </c>
      <c r="U101">
        <v>0</v>
      </c>
      <c r="V101">
        <v>1</v>
      </c>
    </row>
    <row r="102" spans="1:22">
      <c r="A102" t="s">
        <v>1637</v>
      </c>
      <c r="B102" s="3">
        <v>46195</v>
      </c>
      <c r="C102" t="s">
        <v>105</v>
      </c>
      <c r="D102" t="s">
        <v>116</v>
      </c>
      <c r="E102" t="s">
        <v>402</v>
      </c>
      <c r="F102" t="s">
        <v>17</v>
      </c>
      <c r="G102" t="s">
        <v>32</v>
      </c>
      <c r="H102" t="s">
        <v>19</v>
      </c>
      <c r="I102" t="s">
        <v>20</v>
      </c>
      <c r="J102">
        <v>300</v>
      </c>
      <c r="K102" t="s">
        <v>1551</v>
      </c>
      <c r="M102" t="s">
        <v>118</v>
      </c>
      <c r="N102" t="s">
        <v>17</v>
      </c>
      <c r="O102" t="s">
        <v>19</v>
      </c>
      <c r="P102" t="s">
        <v>20</v>
      </c>
      <c r="Q102">
        <v>300</v>
      </c>
      <c r="R102" t="s">
        <v>32</v>
      </c>
      <c r="S102">
        <v>0</v>
      </c>
      <c r="T102">
        <v>36</v>
      </c>
      <c r="U102">
        <v>0</v>
      </c>
      <c r="V102">
        <v>1</v>
      </c>
    </row>
    <row r="103" spans="1:22">
      <c r="A103" t="s">
        <v>1857</v>
      </c>
      <c r="B103" s="3">
        <v>46198</v>
      </c>
      <c r="C103" t="s">
        <v>105</v>
      </c>
      <c r="D103" t="s">
        <v>191</v>
      </c>
      <c r="E103" t="s">
        <v>402</v>
      </c>
      <c r="F103" t="s">
        <v>17</v>
      </c>
      <c r="G103" t="s">
        <v>18</v>
      </c>
      <c r="H103" t="s">
        <v>19</v>
      </c>
      <c r="I103" t="s">
        <v>20</v>
      </c>
      <c r="J103">
        <v>170</v>
      </c>
      <c r="K103" t="s">
        <v>1552</v>
      </c>
      <c r="L103" t="s">
        <v>29</v>
      </c>
      <c r="M103" t="s">
        <v>118</v>
      </c>
      <c r="N103" t="s">
        <v>17</v>
      </c>
      <c r="O103" t="s">
        <v>19</v>
      </c>
      <c r="P103" t="s">
        <v>20</v>
      </c>
      <c r="Q103">
        <v>170</v>
      </c>
      <c r="R103" t="s">
        <v>18</v>
      </c>
      <c r="S103">
        <v>0</v>
      </c>
      <c r="T103">
        <v>17</v>
      </c>
      <c r="U103">
        <v>0</v>
      </c>
      <c r="V103">
        <v>1</v>
      </c>
    </row>
    <row r="104" spans="1:22">
      <c r="A104" t="s">
        <v>2097</v>
      </c>
      <c r="B104" s="3">
        <v>46201</v>
      </c>
      <c r="C104" t="s">
        <v>105</v>
      </c>
      <c r="D104" t="s">
        <v>112</v>
      </c>
      <c r="E104" t="s">
        <v>402</v>
      </c>
      <c r="F104" t="s">
        <v>17</v>
      </c>
      <c r="G104" t="s">
        <v>23</v>
      </c>
      <c r="H104" t="s">
        <v>19</v>
      </c>
      <c r="I104" t="s">
        <v>20</v>
      </c>
      <c r="J104">
        <v>120</v>
      </c>
      <c r="K104" t="s">
        <v>1561</v>
      </c>
      <c r="M104" t="s">
        <v>265</v>
      </c>
      <c r="N104" t="s">
        <v>17</v>
      </c>
      <c r="O104" t="s">
        <v>19</v>
      </c>
      <c r="P104" t="s">
        <v>20</v>
      </c>
      <c r="Q104">
        <v>120</v>
      </c>
      <c r="R104" t="s">
        <v>23</v>
      </c>
      <c r="S104">
        <v>0</v>
      </c>
      <c r="T104">
        <v>9.6</v>
      </c>
      <c r="U104">
        <v>0</v>
      </c>
      <c r="V104">
        <v>1</v>
      </c>
    </row>
    <row r="105" spans="1:22">
      <c r="A105" t="s">
        <v>1856</v>
      </c>
      <c r="B105" s="3">
        <v>46198</v>
      </c>
      <c r="C105" t="s">
        <v>47</v>
      </c>
      <c r="D105" t="s">
        <v>71</v>
      </c>
      <c r="E105" t="s">
        <v>402</v>
      </c>
      <c r="F105" t="s">
        <v>17</v>
      </c>
      <c r="G105" t="s">
        <v>23</v>
      </c>
      <c r="H105" t="s">
        <v>19</v>
      </c>
      <c r="I105" t="s">
        <v>20</v>
      </c>
      <c r="J105">
        <v>120</v>
      </c>
      <c r="K105" t="s">
        <v>1585</v>
      </c>
      <c r="M105" t="s">
        <v>50</v>
      </c>
      <c r="N105" t="s">
        <v>17</v>
      </c>
      <c r="O105" t="s">
        <v>19</v>
      </c>
      <c r="P105" t="s">
        <v>20</v>
      </c>
      <c r="Q105">
        <v>120</v>
      </c>
      <c r="R105" t="s">
        <v>23</v>
      </c>
      <c r="S105">
        <v>0</v>
      </c>
      <c r="T105">
        <v>9.6</v>
      </c>
      <c r="U105">
        <v>0</v>
      </c>
      <c r="V105">
        <v>1</v>
      </c>
    </row>
    <row r="106" spans="1:22">
      <c r="A106" t="s">
        <v>2158</v>
      </c>
      <c r="B106" s="3">
        <v>46202</v>
      </c>
      <c r="C106" t="s">
        <v>47</v>
      </c>
      <c r="D106" t="s">
        <v>152</v>
      </c>
      <c r="E106" t="s">
        <v>402</v>
      </c>
      <c r="F106" t="s">
        <v>35</v>
      </c>
      <c r="G106" t="s">
        <v>32</v>
      </c>
      <c r="H106" t="s">
        <v>19</v>
      </c>
      <c r="I106" t="s">
        <v>20</v>
      </c>
      <c r="J106">
        <v>300</v>
      </c>
      <c r="K106" t="s">
        <v>1589</v>
      </c>
      <c r="M106" t="s">
        <v>62</v>
      </c>
      <c r="N106" t="s">
        <v>35</v>
      </c>
      <c r="O106" t="s">
        <v>19</v>
      </c>
      <c r="P106" t="s">
        <v>20</v>
      </c>
      <c r="Q106">
        <v>300</v>
      </c>
      <c r="R106" t="s">
        <v>32</v>
      </c>
      <c r="S106">
        <v>0</v>
      </c>
      <c r="T106">
        <v>9</v>
      </c>
      <c r="U106">
        <v>0</v>
      </c>
      <c r="V106">
        <v>0</v>
      </c>
    </row>
    <row r="107" spans="1:22">
      <c r="A107" t="s">
        <v>1700</v>
      </c>
      <c r="B107" s="3">
        <v>46196</v>
      </c>
      <c r="C107" t="s">
        <v>47</v>
      </c>
      <c r="D107" t="s">
        <v>55</v>
      </c>
      <c r="E107" t="s">
        <v>402</v>
      </c>
      <c r="F107" t="s">
        <v>17</v>
      </c>
      <c r="G107" t="s">
        <v>23</v>
      </c>
      <c r="H107" t="s">
        <v>19</v>
      </c>
      <c r="I107" t="s">
        <v>20</v>
      </c>
      <c r="J107">
        <v>120</v>
      </c>
      <c r="K107" t="s">
        <v>1591</v>
      </c>
      <c r="M107" t="s">
        <v>66</v>
      </c>
      <c r="N107" t="s">
        <v>17</v>
      </c>
      <c r="O107" t="s">
        <v>19</v>
      </c>
      <c r="P107" t="s">
        <v>20</v>
      </c>
      <c r="Q107">
        <v>120</v>
      </c>
      <c r="R107" t="s">
        <v>23</v>
      </c>
      <c r="S107">
        <v>0</v>
      </c>
      <c r="T107">
        <v>9.6</v>
      </c>
      <c r="U107">
        <v>0</v>
      </c>
      <c r="V107">
        <v>1</v>
      </c>
    </row>
    <row r="108" spans="1:22">
      <c r="A108" t="s">
        <v>1942</v>
      </c>
      <c r="B108" s="3">
        <v>46199</v>
      </c>
      <c r="C108" t="s">
        <v>78</v>
      </c>
      <c r="D108" t="s">
        <v>242</v>
      </c>
      <c r="E108" t="s">
        <v>402</v>
      </c>
      <c r="F108" t="s">
        <v>17</v>
      </c>
      <c r="G108" t="s">
        <v>32</v>
      </c>
      <c r="H108" t="s">
        <v>19</v>
      </c>
      <c r="I108" t="s">
        <v>20</v>
      </c>
      <c r="J108">
        <v>300</v>
      </c>
      <c r="K108" t="s">
        <v>1606</v>
      </c>
      <c r="M108" t="s">
        <v>89</v>
      </c>
      <c r="N108" t="s">
        <v>17</v>
      </c>
      <c r="O108" t="s">
        <v>19</v>
      </c>
      <c r="P108" t="s">
        <v>20</v>
      </c>
      <c r="Q108">
        <v>300</v>
      </c>
      <c r="R108" t="s">
        <v>32</v>
      </c>
      <c r="S108">
        <v>0</v>
      </c>
      <c r="T108">
        <v>36</v>
      </c>
      <c r="U108">
        <v>0</v>
      </c>
      <c r="V108">
        <v>1</v>
      </c>
    </row>
    <row r="109" spans="1:22">
      <c r="A109" t="s">
        <v>1702</v>
      </c>
      <c r="B109" s="3">
        <v>46196</v>
      </c>
      <c r="C109" t="s">
        <v>78</v>
      </c>
      <c r="D109" t="s">
        <v>163</v>
      </c>
      <c r="E109" t="s">
        <v>402</v>
      </c>
      <c r="F109" t="s">
        <v>35</v>
      </c>
      <c r="G109" t="s">
        <v>18</v>
      </c>
      <c r="H109" t="s">
        <v>19</v>
      </c>
      <c r="I109" t="s">
        <v>20</v>
      </c>
      <c r="J109">
        <v>200</v>
      </c>
      <c r="K109" t="s">
        <v>1612</v>
      </c>
      <c r="M109" t="s">
        <v>89</v>
      </c>
      <c r="N109" t="s">
        <v>35</v>
      </c>
      <c r="O109" t="s">
        <v>19</v>
      </c>
      <c r="P109" t="s">
        <v>20</v>
      </c>
      <c r="Q109">
        <v>200</v>
      </c>
      <c r="R109" t="s">
        <v>18</v>
      </c>
      <c r="S109">
        <v>0</v>
      </c>
      <c r="T109">
        <v>6</v>
      </c>
      <c r="U109">
        <v>0</v>
      </c>
      <c r="V109">
        <v>0</v>
      </c>
    </row>
    <row r="110" spans="1:22">
      <c r="A110" t="s">
        <v>1943</v>
      </c>
      <c r="B110" s="3">
        <v>46199</v>
      </c>
      <c r="C110" t="s">
        <v>105</v>
      </c>
      <c r="D110" t="s">
        <v>116</v>
      </c>
      <c r="E110" t="s">
        <v>402</v>
      </c>
      <c r="F110" t="s">
        <v>17</v>
      </c>
      <c r="G110" t="s">
        <v>23</v>
      </c>
      <c r="H110" t="s">
        <v>19</v>
      </c>
      <c r="I110" t="s">
        <v>20</v>
      </c>
      <c r="J110">
        <v>120</v>
      </c>
      <c r="K110" t="s">
        <v>1629</v>
      </c>
      <c r="M110" t="s">
        <v>194</v>
      </c>
      <c r="N110" t="s">
        <v>17</v>
      </c>
      <c r="O110" t="s">
        <v>19</v>
      </c>
      <c r="P110" t="s">
        <v>20</v>
      </c>
      <c r="Q110">
        <v>120</v>
      </c>
      <c r="R110" t="s">
        <v>23</v>
      </c>
      <c r="S110">
        <v>0</v>
      </c>
      <c r="T110">
        <v>9.6</v>
      </c>
      <c r="U110">
        <v>0</v>
      </c>
      <c r="V110">
        <v>1</v>
      </c>
    </row>
    <row r="111" spans="1:22">
      <c r="A111" t="s">
        <v>2159</v>
      </c>
      <c r="B111" s="3">
        <v>46202</v>
      </c>
      <c r="C111" t="s">
        <v>14</v>
      </c>
      <c r="D111" t="s">
        <v>28</v>
      </c>
      <c r="E111" t="s">
        <v>402</v>
      </c>
      <c r="F111" t="s">
        <v>35</v>
      </c>
      <c r="G111" t="s">
        <v>32</v>
      </c>
      <c r="H111" t="s">
        <v>19</v>
      </c>
      <c r="I111" t="s">
        <v>20</v>
      </c>
      <c r="J111">
        <v>300</v>
      </c>
      <c r="K111" t="s">
        <v>1641</v>
      </c>
      <c r="M111" t="s">
        <v>15</v>
      </c>
      <c r="N111" t="s">
        <v>35</v>
      </c>
      <c r="O111" t="s">
        <v>19</v>
      </c>
      <c r="P111" t="s">
        <v>20</v>
      </c>
      <c r="Q111">
        <v>300</v>
      </c>
      <c r="R111" t="s">
        <v>32</v>
      </c>
      <c r="S111">
        <v>0</v>
      </c>
      <c r="T111">
        <v>9</v>
      </c>
      <c r="U111">
        <v>0</v>
      </c>
      <c r="V111">
        <v>0</v>
      </c>
    </row>
    <row r="112" spans="1:22">
      <c r="A112" t="s">
        <v>1855</v>
      </c>
      <c r="B112" s="3">
        <v>46198</v>
      </c>
      <c r="C112" t="s">
        <v>105</v>
      </c>
      <c r="D112" t="s">
        <v>187</v>
      </c>
      <c r="E112" t="s">
        <v>402</v>
      </c>
      <c r="F112" t="s">
        <v>17</v>
      </c>
      <c r="G112" t="s">
        <v>18</v>
      </c>
      <c r="H112" t="s">
        <v>19</v>
      </c>
      <c r="I112" t="s">
        <v>20</v>
      </c>
      <c r="J112">
        <v>200</v>
      </c>
      <c r="K112" t="s">
        <v>1689</v>
      </c>
      <c r="M112" t="s">
        <v>191</v>
      </c>
      <c r="N112" t="s">
        <v>17</v>
      </c>
      <c r="O112" t="s">
        <v>19</v>
      </c>
      <c r="P112" t="s">
        <v>20</v>
      </c>
      <c r="Q112">
        <v>200</v>
      </c>
      <c r="R112" t="s">
        <v>18</v>
      </c>
      <c r="S112">
        <v>0</v>
      </c>
      <c r="T112">
        <v>20</v>
      </c>
      <c r="U112">
        <v>0</v>
      </c>
      <c r="V112">
        <v>1</v>
      </c>
    </row>
    <row r="113" spans="1:22">
      <c r="A113" t="s">
        <v>2225</v>
      </c>
      <c r="B113" s="3">
        <v>46203</v>
      </c>
      <c r="C113" t="s">
        <v>105</v>
      </c>
      <c r="D113" t="s">
        <v>106</v>
      </c>
      <c r="E113" t="s">
        <v>402</v>
      </c>
      <c r="F113" t="s">
        <v>17</v>
      </c>
      <c r="G113" t="s">
        <v>23</v>
      </c>
      <c r="H113" t="s">
        <v>19</v>
      </c>
      <c r="I113" t="s">
        <v>20</v>
      </c>
      <c r="J113">
        <v>120</v>
      </c>
      <c r="K113" t="s">
        <v>1690</v>
      </c>
      <c r="M113" t="s">
        <v>187</v>
      </c>
      <c r="N113" t="s">
        <v>17</v>
      </c>
      <c r="O113" t="s">
        <v>19</v>
      </c>
      <c r="P113" t="s">
        <v>20</v>
      </c>
      <c r="Q113">
        <v>120</v>
      </c>
      <c r="R113" t="s">
        <v>23</v>
      </c>
      <c r="S113">
        <v>0</v>
      </c>
      <c r="T113">
        <v>9.6</v>
      </c>
      <c r="U113">
        <v>0</v>
      </c>
      <c r="V113">
        <v>1</v>
      </c>
    </row>
    <row r="114" spans="1:22">
      <c r="A114" t="s">
        <v>2023</v>
      </c>
      <c r="B114" s="3">
        <v>46200</v>
      </c>
      <c r="C114" t="s">
        <v>105</v>
      </c>
      <c r="D114" t="s">
        <v>120</v>
      </c>
      <c r="E114" t="s">
        <v>402</v>
      </c>
      <c r="F114" t="s">
        <v>17</v>
      </c>
      <c r="G114" t="s">
        <v>18</v>
      </c>
      <c r="H114" t="s">
        <v>19</v>
      </c>
      <c r="I114" t="s">
        <v>20</v>
      </c>
      <c r="J114">
        <v>200</v>
      </c>
      <c r="K114" t="s">
        <v>1698</v>
      </c>
      <c r="M114" t="s">
        <v>191</v>
      </c>
      <c r="N114" t="s">
        <v>17</v>
      </c>
      <c r="O114" t="s">
        <v>19</v>
      </c>
      <c r="P114" t="s">
        <v>20</v>
      </c>
      <c r="Q114">
        <v>200</v>
      </c>
      <c r="R114" t="s">
        <v>18</v>
      </c>
      <c r="S114">
        <v>0</v>
      </c>
      <c r="T114">
        <v>20</v>
      </c>
      <c r="U114">
        <v>0</v>
      </c>
      <c r="V114">
        <v>1</v>
      </c>
    </row>
    <row r="115" spans="1:22">
      <c r="A115" t="s">
        <v>12</v>
      </c>
      <c r="B115" s="3">
        <v>46174</v>
      </c>
      <c r="C115" t="s">
        <v>14</v>
      </c>
      <c r="D115" t="s">
        <v>15</v>
      </c>
      <c r="E115" t="s">
        <v>16</v>
      </c>
      <c r="F115" t="s">
        <v>17</v>
      </c>
      <c r="G115" t="s">
        <v>18</v>
      </c>
      <c r="H115" t="s">
        <v>19</v>
      </c>
      <c r="I115" t="s">
        <v>20</v>
      </c>
      <c r="J115">
        <v>200</v>
      </c>
      <c r="S115">
        <v>20</v>
      </c>
      <c r="T115">
        <v>0</v>
      </c>
      <c r="U115">
        <v>1</v>
      </c>
      <c r="V115">
        <v>0</v>
      </c>
    </row>
    <row r="116" spans="1:22">
      <c r="A116" t="s">
        <v>21</v>
      </c>
      <c r="B116" s="3">
        <v>46174</v>
      </c>
      <c r="C116" t="s">
        <v>14</v>
      </c>
      <c r="D116" t="s">
        <v>22</v>
      </c>
      <c r="E116" t="s">
        <v>16</v>
      </c>
      <c r="F116" t="s">
        <v>17</v>
      </c>
      <c r="G116" t="s">
        <v>23</v>
      </c>
      <c r="H116" t="s">
        <v>24</v>
      </c>
      <c r="I116" t="s">
        <v>20</v>
      </c>
      <c r="J116">
        <v>120</v>
      </c>
      <c r="S116">
        <v>0</v>
      </c>
      <c r="T116">
        <v>0</v>
      </c>
      <c r="U116">
        <v>0</v>
      </c>
      <c r="V116">
        <v>0</v>
      </c>
    </row>
    <row r="117" spans="1:22">
      <c r="A117" t="s">
        <v>25</v>
      </c>
      <c r="B117" s="3">
        <v>46174</v>
      </c>
      <c r="C117" t="s">
        <v>14</v>
      </c>
      <c r="D117" t="s">
        <v>26</v>
      </c>
      <c r="E117" t="s">
        <v>16</v>
      </c>
      <c r="F117" t="s">
        <v>17</v>
      </c>
      <c r="G117" t="s">
        <v>18</v>
      </c>
      <c r="H117" t="s">
        <v>19</v>
      </c>
      <c r="I117" t="s">
        <v>20</v>
      </c>
      <c r="J117">
        <v>200</v>
      </c>
      <c r="S117">
        <v>20</v>
      </c>
      <c r="T117">
        <v>0</v>
      </c>
      <c r="U117">
        <v>1</v>
      </c>
      <c r="V117">
        <v>0</v>
      </c>
    </row>
    <row r="118" spans="1:22">
      <c r="A118" t="s">
        <v>27</v>
      </c>
      <c r="B118" s="3">
        <v>46174</v>
      </c>
      <c r="C118" t="s">
        <v>14</v>
      </c>
      <c r="D118" t="s">
        <v>28</v>
      </c>
      <c r="E118" t="s">
        <v>16</v>
      </c>
      <c r="F118" t="s">
        <v>17</v>
      </c>
      <c r="G118" t="s">
        <v>23</v>
      </c>
      <c r="H118" t="s">
        <v>19</v>
      </c>
      <c r="I118" t="s">
        <v>20</v>
      </c>
      <c r="J118">
        <v>102</v>
      </c>
      <c r="L118" t="s">
        <v>29</v>
      </c>
      <c r="S118">
        <v>8.16</v>
      </c>
      <c r="T118">
        <v>0</v>
      </c>
      <c r="U118">
        <v>1</v>
      </c>
      <c r="V118">
        <v>0</v>
      </c>
    </row>
    <row r="119" spans="1:22">
      <c r="A119" t="s">
        <v>30</v>
      </c>
      <c r="B119" s="3">
        <v>46174</v>
      </c>
      <c r="C119" t="s">
        <v>14</v>
      </c>
      <c r="D119" t="s">
        <v>31</v>
      </c>
      <c r="E119" t="s">
        <v>16</v>
      </c>
      <c r="F119" t="s">
        <v>17</v>
      </c>
      <c r="G119" t="s">
        <v>32</v>
      </c>
      <c r="H119" t="s">
        <v>19</v>
      </c>
      <c r="I119" t="s">
        <v>20</v>
      </c>
      <c r="J119">
        <v>300</v>
      </c>
      <c r="S119">
        <v>36</v>
      </c>
      <c r="T119">
        <v>0</v>
      </c>
      <c r="U119">
        <v>1</v>
      </c>
      <c r="V119">
        <v>0</v>
      </c>
    </row>
    <row r="120" spans="1:22">
      <c r="A120" t="s">
        <v>33</v>
      </c>
      <c r="B120" s="3">
        <v>46174</v>
      </c>
      <c r="C120" t="s">
        <v>14</v>
      </c>
      <c r="D120" t="s">
        <v>34</v>
      </c>
      <c r="E120" t="s">
        <v>16</v>
      </c>
      <c r="F120" t="s">
        <v>35</v>
      </c>
      <c r="G120" t="s">
        <v>32</v>
      </c>
      <c r="H120" t="s">
        <v>19</v>
      </c>
      <c r="I120" t="s">
        <v>20</v>
      </c>
      <c r="J120">
        <v>300</v>
      </c>
      <c r="S120">
        <v>9</v>
      </c>
      <c r="T120">
        <v>0</v>
      </c>
      <c r="U120">
        <v>0</v>
      </c>
      <c r="V120">
        <v>0</v>
      </c>
    </row>
    <row r="121" spans="1:22">
      <c r="A121" t="s">
        <v>36</v>
      </c>
      <c r="B121" s="3">
        <v>46174</v>
      </c>
      <c r="C121" t="s">
        <v>14</v>
      </c>
      <c r="D121" t="s">
        <v>37</v>
      </c>
      <c r="E121" t="s">
        <v>16</v>
      </c>
      <c r="F121" t="s">
        <v>17</v>
      </c>
      <c r="G121" t="s">
        <v>18</v>
      </c>
      <c r="H121" t="s">
        <v>19</v>
      </c>
      <c r="I121" t="s">
        <v>20</v>
      </c>
      <c r="J121">
        <v>200</v>
      </c>
      <c r="S121">
        <v>20</v>
      </c>
      <c r="T121">
        <v>0</v>
      </c>
      <c r="U121">
        <v>1</v>
      </c>
      <c r="V121">
        <v>0</v>
      </c>
    </row>
    <row r="122" spans="1:22">
      <c r="A122" t="s">
        <v>38</v>
      </c>
      <c r="B122" s="3">
        <v>46174</v>
      </c>
      <c r="C122" t="s">
        <v>14</v>
      </c>
      <c r="D122" t="s">
        <v>28</v>
      </c>
      <c r="E122" t="s">
        <v>16</v>
      </c>
      <c r="F122" t="s">
        <v>17</v>
      </c>
      <c r="G122" t="s">
        <v>18</v>
      </c>
      <c r="H122" t="s">
        <v>19</v>
      </c>
      <c r="I122" t="s">
        <v>20</v>
      </c>
      <c r="J122">
        <v>200</v>
      </c>
      <c r="S122">
        <v>20</v>
      </c>
      <c r="T122">
        <v>0</v>
      </c>
      <c r="U122">
        <v>1</v>
      </c>
      <c r="V122">
        <v>0</v>
      </c>
    </row>
    <row r="123" spans="1:22">
      <c r="A123" t="s">
        <v>39</v>
      </c>
      <c r="B123" s="3">
        <v>46174</v>
      </c>
      <c r="C123" t="s">
        <v>14</v>
      </c>
      <c r="D123" t="s">
        <v>40</v>
      </c>
      <c r="E123" t="s">
        <v>16</v>
      </c>
      <c r="F123" t="s">
        <v>17</v>
      </c>
      <c r="G123" t="s">
        <v>18</v>
      </c>
      <c r="H123" t="s">
        <v>19</v>
      </c>
      <c r="I123" t="s">
        <v>20</v>
      </c>
      <c r="J123">
        <v>200</v>
      </c>
      <c r="S123">
        <v>20</v>
      </c>
      <c r="T123">
        <v>0</v>
      </c>
      <c r="U123">
        <v>1</v>
      </c>
      <c r="V123">
        <v>0</v>
      </c>
    </row>
    <row r="124" spans="1:22">
      <c r="A124" t="s">
        <v>41</v>
      </c>
      <c r="B124" s="3">
        <v>46174</v>
      </c>
      <c r="C124" t="s">
        <v>14</v>
      </c>
      <c r="D124" t="s">
        <v>42</v>
      </c>
      <c r="E124" t="s">
        <v>16</v>
      </c>
      <c r="F124" t="s">
        <v>17</v>
      </c>
      <c r="G124" t="s">
        <v>23</v>
      </c>
      <c r="H124" t="s">
        <v>19</v>
      </c>
      <c r="I124" t="s">
        <v>20</v>
      </c>
      <c r="J124">
        <v>120</v>
      </c>
      <c r="S124">
        <v>9.6</v>
      </c>
      <c r="T124">
        <v>0</v>
      </c>
      <c r="U124">
        <v>1</v>
      </c>
      <c r="V124">
        <v>0</v>
      </c>
    </row>
    <row r="125" spans="1:22">
      <c r="A125" t="s">
        <v>43</v>
      </c>
      <c r="B125" s="3">
        <v>46174</v>
      </c>
      <c r="C125" t="s">
        <v>14</v>
      </c>
      <c r="D125" t="s">
        <v>34</v>
      </c>
      <c r="E125" t="s">
        <v>16</v>
      </c>
      <c r="F125" t="s">
        <v>17</v>
      </c>
      <c r="G125" t="s">
        <v>23</v>
      </c>
      <c r="H125" t="s">
        <v>19</v>
      </c>
      <c r="I125" t="s">
        <v>20</v>
      </c>
      <c r="J125">
        <v>120</v>
      </c>
      <c r="S125">
        <v>9.6</v>
      </c>
      <c r="T125">
        <v>0</v>
      </c>
      <c r="U125">
        <v>1</v>
      </c>
      <c r="V125">
        <v>0</v>
      </c>
    </row>
    <row r="126" spans="1:22">
      <c r="A126" t="s">
        <v>44</v>
      </c>
      <c r="B126" s="3">
        <v>46174</v>
      </c>
      <c r="C126" t="s">
        <v>14</v>
      </c>
      <c r="D126" t="s">
        <v>42</v>
      </c>
      <c r="E126" t="s">
        <v>16</v>
      </c>
      <c r="F126" t="s">
        <v>17</v>
      </c>
      <c r="G126" t="s">
        <v>32</v>
      </c>
      <c r="H126" t="s">
        <v>19</v>
      </c>
      <c r="I126" t="s">
        <v>20</v>
      </c>
      <c r="J126">
        <v>300</v>
      </c>
      <c r="S126">
        <v>36</v>
      </c>
      <c r="T126">
        <v>0</v>
      </c>
      <c r="U126">
        <v>1</v>
      </c>
      <c r="V126">
        <v>0</v>
      </c>
    </row>
    <row r="127" spans="1:22">
      <c r="A127" t="s">
        <v>45</v>
      </c>
      <c r="B127" s="3">
        <v>46174</v>
      </c>
      <c r="C127" t="s">
        <v>14</v>
      </c>
      <c r="D127" t="s">
        <v>40</v>
      </c>
      <c r="E127" t="s">
        <v>16</v>
      </c>
      <c r="F127" t="s">
        <v>17</v>
      </c>
      <c r="G127" t="s">
        <v>23</v>
      </c>
      <c r="H127" t="s">
        <v>19</v>
      </c>
      <c r="I127" t="s">
        <v>20</v>
      </c>
      <c r="J127">
        <v>120</v>
      </c>
      <c r="S127">
        <v>9.6</v>
      </c>
      <c r="T127">
        <v>0</v>
      </c>
      <c r="U127">
        <v>1</v>
      </c>
      <c r="V127">
        <v>0</v>
      </c>
    </row>
    <row r="128" spans="1:22">
      <c r="A128" t="s">
        <v>46</v>
      </c>
      <c r="B128" s="3">
        <v>46174</v>
      </c>
      <c r="C128" t="s">
        <v>47</v>
      </c>
      <c r="D128" t="s">
        <v>48</v>
      </c>
      <c r="E128" t="s">
        <v>16</v>
      </c>
      <c r="F128" t="s">
        <v>17</v>
      </c>
      <c r="G128" t="s">
        <v>32</v>
      </c>
      <c r="H128" t="s">
        <v>19</v>
      </c>
      <c r="I128" t="s">
        <v>20</v>
      </c>
      <c r="J128">
        <v>255</v>
      </c>
      <c r="L128" t="s">
        <v>29</v>
      </c>
      <c r="S128">
        <v>30.6</v>
      </c>
      <c r="T128">
        <v>0</v>
      </c>
      <c r="U128">
        <v>1</v>
      </c>
      <c r="V128">
        <v>0</v>
      </c>
    </row>
    <row r="129" spans="1:22">
      <c r="A129" t="s">
        <v>49</v>
      </c>
      <c r="B129" s="3">
        <v>46174</v>
      </c>
      <c r="C129" t="s">
        <v>47</v>
      </c>
      <c r="D129" t="s">
        <v>50</v>
      </c>
      <c r="E129" t="s">
        <v>16</v>
      </c>
      <c r="F129" t="s">
        <v>17</v>
      </c>
      <c r="G129" t="s">
        <v>23</v>
      </c>
      <c r="H129" t="s">
        <v>19</v>
      </c>
      <c r="I129" t="s">
        <v>20</v>
      </c>
      <c r="J129">
        <v>120</v>
      </c>
      <c r="S129">
        <v>9.6</v>
      </c>
      <c r="T129">
        <v>0</v>
      </c>
      <c r="U129">
        <v>1</v>
      </c>
      <c r="V129">
        <v>0</v>
      </c>
    </row>
    <row r="130" spans="1:22">
      <c r="A130" t="s">
        <v>51</v>
      </c>
      <c r="B130" s="3">
        <v>46174</v>
      </c>
      <c r="C130" t="s">
        <v>47</v>
      </c>
      <c r="D130" t="s">
        <v>52</v>
      </c>
      <c r="E130" t="s">
        <v>16</v>
      </c>
      <c r="F130" t="s">
        <v>17</v>
      </c>
      <c r="G130" t="s">
        <v>18</v>
      </c>
      <c r="H130" t="s">
        <v>19</v>
      </c>
      <c r="I130" t="s">
        <v>53</v>
      </c>
      <c r="J130">
        <v>200</v>
      </c>
      <c r="S130">
        <v>0</v>
      </c>
      <c r="T130">
        <v>0</v>
      </c>
      <c r="U130">
        <v>0</v>
      </c>
      <c r="V130">
        <v>0</v>
      </c>
    </row>
    <row r="131" spans="1:22">
      <c r="A131" t="s">
        <v>54</v>
      </c>
      <c r="B131" s="3">
        <v>46174</v>
      </c>
      <c r="C131" t="s">
        <v>47</v>
      </c>
      <c r="D131" t="s">
        <v>55</v>
      </c>
      <c r="E131" t="s">
        <v>16</v>
      </c>
      <c r="F131" t="s">
        <v>35</v>
      </c>
      <c r="G131" t="s">
        <v>23</v>
      </c>
      <c r="H131" t="s">
        <v>19</v>
      </c>
      <c r="I131" t="s">
        <v>53</v>
      </c>
      <c r="J131">
        <v>102</v>
      </c>
      <c r="L131" t="s">
        <v>29</v>
      </c>
      <c r="S131">
        <v>0</v>
      </c>
      <c r="T131">
        <v>0</v>
      </c>
      <c r="U131">
        <v>0</v>
      </c>
      <c r="V131">
        <v>0</v>
      </c>
    </row>
    <row r="132" spans="1:22">
      <c r="A132" t="s">
        <v>56</v>
      </c>
      <c r="B132" s="3">
        <v>46174</v>
      </c>
      <c r="C132" t="s">
        <v>47</v>
      </c>
      <c r="D132" t="s">
        <v>52</v>
      </c>
      <c r="E132" t="s">
        <v>16</v>
      </c>
      <c r="F132" t="s">
        <v>17</v>
      </c>
      <c r="G132" t="s">
        <v>23</v>
      </c>
      <c r="H132" t="s">
        <v>19</v>
      </c>
      <c r="I132" t="s">
        <v>20</v>
      </c>
      <c r="J132">
        <v>120</v>
      </c>
      <c r="S132">
        <v>9.6</v>
      </c>
      <c r="T132">
        <v>0</v>
      </c>
      <c r="U132">
        <v>1</v>
      </c>
      <c r="V132">
        <v>0</v>
      </c>
    </row>
    <row r="133" spans="1:22">
      <c r="A133" t="s">
        <v>57</v>
      </c>
      <c r="B133" s="3">
        <v>46174</v>
      </c>
      <c r="C133" t="s">
        <v>47</v>
      </c>
      <c r="D133" t="s">
        <v>55</v>
      </c>
      <c r="E133" t="s">
        <v>16</v>
      </c>
      <c r="F133" t="s">
        <v>17</v>
      </c>
      <c r="G133" t="s">
        <v>18</v>
      </c>
      <c r="H133" t="s">
        <v>19</v>
      </c>
      <c r="I133" t="s">
        <v>20</v>
      </c>
      <c r="J133">
        <v>200</v>
      </c>
      <c r="S133">
        <v>20</v>
      </c>
      <c r="T133">
        <v>0</v>
      </c>
      <c r="U133">
        <v>1</v>
      </c>
      <c r="V133">
        <v>0</v>
      </c>
    </row>
    <row r="134" spans="1:22">
      <c r="A134" t="s">
        <v>58</v>
      </c>
      <c r="B134" s="3">
        <v>46174</v>
      </c>
      <c r="C134" t="s">
        <v>47</v>
      </c>
      <c r="D134" t="s">
        <v>59</v>
      </c>
      <c r="E134" t="s">
        <v>16</v>
      </c>
      <c r="F134" t="s">
        <v>17</v>
      </c>
      <c r="G134" t="s">
        <v>32</v>
      </c>
      <c r="H134" t="s">
        <v>19</v>
      </c>
      <c r="I134" t="s">
        <v>20</v>
      </c>
      <c r="J134">
        <v>300</v>
      </c>
      <c r="S134">
        <v>36</v>
      </c>
      <c r="T134">
        <v>0</v>
      </c>
      <c r="U134">
        <v>1</v>
      </c>
      <c r="V134">
        <v>0</v>
      </c>
    </row>
    <row r="135" spans="1:22">
      <c r="A135" t="s">
        <v>60</v>
      </c>
      <c r="B135" s="3">
        <v>46174</v>
      </c>
      <c r="C135" t="s">
        <v>47</v>
      </c>
      <c r="D135" t="s">
        <v>52</v>
      </c>
      <c r="E135" t="s">
        <v>16</v>
      </c>
      <c r="F135" t="s">
        <v>35</v>
      </c>
      <c r="G135" t="s">
        <v>18</v>
      </c>
      <c r="H135" t="s">
        <v>19</v>
      </c>
      <c r="I135" t="s">
        <v>20</v>
      </c>
      <c r="J135">
        <v>150</v>
      </c>
      <c r="L135" t="s">
        <v>29</v>
      </c>
      <c r="S135">
        <v>4.5</v>
      </c>
      <c r="T135">
        <v>0</v>
      </c>
      <c r="U135">
        <v>0</v>
      </c>
      <c r="V135">
        <v>0</v>
      </c>
    </row>
    <row r="136" spans="1:22">
      <c r="A136" t="s">
        <v>61</v>
      </c>
      <c r="B136" s="3">
        <v>46174</v>
      </c>
      <c r="C136" t="s">
        <v>47</v>
      </c>
      <c r="D136" t="s">
        <v>62</v>
      </c>
      <c r="E136" t="s">
        <v>16</v>
      </c>
      <c r="F136" t="s">
        <v>35</v>
      </c>
      <c r="G136" t="s">
        <v>23</v>
      </c>
      <c r="H136" t="s">
        <v>19</v>
      </c>
      <c r="I136" t="s">
        <v>20</v>
      </c>
      <c r="J136">
        <v>120</v>
      </c>
      <c r="S136">
        <v>3.6</v>
      </c>
      <c r="T136">
        <v>0</v>
      </c>
      <c r="U136">
        <v>0</v>
      </c>
      <c r="V136">
        <v>0</v>
      </c>
    </row>
    <row r="137" spans="1:22">
      <c r="A137" t="s">
        <v>63</v>
      </c>
      <c r="B137" s="3">
        <v>46174</v>
      </c>
      <c r="C137" t="s">
        <v>47</v>
      </c>
      <c r="D137" t="s">
        <v>64</v>
      </c>
      <c r="E137" t="s">
        <v>16</v>
      </c>
      <c r="F137" t="s">
        <v>17</v>
      </c>
      <c r="G137" t="s">
        <v>32</v>
      </c>
      <c r="H137" t="s">
        <v>19</v>
      </c>
      <c r="I137" t="s">
        <v>20</v>
      </c>
      <c r="J137">
        <v>300</v>
      </c>
      <c r="S137">
        <v>36</v>
      </c>
      <c r="T137">
        <v>0</v>
      </c>
      <c r="U137">
        <v>1</v>
      </c>
      <c r="V137">
        <v>0</v>
      </c>
    </row>
    <row r="138" spans="1:22">
      <c r="A138" t="s">
        <v>65</v>
      </c>
      <c r="B138" s="3">
        <v>46174</v>
      </c>
      <c r="C138" t="s">
        <v>47</v>
      </c>
      <c r="D138" t="s">
        <v>66</v>
      </c>
      <c r="E138" t="s">
        <v>16</v>
      </c>
      <c r="F138" t="s">
        <v>17</v>
      </c>
      <c r="G138" t="s">
        <v>32</v>
      </c>
      <c r="H138" t="s">
        <v>19</v>
      </c>
      <c r="I138" t="s">
        <v>20</v>
      </c>
      <c r="J138">
        <v>300</v>
      </c>
      <c r="S138">
        <v>36</v>
      </c>
      <c r="T138">
        <v>0</v>
      </c>
      <c r="U138">
        <v>1</v>
      </c>
      <c r="V138">
        <v>0</v>
      </c>
    </row>
    <row r="139" spans="1:22">
      <c r="A139" t="s">
        <v>67</v>
      </c>
      <c r="B139" s="3">
        <v>46174</v>
      </c>
      <c r="C139" t="s">
        <v>47</v>
      </c>
      <c r="D139" t="s">
        <v>50</v>
      </c>
      <c r="E139" t="s">
        <v>16</v>
      </c>
      <c r="F139" t="s">
        <v>35</v>
      </c>
      <c r="G139" t="s">
        <v>23</v>
      </c>
      <c r="H139" t="s">
        <v>24</v>
      </c>
      <c r="I139" t="s">
        <v>20</v>
      </c>
      <c r="J139">
        <v>120</v>
      </c>
      <c r="S139">
        <v>0</v>
      </c>
      <c r="T139">
        <v>0</v>
      </c>
      <c r="U139">
        <v>0</v>
      </c>
      <c r="V139">
        <v>0</v>
      </c>
    </row>
    <row r="140" spans="1:22">
      <c r="A140" t="s">
        <v>68</v>
      </c>
      <c r="B140" s="3">
        <v>46174</v>
      </c>
      <c r="C140" t="s">
        <v>47</v>
      </c>
      <c r="D140" t="s">
        <v>59</v>
      </c>
      <c r="E140" t="s">
        <v>16</v>
      </c>
      <c r="F140" t="s">
        <v>17</v>
      </c>
      <c r="G140" t="s">
        <v>32</v>
      </c>
      <c r="H140" t="s">
        <v>24</v>
      </c>
      <c r="I140" t="s">
        <v>20</v>
      </c>
      <c r="J140">
        <v>300</v>
      </c>
      <c r="S140">
        <v>0</v>
      </c>
      <c r="T140">
        <v>0</v>
      </c>
      <c r="U140">
        <v>0</v>
      </c>
      <c r="V140">
        <v>0</v>
      </c>
    </row>
    <row r="141" spans="1:22">
      <c r="A141" t="s">
        <v>69</v>
      </c>
      <c r="B141" s="3">
        <v>46174</v>
      </c>
      <c r="C141" t="s">
        <v>47</v>
      </c>
      <c r="D141" t="s">
        <v>62</v>
      </c>
      <c r="E141" t="s">
        <v>16</v>
      </c>
      <c r="F141" t="s">
        <v>35</v>
      </c>
      <c r="G141" t="s">
        <v>18</v>
      </c>
      <c r="H141" t="s">
        <v>24</v>
      </c>
      <c r="I141" t="s">
        <v>20</v>
      </c>
      <c r="J141">
        <v>200</v>
      </c>
      <c r="S141">
        <v>0</v>
      </c>
      <c r="T141">
        <v>0</v>
      </c>
      <c r="U141">
        <v>0</v>
      </c>
      <c r="V141">
        <v>0</v>
      </c>
    </row>
    <row r="142" spans="1:22">
      <c r="A142" t="s">
        <v>70</v>
      </c>
      <c r="B142" s="3">
        <v>46174</v>
      </c>
      <c r="C142" t="s">
        <v>47</v>
      </c>
      <c r="D142" t="s">
        <v>71</v>
      </c>
      <c r="E142" t="s">
        <v>16</v>
      </c>
      <c r="F142" t="s">
        <v>17</v>
      </c>
      <c r="G142" t="s">
        <v>23</v>
      </c>
      <c r="H142" t="s">
        <v>19</v>
      </c>
      <c r="I142" t="s">
        <v>20</v>
      </c>
      <c r="J142">
        <v>120</v>
      </c>
      <c r="S142">
        <v>9.6</v>
      </c>
      <c r="T142">
        <v>0</v>
      </c>
      <c r="U142">
        <v>1</v>
      </c>
      <c r="V142">
        <v>0</v>
      </c>
    </row>
    <row r="143" spans="1:22">
      <c r="A143" t="s">
        <v>72</v>
      </c>
      <c r="B143" s="3">
        <v>46174</v>
      </c>
      <c r="C143" t="s">
        <v>47</v>
      </c>
      <c r="D143" t="s">
        <v>73</v>
      </c>
      <c r="E143" t="s">
        <v>16</v>
      </c>
      <c r="F143" t="s">
        <v>17</v>
      </c>
      <c r="G143" t="s">
        <v>18</v>
      </c>
      <c r="H143" t="s">
        <v>19</v>
      </c>
      <c r="I143" t="s">
        <v>74</v>
      </c>
      <c r="J143">
        <v>200</v>
      </c>
      <c r="S143">
        <v>0</v>
      </c>
      <c r="T143">
        <v>0</v>
      </c>
      <c r="U143">
        <v>0</v>
      </c>
      <c r="V143">
        <v>0</v>
      </c>
    </row>
    <row r="144" spans="1:22">
      <c r="A144" t="s">
        <v>75</v>
      </c>
      <c r="B144" s="3">
        <v>46174</v>
      </c>
      <c r="C144" t="s">
        <v>47</v>
      </c>
      <c r="D144" t="s">
        <v>73</v>
      </c>
      <c r="E144" t="s">
        <v>16</v>
      </c>
      <c r="F144" t="s">
        <v>17</v>
      </c>
      <c r="G144" t="s">
        <v>32</v>
      </c>
      <c r="H144" t="s">
        <v>19</v>
      </c>
      <c r="I144" t="s">
        <v>20</v>
      </c>
      <c r="J144">
        <v>300</v>
      </c>
      <c r="S144">
        <v>36</v>
      </c>
      <c r="T144">
        <v>0</v>
      </c>
      <c r="U144">
        <v>1</v>
      </c>
      <c r="V144">
        <v>0</v>
      </c>
    </row>
    <row r="145" spans="1:22">
      <c r="A145" t="s">
        <v>76</v>
      </c>
      <c r="B145" s="3">
        <v>46174</v>
      </c>
      <c r="C145" t="s">
        <v>47</v>
      </c>
      <c r="D145" t="s">
        <v>71</v>
      </c>
      <c r="E145" t="s">
        <v>16</v>
      </c>
      <c r="F145" t="s">
        <v>17</v>
      </c>
      <c r="G145" t="s">
        <v>18</v>
      </c>
      <c r="H145" t="s">
        <v>19</v>
      </c>
      <c r="I145" t="s">
        <v>20</v>
      </c>
      <c r="J145">
        <v>200</v>
      </c>
      <c r="S145">
        <v>20</v>
      </c>
      <c r="T145">
        <v>0</v>
      </c>
      <c r="U145">
        <v>1</v>
      </c>
      <c r="V145">
        <v>0</v>
      </c>
    </row>
    <row r="146" spans="1:22">
      <c r="A146" t="s">
        <v>77</v>
      </c>
      <c r="B146" s="3">
        <v>46174</v>
      </c>
      <c r="C146" t="s">
        <v>78</v>
      </c>
      <c r="D146" t="s">
        <v>79</v>
      </c>
      <c r="E146" t="s">
        <v>16</v>
      </c>
      <c r="F146" t="s">
        <v>17</v>
      </c>
      <c r="G146" t="s">
        <v>23</v>
      </c>
      <c r="H146" t="s">
        <v>19</v>
      </c>
      <c r="I146" t="s">
        <v>20</v>
      </c>
      <c r="J146">
        <v>120</v>
      </c>
      <c r="S146">
        <v>9.6</v>
      </c>
      <c r="T146">
        <v>0</v>
      </c>
      <c r="U146">
        <v>1</v>
      </c>
      <c r="V146">
        <v>0</v>
      </c>
    </row>
    <row r="147" spans="1:22">
      <c r="A147" t="s">
        <v>80</v>
      </c>
      <c r="B147" s="3">
        <v>46174</v>
      </c>
      <c r="C147" t="s">
        <v>78</v>
      </c>
      <c r="D147" t="s">
        <v>81</v>
      </c>
      <c r="E147" t="s">
        <v>16</v>
      </c>
      <c r="F147" t="s">
        <v>17</v>
      </c>
      <c r="G147" t="s">
        <v>18</v>
      </c>
      <c r="H147" t="s">
        <v>19</v>
      </c>
      <c r="I147" t="s">
        <v>20</v>
      </c>
      <c r="J147">
        <v>200</v>
      </c>
      <c r="S147">
        <v>20</v>
      </c>
      <c r="T147">
        <v>0</v>
      </c>
      <c r="U147">
        <v>1</v>
      </c>
      <c r="V147">
        <v>0</v>
      </c>
    </row>
    <row r="148" spans="1:22">
      <c r="A148" t="s">
        <v>82</v>
      </c>
      <c r="B148" s="3">
        <v>46174</v>
      </c>
      <c r="C148" t="s">
        <v>78</v>
      </c>
      <c r="D148" t="s">
        <v>83</v>
      </c>
      <c r="E148" t="s">
        <v>16</v>
      </c>
      <c r="F148" t="s">
        <v>17</v>
      </c>
      <c r="G148" t="s">
        <v>23</v>
      </c>
      <c r="H148" t="s">
        <v>19</v>
      </c>
      <c r="I148" t="s">
        <v>20</v>
      </c>
      <c r="J148">
        <v>102</v>
      </c>
      <c r="L148" t="s">
        <v>29</v>
      </c>
      <c r="S148">
        <v>8.16</v>
      </c>
      <c r="T148">
        <v>0</v>
      </c>
      <c r="U148">
        <v>1</v>
      </c>
      <c r="V148">
        <v>0</v>
      </c>
    </row>
    <row r="149" spans="1:22">
      <c r="A149" t="s">
        <v>84</v>
      </c>
      <c r="B149" s="3">
        <v>46174</v>
      </c>
      <c r="C149" t="s">
        <v>78</v>
      </c>
      <c r="D149" t="s">
        <v>85</v>
      </c>
      <c r="E149" t="s">
        <v>16</v>
      </c>
      <c r="F149" t="s">
        <v>17</v>
      </c>
      <c r="G149" t="s">
        <v>23</v>
      </c>
      <c r="H149" t="s">
        <v>19</v>
      </c>
      <c r="I149" t="s">
        <v>74</v>
      </c>
      <c r="J149">
        <v>120</v>
      </c>
      <c r="S149">
        <v>0</v>
      </c>
      <c r="T149">
        <v>0</v>
      </c>
      <c r="U149">
        <v>0</v>
      </c>
      <c r="V149">
        <v>0</v>
      </c>
    </row>
    <row r="150" spans="1:22">
      <c r="A150" t="s">
        <v>86</v>
      </c>
      <c r="B150" s="3">
        <v>46174</v>
      </c>
      <c r="C150" t="s">
        <v>78</v>
      </c>
      <c r="D150" t="s">
        <v>87</v>
      </c>
      <c r="E150" t="s">
        <v>16</v>
      </c>
      <c r="F150" t="s">
        <v>17</v>
      </c>
      <c r="G150" t="s">
        <v>23</v>
      </c>
      <c r="H150" t="s">
        <v>19</v>
      </c>
      <c r="I150" t="s">
        <v>20</v>
      </c>
      <c r="J150">
        <v>120</v>
      </c>
      <c r="S150">
        <v>9.6</v>
      </c>
      <c r="T150">
        <v>0</v>
      </c>
      <c r="U150">
        <v>1</v>
      </c>
      <c r="V150">
        <v>0</v>
      </c>
    </row>
    <row r="151" spans="1:22">
      <c r="A151" t="s">
        <v>88</v>
      </c>
      <c r="B151" s="3">
        <v>46174</v>
      </c>
      <c r="C151" t="s">
        <v>78</v>
      </c>
      <c r="D151" t="s">
        <v>89</v>
      </c>
      <c r="E151" t="s">
        <v>16</v>
      </c>
      <c r="F151" t="s">
        <v>17</v>
      </c>
      <c r="G151" t="s">
        <v>18</v>
      </c>
      <c r="H151" t="s">
        <v>24</v>
      </c>
      <c r="I151" t="s">
        <v>20</v>
      </c>
      <c r="J151">
        <v>200</v>
      </c>
      <c r="S151">
        <v>0</v>
      </c>
      <c r="T151">
        <v>0</v>
      </c>
      <c r="U151">
        <v>0</v>
      </c>
      <c r="V151">
        <v>0</v>
      </c>
    </row>
    <row r="152" spans="1:22">
      <c r="A152" t="s">
        <v>90</v>
      </c>
      <c r="B152" s="3">
        <v>46174</v>
      </c>
      <c r="C152" t="s">
        <v>78</v>
      </c>
      <c r="D152" t="s">
        <v>89</v>
      </c>
      <c r="E152" t="s">
        <v>16</v>
      </c>
      <c r="F152" t="s">
        <v>17</v>
      </c>
      <c r="G152" t="s">
        <v>18</v>
      </c>
      <c r="H152" t="s">
        <v>19</v>
      </c>
      <c r="I152" t="s">
        <v>20</v>
      </c>
      <c r="J152">
        <v>200</v>
      </c>
      <c r="S152">
        <v>20</v>
      </c>
      <c r="T152">
        <v>0</v>
      </c>
      <c r="U152">
        <v>1</v>
      </c>
      <c r="V152">
        <v>0</v>
      </c>
    </row>
    <row r="153" spans="1:22">
      <c r="A153" t="s">
        <v>92</v>
      </c>
      <c r="B153" s="3">
        <v>46174</v>
      </c>
      <c r="C153" t="s">
        <v>78</v>
      </c>
      <c r="D153" t="s">
        <v>93</v>
      </c>
      <c r="E153" t="s">
        <v>16</v>
      </c>
      <c r="F153" t="s">
        <v>17</v>
      </c>
      <c r="G153" t="s">
        <v>18</v>
      </c>
      <c r="H153" t="s">
        <v>19</v>
      </c>
      <c r="I153" t="s">
        <v>20</v>
      </c>
      <c r="J153">
        <v>200</v>
      </c>
      <c r="S153">
        <v>20</v>
      </c>
      <c r="T153">
        <v>0</v>
      </c>
      <c r="U153">
        <v>1</v>
      </c>
      <c r="V153">
        <v>0</v>
      </c>
    </row>
    <row r="154" spans="1:22">
      <c r="A154" t="s">
        <v>94</v>
      </c>
      <c r="B154" s="3">
        <v>46174</v>
      </c>
      <c r="C154" t="s">
        <v>78</v>
      </c>
      <c r="D154" t="s">
        <v>81</v>
      </c>
      <c r="E154" t="s">
        <v>16</v>
      </c>
      <c r="F154" t="s">
        <v>17</v>
      </c>
      <c r="G154" t="s">
        <v>18</v>
      </c>
      <c r="H154" t="s">
        <v>19</v>
      </c>
      <c r="I154" t="s">
        <v>20</v>
      </c>
      <c r="J154">
        <v>150</v>
      </c>
      <c r="L154" t="s">
        <v>29</v>
      </c>
      <c r="S154">
        <v>15</v>
      </c>
      <c r="T154">
        <v>0</v>
      </c>
      <c r="U154">
        <v>1</v>
      </c>
      <c r="V154">
        <v>0</v>
      </c>
    </row>
    <row r="155" spans="1:22">
      <c r="A155" t="s">
        <v>95</v>
      </c>
      <c r="B155" s="3">
        <v>46174</v>
      </c>
      <c r="C155" t="s">
        <v>78</v>
      </c>
      <c r="D155" t="s">
        <v>89</v>
      </c>
      <c r="E155" t="s">
        <v>16</v>
      </c>
      <c r="F155" t="s">
        <v>17</v>
      </c>
      <c r="G155" t="s">
        <v>18</v>
      </c>
      <c r="H155" t="s">
        <v>19</v>
      </c>
      <c r="I155" t="s">
        <v>20</v>
      </c>
      <c r="J155">
        <v>200</v>
      </c>
      <c r="S155">
        <v>20</v>
      </c>
      <c r="T155">
        <v>0</v>
      </c>
      <c r="U155">
        <v>1</v>
      </c>
      <c r="V155">
        <v>0</v>
      </c>
    </row>
    <row r="156" spans="1:22">
      <c r="A156" t="s">
        <v>96</v>
      </c>
      <c r="B156" s="3">
        <v>46174</v>
      </c>
      <c r="C156" t="s">
        <v>78</v>
      </c>
      <c r="D156" t="s">
        <v>97</v>
      </c>
      <c r="E156" t="s">
        <v>16</v>
      </c>
      <c r="F156" t="s">
        <v>35</v>
      </c>
      <c r="G156" t="s">
        <v>18</v>
      </c>
      <c r="H156" t="s">
        <v>19</v>
      </c>
      <c r="I156" t="s">
        <v>53</v>
      </c>
      <c r="J156">
        <v>170</v>
      </c>
      <c r="L156" t="s">
        <v>29</v>
      </c>
      <c r="S156">
        <v>0</v>
      </c>
      <c r="T156">
        <v>0</v>
      </c>
      <c r="U156">
        <v>0</v>
      </c>
      <c r="V156">
        <v>0</v>
      </c>
    </row>
    <row r="157" spans="1:22">
      <c r="A157" t="s">
        <v>98</v>
      </c>
      <c r="B157" s="3">
        <v>46174</v>
      </c>
      <c r="C157" t="s">
        <v>78</v>
      </c>
      <c r="D157" t="s">
        <v>97</v>
      </c>
      <c r="E157" t="s">
        <v>16</v>
      </c>
      <c r="F157" t="s">
        <v>17</v>
      </c>
      <c r="G157" t="s">
        <v>18</v>
      </c>
      <c r="H157" t="s">
        <v>19</v>
      </c>
      <c r="I157" t="s">
        <v>20</v>
      </c>
      <c r="J157">
        <v>200</v>
      </c>
      <c r="S157">
        <v>20</v>
      </c>
      <c r="T157">
        <v>0</v>
      </c>
      <c r="U157">
        <v>1</v>
      </c>
      <c r="V157">
        <v>0</v>
      </c>
    </row>
    <row r="158" spans="1:22">
      <c r="A158" t="s">
        <v>99</v>
      </c>
      <c r="B158" s="3">
        <v>46174</v>
      </c>
      <c r="C158" t="s">
        <v>78</v>
      </c>
      <c r="D158" t="s">
        <v>87</v>
      </c>
      <c r="E158" t="s">
        <v>16</v>
      </c>
      <c r="F158" t="s">
        <v>17</v>
      </c>
      <c r="G158" t="s">
        <v>23</v>
      </c>
      <c r="H158" t="s">
        <v>19</v>
      </c>
      <c r="I158" t="s">
        <v>20</v>
      </c>
      <c r="J158">
        <v>120</v>
      </c>
      <c r="S158">
        <v>9.6</v>
      </c>
      <c r="T158">
        <v>0</v>
      </c>
      <c r="U158">
        <v>1</v>
      </c>
      <c r="V158">
        <v>0</v>
      </c>
    </row>
    <row r="159" spans="1:22">
      <c r="A159" t="s">
        <v>100</v>
      </c>
      <c r="B159" s="3">
        <v>46174</v>
      </c>
      <c r="C159" t="s">
        <v>78</v>
      </c>
      <c r="D159" t="s">
        <v>97</v>
      </c>
      <c r="E159" t="s">
        <v>16</v>
      </c>
      <c r="F159" t="s">
        <v>17</v>
      </c>
      <c r="G159" t="s">
        <v>18</v>
      </c>
      <c r="H159" t="s">
        <v>19</v>
      </c>
      <c r="I159" t="s">
        <v>20</v>
      </c>
      <c r="J159">
        <v>200</v>
      </c>
      <c r="S159">
        <v>20</v>
      </c>
      <c r="T159">
        <v>0</v>
      </c>
      <c r="U159">
        <v>1</v>
      </c>
      <c r="V159">
        <v>0</v>
      </c>
    </row>
    <row r="160" spans="1:22">
      <c r="A160" t="s">
        <v>101</v>
      </c>
      <c r="B160" s="3">
        <v>46174</v>
      </c>
      <c r="C160" t="s">
        <v>78</v>
      </c>
      <c r="D160" t="s">
        <v>102</v>
      </c>
      <c r="E160" t="s">
        <v>16</v>
      </c>
      <c r="F160" t="s">
        <v>17</v>
      </c>
      <c r="G160" t="s">
        <v>23</v>
      </c>
      <c r="H160" t="s">
        <v>24</v>
      </c>
      <c r="I160" t="s">
        <v>20</v>
      </c>
      <c r="J160">
        <v>120</v>
      </c>
      <c r="S160">
        <v>0</v>
      </c>
      <c r="T160">
        <v>0</v>
      </c>
      <c r="U160">
        <v>0</v>
      </c>
      <c r="V160">
        <v>0</v>
      </c>
    </row>
    <row r="161" spans="1:22">
      <c r="A161" t="s">
        <v>103</v>
      </c>
      <c r="B161" s="3">
        <v>46174</v>
      </c>
      <c r="C161" t="s">
        <v>78</v>
      </c>
      <c r="D161" t="s">
        <v>89</v>
      </c>
      <c r="E161" t="s">
        <v>16</v>
      </c>
      <c r="F161" t="s">
        <v>17</v>
      </c>
      <c r="G161" t="s">
        <v>32</v>
      </c>
      <c r="H161" t="s">
        <v>19</v>
      </c>
      <c r="I161" t="s">
        <v>20</v>
      </c>
      <c r="J161">
        <v>300</v>
      </c>
      <c r="S161">
        <v>36</v>
      </c>
      <c r="T161">
        <v>0</v>
      </c>
      <c r="U161">
        <v>1</v>
      </c>
      <c r="V161">
        <v>0</v>
      </c>
    </row>
    <row r="162" spans="1:22">
      <c r="A162" t="s">
        <v>104</v>
      </c>
      <c r="B162" s="3">
        <v>46174</v>
      </c>
      <c r="C162" t="s">
        <v>105</v>
      </c>
      <c r="D162" t="s">
        <v>106</v>
      </c>
      <c r="E162" t="s">
        <v>16</v>
      </c>
      <c r="F162" t="s">
        <v>17</v>
      </c>
      <c r="G162" t="s">
        <v>18</v>
      </c>
      <c r="H162" t="s">
        <v>19</v>
      </c>
      <c r="I162" t="s">
        <v>20</v>
      </c>
      <c r="J162">
        <v>200</v>
      </c>
      <c r="S162">
        <v>20</v>
      </c>
      <c r="T162">
        <v>0</v>
      </c>
      <c r="U162">
        <v>1</v>
      </c>
      <c r="V162">
        <v>0</v>
      </c>
    </row>
    <row r="163" spans="1:22">
      <c r="A163" t="s">
        <v>107</v>
      </c>
      <c r="B163" s="3">
        <v>46174</v>
      </c>
      <c r="C163" t="s">
        <v>105</v>
      </c>
      <c r="D163" t="s">
        <v>108</v>
      </c>
      <c r="E163" t="s">
        <v>16</v>
      </c>
      <c r="F163" t="s">
        <v>17</v>
      </c>
      <c r="G163" t="s">
        <v>23</v>
      </c>
      <c r="H163" t="s">
        <v>19</v>
      </c>
      <c r="I163" t="s">
        <v>20</v>
      </c>
      <c r="J163">
        <v>120</v>
      </c>
      <c r="S163">
        <v>9.6</v>
      </c>
      <c r="T163">
        <v>0</v>
      </c>
      <c r="U163">
        <v>1</v>
      </c>
      <c r="V163">
        <v>0</v>
      </c>
    </row>
    <row r="164" spans="1:22">
      <c r="A164" t="s">
        <v>109</v>
      </c>
      <c r="B164" s="3">
        <v>46174</v>
      </c>
      <c r="C164" t="s">
        <v>105</v>
      </c>
      <c r="D164" t="s">
        <v>110</v>
      </c>
      <c r="E164" t="s">
        <v>16</v>
      </c>
      <c r="F164" t="s">
        <v>17</v>
      </c>
      <c r="G164" t="s">
        <v>32</v>
      </c>
      <c r="H164" t="s">
        <v>19</v>
      </c>
      <c r="I164" t="s">
        <v>20</v>
      </c>
      <c r="J164">
        <v>300</v>
      </c>
      <c r="S164">
        <v>36</v>
      </c>
      <c r="T164">
        <v>0</v>
      </c>
      <c r="U164">
        <v>1</v>
      </c>
      <c r="V164">
        <v>0</v>
      </c>
    </row>
    <row r="165" spans="1:22">
      <c r="A165" t="s">
        <v>111</v>
      </c>
      <c r="B165" s="3">
        <v>46174</v>
      </c>
      <c r="C165" t="s">
        <v>105</v>
      </c>
      <c r="D165" t="s">
        <v>112</v>
      </c>
      <c r="E165" t="s">
        <v>16</v>
      </c>
      <c r="F165" t="s">
        <v>17</v>
      </c>
      <c r="G165" t="s">
        <v>32</v>
      </c>
      <c r="H165" t="s">
        <v>19</v>
      </c>
      <c r="I165" t="s">
        <v>20</v>
      </c>
      <c r="J165">
        <v>300</v>
      </c>
      <c r="S165">
        <v>36</v>
      </c>
      <c r="T165">
        <v>0</v>
      </c>
      <c r="U165">
        <v>1</v>
      </c>
      <c r="V165">
        <v>0</v>
      </c>
    </row>
    <row r="166" spans="1:22">
      <c r="A166" t="s">
        <v>113</v>
      </c>
      <c r="B166" s="3">
        <v>46174</v>
      </c>
      <c r="C166" t="s">
        <v>105</v>
      </c>
      <c r="D166" t="s">
        <v>108</v>
      </c>
      <c r="E166" t="s">
        <v>16</v>
      </c>
      <c r="F166" t="s">
        <v>35</v>
      </c>
      <c r="G166" t="s">
        <v>32</v>
      </c>
      <c r="H166" t="s">
        <v>19</v>
      </c>
      <c r="I166" t="s">
        <v>20</v>
      </c>
      <c r="J166">
        <v>300</v>
      </c>
      <c r="S166">
        <v>9</v>
      </c>
      <c r="T166">
        <v>0</v>
      </c>
      <c r="U166">
        <v>0</v>
      </c>
      <c r="V166">
        <v>0</v>
      </c>
    </row>
    <row r="167" spans="1:22">
      <c r="A167" t="s">
        <v>114</v>
      </c>
      <c r="B167" s="3">
        <v>46174</v>
      </c>
      <c r="C167" t="s">
        <v>105</v>
      </c>
      <c r="D167" t="s">
        <v>108</v>
      </c>
      <c r="E167" t="s">
        <v>16</v>
      </c>
      <c r="F167" t="s">
        <v>17</v>
      </c>
      <c r="G167" t="s">
        <v>23</v>
      </c>
      <c r="H167" t="s">
        <v>19</v>
      </c>
      <c r="I167" t="s">
        <v>20</v>
      </c>
      <c r="J167">
        <v>120</v>
      </c>
      <c r="S167">
        <v>9.6</v>
      </c>
      <c r="T167">
        <v>0</v>
      </c>
      <c r="U167">
        <v>1</v>
      </c>
      <c r="V167">
        <v>0</v>
      </c>
    </row>
    <row r="168" spans="1:22">
      <c r="A168" t="s">
        <v>115</v>
      </c>
      <c r="B168" s="3">
        <v>46174</v>
      </c>
      <c r="C168" t="s">
        <v>105</v>
      </c>
      <c r="D168" t="s">
        <v>116</v>
      </c>
      <c r="E168" t="s">
        <v>16</v>
      </c>
      <c r="F168" t="s">
        <v>17</v>
      </c>
      <c r="G168" t="s">
        <v>32</v>
      </c>
      <c r="H168" t="s">
        <v>19</v>
      </c>
      <c r="I168" t="s">
        <v>20</v>
      </c>
      <c r="J168">
        <v>300</v>
      </c>
      <c r="S168">
        <v>36</v>
      </c>
      <c r="T168">
        <v>0</v>
      </c>
      <c r="U168">
        <v>1</v>
      </c>
      <c r="V168">
        <v>0</v>
      </c>
    </row>
    <row r="169" spans="1:22">
      <c r="A169" t="s">
        <v>117</v>
      </c>
      <c r="B169" s="3">
        <v>46174</v>
      </c>
      <c r="C169" t="s">
        <v>105</v>
      </c>
      <c r="D169" t="s">
        <v>118</v>
      </c>
      <c r="E169" t="s">
        <v>16</v>
      </c>
      <c r="F169" t="s">
        <v>17</v>
      </c>
      <c r="G169" t="s">
        <v>23</v>
      </c>
      <c r="H169" t="s">
        <v>24</v>
      </c>
      <c r="I169" t="s">
        <v>20</v>
      </c>
      <c r="J169">
        <v>120</v>
      </c>
      <c r="S169">
        <v>0</v>
      </c>
      <c r="T169">
        <v>0</v>
      </c>
      <c r="U169">
        <v>0</v>
      </c>
      <c r="V169">
        <v>0</v>
      </c>
    </row>
    <row r="170" spans="1:22">
      <c r="A170" t="s">
        <v>119</v>
      </c>
      <c r="B170" s="3">
        <v>46174</v>
      </c>
      <c r="C170" t="s">
        <v>105</v>
      </c>
      <c r="D170" t="s">
        <v>120</v>
      </c>
      <c r="E170" t="s">
        <v>16</v>
      </c>
      <c r="F170" t="s">
        <v>17</v>
      </c>
      <c r="G170" t="s">
        <v>23</v>
      </c>
      <c r="H170" t="s">
        <v>19</v>
      </c>
      <c r="I170" t="s">
        <v>20</v>
      </c>
      <c r="J170">
        <v>120</v>
      </c>
      <c r="S170">
        <v>9.6</v>
      </c>
      <c r="T170">
        <v>0</v>
      </c>
      <c r="U170">
        <v>1</v>
      </c>
      <c r="V170">
        <v>0</v>
      </c>
    </row>
    <row r="171" spans="1:22">
      <c r="A171" t="s">
        <v>121</v>
      </c>
      <c r="B171" s="3">
        <v>46174</v>
      </c>
      <c r="C171" t="s">
        <v>105</v>
      </c>
      <c r="D171" t="s">
        <v>120</v>
      </c>
      <c r="E171" t="s">
        <v>16</v>
      </c>
      <c r="F171" t="s">
        <v>17</v>
      </c>
      <c r="G171" t="s">
        <v>23</v>
      </c>
      <c r="H171" t="s">
        <v>19</v>
      </c>
      <c r="I171" t="s">
        <v>20</v>
      </c>
      <c r="J171">
        <v>120</v>
      </c>
      <c r="S171">
        <v>9.6</v>
      </c>
      <c r="T171">
        <v>0</v>
      </c>
      <c r="U171">
        <v>1</v>
      </c>
      <c r="V171">
        <v>0</v>
      </c>
    </row>
    <row r="172" spans="1:22">
      <c r="A172" t="s">
        <v>122</v>
      </c>
      <c r="B172" s="3">
        <v>46174</v>
      </c>
      <c r="C172" t="s">
        <v>105</v>
      </c>
      <c r="D172" t="s">
        <v>110</v>
      </c>
      <c r="E172" t="s">
        <v>16</v>
      </c>
      <c r="F172" t="s">
        <v>17</v>
      </c>
      <c r="G172" t="s">
        <v>32</v>
      </c>
      <c r="H172" t="s">
        <v>24</v>
      </c>
      <c r="I172" t="s">
        <v>20</v>
      </c>
      <c r="J172">
        <v>300</v>
      </c>
      <c r="S172">
        <v>0</v>
      </c>
      <c r="T172">
        <v>0</v>
      </c>
      <c r="U172">
        <v>0</v>
      </c>
      <c r="V172">
        <v>0</v>
      </c>
    </row>
    <row r="173" spans="1:22">
      <c r="A173" t="s">
        <v>123</v>
      </c>
      <c r="B173" s="3">
        <v>46174</v>
      </c>
      <c r="C173" t="s">
        <v>105</v>
      </c>
      <c r="D173" t="s">
        <v>108</v>
      </c>
      <c r="E173" t="s">
        <v>16</v>
      </c>
      <c r="F173" t="s">
        <v>17</v>
      </c>
      <c r="G173" t="s">
        <v>23</v>
      </c>
      <c r="H173" t="s">
        <v>19</v>
      </c>
      <c r="I173" t="s">
        <v>20</v>
      </c>
      <c r="J173">
        <v>120</v>
      </c>
      <c r="S173">
        <v>9.6</v>
      </c>
      <c r="T173">
        <v>0</v>
      </c>
      <c r="U173">
        <v>1</v>
      </c>
      <c r="V173">
        <v>0</v>
      </c>
    </row>
    <row r="174" spans="1:22">
      <c r="A174" t="s">
        <v>124</v>
      </c>
      <c r="B174" s="3">
        <v>46174</v>
      </c>
      <c r="C174" t="s">
        <v>105</v>
      </c>
      <c r="D174" t="s">
        <v>108</v>
      </c>
      <c r="E174" t="s">
        <v>16</v>
      </c>
      <c r="F174" t="s">
        <v>35</v>
      </c>
      <c r="G174" t="s">
        <v>32</v>
      </c>
      <c r="H174" t="s">
        <v>19</v>
      </c>
      <c r="I174" t="s">
        <v>20</v>
      </c>
      <c r="J174">
        <v>300</v>
      </c>
      <c r="S174">
        <v>9</v>
      </c>
      <c r="T174">
        <v>0</v>
      </c>
      <c r="U174">
        <v>0</v>
      </c>
      <c r="V174">
        <v>0</v>
      </c>
    </row>
    <row r="175" spans="1:22">
      <c r="A175" t="s">
        <v>125</v>
      </c>
      <c r="B175" s="3">
        <v>46174</v>
      </c>
      <c r="C175" t="s">
        <v>105</v>
      </c>
      <c r="D175" t="s">
        <v>108</v>
      </c>
      <c r="E175" t="s">
        <v>16</v>
      </c>
      <c r="F175" t="s">
        <v>17</v>
      </c>
      <c r="G175" t="s">
        <v>32</v>
      </c>
      <c r="H175" t="s">
        <v>19</v>
      </c>
      <c r="I175" t="s">
        <v>20</v>
      </c>
      <c r="J175">
        <v>300</v>
      </c>
      <c r="S175">
        <v>36</v>
      </c>
      <c r="T175">
        <v>0</v>
      </c>
      <c r="U175">
        <v>1</v>
      </c>
      <c r="V175">
        <v>0</v>
      </c>
    </row>
    <row r="176" spans="1:22">
      <c r="A176" t="s">
        <v>126</v>
      </c>
      <c r="B176" s="3">
        <v>46175</v>
      </c>
      <c r="C176" t="s">
        <v>14</v>
      </c>
      <c r="D176" t="s">
        <v>40</v>
      </c>
      <c r="E176" t="s">
        <v>16</v>
      </c>
      <c r="F176" t="s">
        <v>17</v>
      </c>
      <c r="G176" t="s">
        <v>18</v>
      </c>
      <c r="H176" t="s">
        <v>19</v>
      </c>
      <c r="I176" t="s">
        <v>20</v>
      </c>
      <c r="J176">
        <v>200</v>
      </c>
      <c r="S176">
        <v>20</v>
      </c>
      <c r="T176">
        <v>0</v>
      </c>
      <c r="U176">
        <v>1</v>
      </c>
      <c r="V176">
        <v>0</v>
      </c>
    </row>
    <row r="177" spans="1:22">
      <c r="A177" t="s">
        <v>128</v>
      </c>
      <c r="B177" s="3">
        <v>46175</v>
      </c>
      <c r="C177" t="s">
        <v>14</v>
      </c>
      <c r="D177" t="s">
        <v>40</v>
      </c>
      <c r="E177" t="s">
        <v>16</v>
      </c>
      <c r="F177" t="s">
        <v>17</v>
      </c>
      <c r="G177" t="s">
        <v>18</v>
      </c>
      <c r="H177" t="s">
        <v>19</v>
      </c>
      <c r="I177" t="s">
        <v>20</v>
      </c>
      <c r="J177">
        <v>170</v>
      </c>
      <c r="L177" t="s">
        <v>29</v>
      </c>
      <c r="S177">
        <v>17</v>
      </c>
      <c r="T177">
        <v>0</v>
      </c>
      <c r="U177">
        <v>1</v>
      </c>
      <c r="V177">
        <v>0</v>
      </c>
    </row>
    <row r="178" spans="1:22">
      <c r="A178" t="s">
        <v>129</v>
      </c>
      <c r="B178" s="3">
        <v>46175</v>
      </c>
      <c r="C178" t="s">
        <v>14</v>
      </c>
      <c r="D178" t="s">
        <v>26</v>
      </c>
      <c r="E178" t="s">
        <v>16</v>
      </c>
      <c r="F178" t="s">
        <v>17</v>
      </c>
      <c r="G178" t="s">
        <v>32</v>
      </c>
      <c r="H178" t="s">
        <v>19</v>
      </c>
      <c r="I178" t="s">
        <v>20</v>
      </c>
      <c r="J178">
        <v>300</v>
      </c>
      <c r="S178">
        <v>36</v>
      </c>
      <c r="T178">
        <v>0</v>
      </c>
      <c r="U178">
        <v>1</v>
      </c>
      <c r="V178">
        <v>0</v>
      </c>
    </row>
    <row r="179" spans="1:22">
      <c r="A179" t="s">
        <v>130</v>
      </c>
      <c r="B179" s="3">
        <v>46175</v>
      </c>
      <c r="C179" t="s">
        <v>14</v>
      </c>
      <c r="D179" t="s">
        <v>131</v>
      </c>
      <c r="E179" t="s">
        <v>16</v>
      </c>
      <c r="F179" t="s">
        <v>35</v>
      </c>
      <c r="G179" t="s">
        <v>23</v>
      </c>
      <c r="H179" t="s">
        <v>19</v>
      </c>
      <c r="I179" t="s">
        <v>20</v>
      </c>
      <c r="J179">
        <v>120</v>
      </c>
      <c r="S179">
        <v>3.6</v>
      </c>
      <c r="T179">
        <v>0</v>
      </c>
      <c r="U179">
        <v>0</v>
      </c>
      <c r="V179">
        <v>0</v>
      </c>
    </row>
    <row r="180" spans="1:22">
      <c r="A180" t="s">
        <v>132</v>
      </c>
      <c r="B180" s="3">
        <v>46175</v>
      </c>
      <c r="C180" t="s">
        <v>14</v>
      </c>
      <c r="D180" t="s">
        <v>131</v>
      </c>
      <c r="E180" t="s">
        <v>16</v>
      </c>
      <c r="F180" t="s">
        <v>35</v>
      </c>
      <c r="G180" t="s">
        <v>18</v>
      </c>
      <c r="H180" t="s">
        <v>19</v>
      </c>
      <c r="I180" t="s">
        <v>20</v>
      </c>
      <c r="J180">
        <v>200</v>
      </c>
      <c r="S180">
        <v>6</v>
      </c>
      <c r="T180">
        <v>0</v>
      </c>
      <c r="U180">
        <v>0</v>
      </c>
      <c r="V180">
        <v>0</v>
      </c>
    </row>
    <row r="181" spans="1:22">
      <c r="A181" t="s">
        <v>133</v>
      </c>
      <c r="B181" s="3">
        <v>46175</v>
      </c>
      <c r="C181" t="s">
        <v>14</v>
      </c>
      <c r="D181" t="s">
        <v>31</v>
      </c>
      <c r="E181" t="s">
        <v>16</v>
      </c>
      <c r="F181" t="s">
        <v>17</v>
      </c>
      <c r="G181" t="s">
        <v>32</v>
      </c>
      <c r="H181" t="s">
        <v>19</v>
      </c>
      <c r="I181" t="s">
        <v>20</v>
      </c>
      <c r="J181">
        <v>300</v>
      </c>
      <c r="S181">
        <v>36</v>
      </c>
      <c r="T181">
        <v>0</v>
      </c>
      <c r="U181">
        <v>1</v>
      </c>
      <c r="V181">
        <v>0</v>
      </c>
    </row>
    <row r="182" spans="1:22">
      <c r="A182" t="s">
        <v>134</v>
      </c>
      <c r="B182" s="3">
        <v>46175</v>
      </c>
      <c r="C182" t="s">
        <v>14</v>
      </c>
      <c r="D182" t="s">
        <v>40</v>
      </c>
      <c r="E182" t="s">
        <v>16</v>
      </c>
      <c r="F182" t="s">
        <v>17</v>
      </c>
      <c r="G182" t="s">
        <v>23</v>
      </c>
      <c r="H182" t="s">
        <v>19</v>
      </c>
      <c r="I182" t="s">
        <v>20</v>
      </c>
      <c r="J182">
        <v>120</v>
      </c>
      <c r="S182">
        <v>9.6</v>
      </c>
      <c r="T182">
        <v>0</v>
      </c>
      <c r="U182">
        <v>1</v>
      </c>
      <c r="V182">
        <v>0</v>
      </c>
    </row>
    <row r="183" spans="1:22">
      <c r="A183" t="s">
        <v>135</v>
      </c>
      <c r="B183" s="3">
        <v>46175</v>
      </c>
      <c r="C183" t="s">
        <v>14</v>
      </c>
      <c r="D183" t="s">
        <v>28</v>
      </c>
      <c r="E183" t="s">
        <v>16</v>
      </c>
      <c r="F183" t="s">
        <v>17</v>
      </c>
      <c r="G183" t="s">
        <v>23</v>
      </c>
      <c r="H183" t="s">
        <v>19</v>
      </c>
      <c r="I183" t="s">
        <v>20</v>
      </c>
      <c r="J183">
        <v>120</v>
      </c>
      <c r="S183">
        <v>9.6</v>
      </c>
      <c r="T183">
        <v>0</v>
      </c>
      <c r="U183">
        <v>1</v>
      </c>
      <c r="V183">
        <v>0</v>
      </c>
    </row>
    <row r="184" spans="1:22">
      <c r="A184" t="s">
        <v>136</v>
      </c>
      <c r="B184" s="3">
        <v>46175</v>
      </c>
      <c r="C184" t="s">
        <v>14</v>
      </c>
      <c r="D184" t="s">
        <v>137</v>
      </c>
      <c r="E184" t="s">
        <v>16</v>
      </c>
      <c r="F184" t="s">
        <v>35</v>
      </c>
      <c r="G184" t="s">
        <v>32</v>
      </c>
      <c r="H184" t="s">
        <v>19</v>
      </c>
      <c r="I184" t="s">
        <v>20</v>
      </c>
      <c r="J184">
        <v>225</v>
      </c>
      <c r="L184" t="s">
        <v>29</v>
      </c>
      <c r="S184">
        <v>6.75</v>
      </c>
      <c r="T184">
        <v>0</v>
      </c>
      <c r="U184">
        <v>0</v>
      </c>
      <c r="V184">
        <v>0</v>
      </c>
    </row>
    <row r="185" spans="1:22">
      <c r="A185" t="s">
        <v>138</v>
      </c>
      <c r="B185" s="3">
        <v>46175</v>
      </c>
      <c r="C185" t="s">
        <v>14</v>
      </c>
      <c r="D185" t="s">
        <v>42</v>
      </c>
      <c r="E185" t="s">
        <v>16</v>
      </c>
      <c r="F185" t="s">
        <v>17</v>
      </c>
      <c r="G185" t="s">
        <v>18</v>
      </c>
      <c r="H185" t="s">
        <v>19</v>
      </c>
      <c r="I185" t="s">
        <v>74</v>
      </c>
      <c r="J185">
        <v>200</v>
      </c>
      <c r="S185">
        <v>0</v>
      </c>
      <c r="T185">
        <v>0</v>
      </c>
      <c r="U185">
        <v>0</v>
      </c>
      <c r="V185">
        <v>0</v>
      </c>
    </row>
    <row r="186" spans="1:22">
      <c r="A186" t="s">
        <v>139</v>
      </c>
      <c r="B186" s="3">
        <v>46175</v>
      </c>
      <c r="C186" t="s">
        <v>14</v>
      </c>
      <c r="D186" t="s">
        <v>28</v>
      </c>
      <c r="E186" t="s">
        <v>16</v>
      </c>
      <c r="F186" t="s">
        <v>17</v>
      </c>
      <c r="G186" t="s">
        <v>32</v>
      </c>
      <c r="H186" t="s">
        <v>19</v>
      </c>
      <c r="I186" t="s">
        <v>20</v>
      </c>
      <c r="J186">
        <v>300</v>
      </c>
      <c r="S186">
        <v>36</v>
      </c>
      <c r="T186">
        <v>0</v>
      </c>
      <c r="U186">
        <v>1</v>
      </c>
      <c r="V186">
        <v>0</v>
      </c>
    </row>
    <row r="187" spans="1:22">
      <c r="A187" t="s">
        <v>140</v>
      </c>
      <c r="B187" s="3">
        <v>46175</v>
      </c>
      <c r="C187" t="s">
        <v>14</v>
      </c>
      <c r="D187" t="s">
        <v>34</v>
      </c>
      <c r="E187" t="s">
        <v>16</v>
      </c>
      <c r="F187" t="s">
        <v>17</v>
      </c>
      <c r="G187" t="s">
        <v>32</v>
      </c>
      <c r="H187" t="s">
        <v>19</v>
      </c>
      <c r="I187" t="s">
        <v>20</v>
      </c>
      <c r="J187">
        <v>300</v>
      </c>
      <c r="S187">
        <v>36</v>
      </c>
      <c r="T187">
        <v>0</v>
      </c>
      <c r="U187">
        <v>1</v>
      </c>
      <c r="V187">
        <v>0</v>
      </c>
    </row>
    <row r="188" spans="1:22">
      <c r="A188" t="s">
        <v>141</v>
      </c>
      <c r="B188" s="3">
        <v>46175</v>
      </c>
      <c r="C188" t="s">
        <v>14</v>
      </c>
      <c r="D188" t="s">
        <v>26</v>
      </c>
      <c r="E188" t="s">
        <v>16</v>
      </c>
      <c r="F188" t="s">
        <v>17</v>
      </c>
      <c r="G188" t="s">
        <v>23</v>
      </c>
      <c r="H188" t="s">
        <v>19</v>
      </c>
      <c r="I188" t="s">
        <v>20</v>
      </c>
      <c r="J188">
        <v>120</v>
      </c>
      <c r="S188">
        <v>9.6</v>
      </c>
      <c r="T188">
        <v>0</v>
      </c>
      <c r="U188">
        <v>1</v>
      </c>
      <c r="V188">
        <v>0</v>
      </c>
    </row>
    <row r="189" spans="1:22">
      <c r="A189" t="s">
        <v>142</v>
      </c>
      <c r="B189" s="3">
        <v>46175</v>
      </c>
      <c r="C189" t="s">
        <v>47</v>
      </c>
      <c r="D189" t="s">
        <v>59</v>
      </c>
      <c r="E189" t="s">
        <v>16</v>
      </c>
      <c r="F189" t="s">
        <v>17</v>
      </c>
      <c r="G189" t="s">
        <v>18</v>
      </c>
      <c r="H189" t="s">
        <v>19</v>
      </c>
      <c r="I189" t="s">
        <v>20</v>
      </c>
      <c r="J189">
        <v>200</v>
      </c>
      <c r="S189">
        <v>20</v>
      </c>
      <c r="T189">
        <v>0</v>
      </c>
      <c r="U189">
        <v>1</v>
      </c>
      <c r="V189">
        <v>0</v>
      </c>
    </row>
    <row r="190" spans="1:22">
      <c r="A190" t="s">
        <v>143</v>
      </c>
      <c r="B190" s="3">
        <v>46175</v>
      </c>
      <c r="C190" t="s">
        <v>47</v>
      </c>
      <c r="D190" t="s">
        <v>59</v>
      </c>
      <c r="E190" t="s">
        <v>16</v>
      </c>
      <c r="F190" t="s">
        <v>17</v>
      </c>
      <c r="G190" t="s">
        <v>23</v>
      </c>
      <c r="H190" t="s">
        <v>19</v>
      </c>
      <c r="I190" t="s">
        <v>74</v>
      </c>
      <c r="J190">
        <v>120</v>
      </c>
      <c r="S190">
        <v>0</v>
      </c>
      <c r="T190">
        <v>0</v>
      </c>
      <c r="U190">
        <v>0</v>
      </c>
      <c r="V190">
        <v>0</v>
      </c>
    </row>
    <row r="191" spans="1:22">
      <c r="A191" t="s">
        <v>144</v>
      </c>
      <c r="B191" s="3">
        <v>46175</v>
      </c>
      <c r="C191" t="s">
        <v>47</v>
      </c>
      <c r="D191" t="s">
        <v>48</v>
      </c>
      <c r="E191" t="s">
        <v>16</v>
      </c>
      <c r="F191" t="s">
        <v>17</v>
      </c>
      <c r="G191" t="s">
        <v>32</v>
      </c>
      <c r="H191" t="s">
        <v>19</v>
      </c>
      <c r="I191" t="s">
        <v>20</v>
      </c>
      <c r="J191">
        <v>300</v>
      </c>
      <c r="S191">
        <v>36</v>
      </c>
      <c r="T191">
        <v>0</v>
      </c>
      <c r="U191">
        <v>1</v>
      </c>
      <c r="V191">
        <v>0</v>
      </c>
    </row>
    <row r="192" spans="1:22">
      <c r="A192" t="s">
        <v>145</v>
      </c>
      <c r="B192" s="3">
        <v>46175</v>
      </c>
      <c r="C192" t="s">
        <v>47</v>
      </c>
      <c r="D192" t="s">
        <v>73</v>
      </c>
      <c r="E192" t="s">
        <v>16</v>
      </c>
      <c r="F192" t="s">
        <v>17</v>
      </c>
      <c r="G192" t="s">
        <v>23</v>
      </c>
      <c r="H192" t="s">
        <v>19</v>
      </c>
      <c r="I192" t="s">
        <v>20</v>
      </c>
      <c r="J192">
        <v>120</v>
      </c>
      <c r="S192">
        <v>9.6</v>
      </c>
      <c r="T192">
        <v>0</v>
      </c>
      <c r="U192">
        <v>1</v>
      </c>
      <c r="V192">
        <v>0</v>
      </c>
    </row>
    <row r="193" spans="1:22">
      <c r="A193" t="s">
        <v>146</v>
      </c>
      <c r="B193" s="3">
        <v>46175</v>
      </c>
      <c r="C193" t="s">
        <v>47</v>
      </c>
      <c r="D193" t="s">
        <v>52</v>
      </c>
      <c r="E193" t="s">
        <v>16</v>
      </c>
      <c r="F193" t="s">
        <v>17</v>
      </c>
      <c r="G193" t="s">
        <v>32</v>
      </c>
      <c r="H193" t="s">
        <v>19</v>
      </c>
      <c r="I193" t="s">
        <v>20</v>
      </c>
      <c r="J193">
        <v>300</v>
      </c>
      <c r="S193">
        <v>36</v>
      </c>
      <c r="T193">
        <v>0</v>
      </c>
      <c r="U193">
        <v>1</v>
      </c>
      <c r="V193">
        <v>0</v>
      </c>
    </row>
    <row r="194" spans="1:22">
      <c r="A194" t="s">
        <v>147</v>
      </c>
      <c r="B194" s="3">
        <v>46175</v>
      </c>
      <c r="C194" t="s">
        <v>47</v>
      </c>
      <c r="D194" t="s">
        <v>148</v>
      </c>
      <c r="E194" t="s">
        <v>16</v>
      </c>
      <c r="F194" t="s">
        <v>17</v>
      </c>
      <c r="G194" t="s">
        <v>23</v>
      </c>
      <c r="H194" t="s">
        <v>19</v>
      </c>
      <c r="I194" t="s">
        <v>20</v>
      </c>
      <c r="J194">
        <v>90</v>
      </c>
      <c r="L194" t="s">
        <v>29</v>
      </c>
      <c r="S194">
        <v>7.2</v>
      </c>
      <c r="T194">
        <v>0</v>
      </c>
      <c r="U194">
        <v>1</v>
      </c>
      <c r="V194">
        <v>0</v>
      </c>
    </row>
    <row r="195" spans="1:22">
      <c r="A195" t="s">
        <v>149</v>
      </c>
      <c r="B195" s="3">
        <v>46175</v>
      </c>
      <c r="C195" t="s">
        <v>47</v>
      </c>
      <c r="D195" t="s">
        <v>148</v>
      </c>
      <c r="E195" t="s">
        <v>16</v>
      </c>
      <c r="F195" t="s">
        <v>17</v>
      </c>
      <c r="G195" t="s">
        <v>23</v>
      </c>
      <c r="H195" t="s">
        <v>24</v>
      </c>
      <c r="I195" t="s">
        <v>20</v>
      </c>
      <c r="J195">
        <v>120</v>
      </c>
      <c r="S195">
        <v>0</v>
      </c>
      <c r="T195">
        <v>0</v>
      </c>
      <c r="U195">
        <v>0</v>
      </c>
      <c r="V195">
        <v>0</v>
      </c>
    </row>
    <row r="196" spans="1:22">
      <c r="A196" t="s">
        <v>150</v>
      </c>
      <c r="B196" s="3">
        <v>46175</v>
      </c>
      <c r="C196" t="s">
        <v>47</v>
      </c>
      <c r="D196" t="s">
        <v>52</v>
      </c>
      <c r="E196" t="s">
        <v>16</v>
      </c>
      <c r="F196" t="s">
        <v>17</v>
      </c>
      <c r="G196" t="s">
        <v>23</v>
      </c>
      <c r="H196" t="s">
        <v>19</v>
      </c>
      <c r="I196" t="s">
        <v>20</v>
      </c>
      <c r="J196">
        <v>120</v>
      </c>
      <c r="S196">
        <v>9.6</v>
      </c>
      <c r="T196">
        <v>0</v>
      </c>
      <c r="U196">
        <v>1</v>
      </c>
      <c r="V196">
        <v>0</v>
      </c>
    </row>
    <row r="197" spans="1:22">
      <c r="A197" t="s">
        <v>151</v>
      </c>
      <c r="B197" s="3">
        <v>46175</v>
      </c>
      <c r="C197" t="s">
        <v>47</v>
      </c>
      <c r="D197" t="s">
        <v>152</v>
      </c>
      <c r="E197" t="s">
        <v>16</v>
      </c>
      <c r="F197" t="s">
        <v>17</v>
      </c>
      <c r="G197" t="s">
        <v>32</v>
      </c>
      <c r="H197" t="s">
        <v>19</v>
      </c>
      <c r="I197" t="s">
        <v>20</v>
      </c>
      <c r="J197">
        <v>300</v>
      </c>
      <c r="S197">
        <v>36</v>
      </c>
      <c r="T197">
        <v>0</v>
      </c>
      <c r="U197">
        <v>1</v>
      </c>
      <c r="V197">
        <v>0</v>
      </c>
    </row>
    <row r="198" spans="1:22">
      <c r="A198" t="s">
        <v>153</v>
      </c>
      <c r="B198" s="3">
        <v>46175</v>
      </c>
      <c r="C198" t="s">
        <v>47</v>
      </c>
      <c r="D198" t="s">
        <v>64</v>
      </c>
      <c r="E198" t="s">
        <v>16</v>
      </c>
      <c r="F198" t="s">
        <v>17</v>
      </c>
      <c r="G198" t="s">
        <v>18</v>
      </c>
      <c r="H198" t="s">
        <v>19</v>
      </c>
      <c r="I198" t="s">
        <v>20</v>
      </c>
      <c r="J198">
        <v>200</v>
      </c>
      <c r="S198">
        <v>20</v>
      </c>
      <c r="T198">
        <v>0</v>
      </c>
      <c r="U198">
        <v>1</v>
      </c>
      <c r="V198">
        <v>0</v>
      </c>
    </row>
    <row r="199" spans="1:22">
      <c r="A199" t="s">
        <v>154</v>
      </c>
      <c r="B199" s="3">
        <v>46175</v>
      </c>
      <c r="C199" t="s">
        <v>47</v>
      </c>
      <c r="D199" t="s">
        <v>55</v>
      </c>
      <c r="E199" t="s">
        <v>16</v>
      </c>
      <c r="F199" t="s">
        <v>35</v>
      </c>
      <c r="G199" t="s">
        <v>23</v>
      </c>
      <c r="H199" t="s">
        <v>19</v>
      </c>
      <c r="I199" t="s">
        <v>20</v>
      </c>
      <c r="J199">
        <v>120</v>
      </c>
      <c r="S199">
        <v>3.6</v>
      </c>
      <c r="T199">
        <v>0</v>
      </c>
      <c r="U199">
        <v>0</v>
      </c>
      <c r="V199">
        <v>0</v>
      </c>
    </row>
    <row r="200" spans="1:22">
      <c r="A200" t="s">
        <v>155</v>
      </c>
      <c r="B200" s="3">
        <v>46175</v>
      </c>
      <c r="C200" t="s">
        <v>47</v>
      </c>
      <c r="D200" t="s">
        <v>52</v>
      </c>
      <c r="E200" t="s">
        <v>16</v>
      </c>
      <c r="F200" t="s">
        <v>17</v>
      </c>
      <c r="G200" t="s">
        <v>18</v>
      </c>
      <c r="H200" t="s">
        <v>19</v>
      </c>
      <c r="I200" t="s">
        <v>20</v>
      </c>
      <c r="J200">
        <v>200</v>
      </c>
      <c r="S200">
        <v>20</v>
      </c>
      <c r="T200">
        <v>0</v>
      </c>
      <c r="U200">
        <v>1</v>
      </c>
      <c r="V200">
        <v>0</v>
      </c>
    </row>
    <row r="201" spans="1:22">
      <c r="A201" t="s">
        <v>156</v>
      </c>
      <c r="B201" s="3">
        <v>46175</v>
      </c>
      <c r="C201" t="s">
        <v>47</v>
      </c>
      <c r="D201" t="s">
        <v>50</v>
      </c>
      <c r="E201" t="s">
        <v>16</v>
      </c>
      <c r="F201" t="s">
        <v>35</v>
      </c>
      <c r="G201" t="s">
        <v>18</v>
      </c>
      <c r="H201" t="s">
        <v>19</v>
      </c>
      <c r="I201" t="s">
        <v>20</v>
      </c>
      <c r="J201">
        <v>200</v>
      </c>
      <c r="S201">
        <v>6</v>
      </c>
      <c r="T201">
        <v>0</v>
      </c>
      <c r="U201">
        <v>0</v>
      </c>
      <c r="V201">
        <v>0</v>
      </c>
    </row>
    <row r="202" spans="1:22">
      <c r="A202" t="s">
        <v>157</v>
      </c>
      <c r="B202" s="3">
        <v>46175</v>
      </c>
      <c r="C202" t="s">
        <v>47</v>
      </c>
      <c r="D202" t="s">
        <v>66</v>
      </c>
      <c r="E202" t="s">
        <v>16</v>
      </c>
      <c r="F202" t="s">
        <v>17</v>
      </c>
      <c r="G202" t="s">
        <v>32</v>
      </c>
      <c r="H202" t="s">
        <v>19</v>
      </c>
      <c r="I202" t="s">
        <v>20</v>
      </c>
      <c r="J202">
        <v>300</v>
      </c>
      <c r="S202">
        <v>36</v>
      </c>
      <c r="T202">
        <v>0</v>
      </c>
      <c r="U202">
        <v>1</v>
      </c>
      <c r="V202">
        <v>0</v>
      </c>
    </row>
    <row r="203" spans="1:22">
      <c r="A203" t="s">
        <v>158</v>
      </c>
      <c r="B203" s="3">
        <v>46175</v>
      </c>
      <c r="C203" t="s">
        <v>47</v>
      </c>
      <c r="D203" t="s">
        <v>66</v>
      </c>
      <c r="E203" t="s">
        <v>16</v>
      </c>
      <c r="F203" t="s">
        <v>35</v>
      </c>
      <c r="G203" t="s">
        <v>18</v>
      </c>
      <c r="H203" t="s">
        <v>19</v>
      </c>
      <c r="I203" t="s">
        <v>20</v>
      </c>
      <c r="J203">
        <v>200</v>
      </c>
      <c r="S203">
        <v>6</v>
      </c>
      <c r="T203">
        <v>0</v>
      </c>
      <c r="U203">
        <v>0</v>
      </c>
      <c r="V203">
        <v>0</v>
      </c>
    </row>
    <row r="204" spans="1:22">
      <c r="A204" t="s">
        <v>159</v>
      </c>
      <c r="B204" s="3">
        <v>46175</v>
      </c>
      <c r="C204" t="s">
        <v>47</v>
      </c>
      <c r="D204" t="s">
        <v>148</v>
      </c>
      <c r="E204" t="s">
        <v>16</v>
      </c>
      <c r="F204" t="s">
        <v>17</v>
      </c>
      <c r="G204" t="s">
        <v>23</v>
      </c>
      <c r="H204" t="s">
        <v>19</v>
      </c>
      <c r="I204" t="s">
        <v>20</v>
      </c>
      <c r="J204">
        <v>120</v>
      </c>
      <c r="S204">
        <v>9.6</v>
      </c>
      <c r="T204">
        <v>0</v>
      </c>
      <c r="U204">
        <v>1</v>
      </c>
      <c r="V204">
        <v>0</v>
      </c>
    </row>
    <row r="205" spans="1:22">
      <c r="A205" t="s">
        <v>160</v>
      </c>
      <c r="B205" s="3">
        <v>46175</v>
      </c>
      <c r="C205" t="s">
        <v>78</v>
      </c>
      <c r="D205" t="s">
        <v>161</v>
      </c>
      <c r="E205" t="s">
        <v>16</v>
      </c>
      <c r="F205" t="s">
        <v>17</v>
      </c>
      <c r="G205" t="s">
        <v>23</v>
      </c>
      <c r="H205" t="s">
        <v>19</v>
      </c>
      <c r="I205" t="s">
        <v>20</v>
      </c>
      <c r="J205">
        <v>120</v>
      </c>
      <c r="S205">
        <v>9.6</v>
      </c>
      <c r="T205">
        <v>0</v>
      </c>
      <c r="U205">
        <v>1</v>
      </c>
      <c r="V205">
        <v>0</v>
      </c>
    </row>
    <row r="206" spans="1:22">
      <c r="A206" t="s">
        <v>162</v>
      </c>
      <c r="B206" s="3">
        <v>46175</v>
      </c>
      <c r="C206" t="s">
        <v>78</v>
      </c>
      <c r="D206" t="s">
        <v>163</v>
      </c>
      <c r="E206" t="s">
        <v>16</v>
      </c>
      <c r="F206" t="s">
        <v>17</v>
      </c>
      <c r="G206" t="s">
        <v>32</v>
      </c>
      <c r="H206" t="s">
        <v>19</v>
      </c>
      <c r="I206" t="s">
        <v>20</v>
      </c>
      <c r="J206">
        <v>300</v>
      </c>
      <c r="S206">
        <v>36</v>
      </c>
      <c r="T206">
        <v>0</v>
      </c>
      <c r="U206">
        <v>1</v>
      </c>
      <c r="V206">
        <v>0</v>
      </c>
    </row>
    <row r="207" spans="1:22">
      <c r="A207" t="s">
        <v>164</v>
      </c>
      <c r="B207" s="3">
        <v>46175</v>
      </c>
      <c r="C207" t="s">
        <v>78</v>
      </c>
      <c r="D207" t="s">
        <v>81</v>
      </c>
      <c r="E207" t="s">
        <v>16</v>
      </c>
      <c r="F207" t="s">
        <v>35</v>
      </c>
      <c r="G207" t="s">
        <v>23</v>
      </c>
      <c r="H207" t="s">
        <v>19</v>
      </c>
      <c r="I207" t="s">
        <v>20</v>
      </c>
      <c r="J207">
        <v>120</v>
      </c>
      <c r="S207">
        <v>3.6</v>
      </c>
      <c r="T207">
        <v>0</v>
      </c>
      <c r="U207">
        <v>0</v>
      </c>
      <c r="V207">
        <v>0</v>
      </c>
    </row>
    <row r="208" spans="1:22">
      <c r="A208" t="s">
        <v>165</v>
      </c>
      <c r="B208" s="3">
        <v>46175</v>
      </c>
      <c r="C208" t="s">
        <v>78</v>
      </c>
      <c r="D208" t="s">
        <v>81</v>
      </c>
      <c r="E208" t="s">
        <v>16</v>
      </c>
      <c r="F208" t="s">
        <v>17</v>
      </c>
      <c r="G208" t="s">
        <v>23</v>
      </c>
      <c r="H208" t="s">
        <v>19</v>
      </c>
      <c r="I208" t="s">
        <v>20</v>
      </c>
      <c r="J208">
        <v>120</v>
      </c>
      <c r="S208">
        <v>9.6</v>
      </c>
      <c r="T208">
        <v>0</v>
      </c>
      <c r="U208">
        <v>1</v>
      </c>
      <c r="V208">
        <v>0</v>
      </c>
    </row>
    <row r="209" spans="1:22">
      <c r="A209" t="s">
        <v>166</v>
      </c>
      <c r="B209" s="3">
        <v>46175</v>
      </c>
      <c r="C209" t="s">
        <v>78</v>
      </c>
      <c r="D209" t="s">
        <v>83</v>
      </c>
      <c r="E209" t="s">
        <v>16</v>
      </c>
      <c r="F209" t="s">
        <v>17</v>
      </c>
      <c r="G209" t="s">
        <v>23</v>
      </c>
      <c r="H209" t="s">
        <v>19</v>
      </c>
      <c r="I209" t="s">
        <v>20</v>
      </c>
      <c r="J209">
        <v>90</v>
      </c>
      <c r="L209" t="s">
        <v>29</v>
      </c>
      <c r="S209">
        <v>7.2</v>
      </c>
      <c r="T209">
        <v>0</v>
      </c>
      <c r="U209">
        <v>1</v>
      </c>
      <c r="V209">
        <v>0</v>
      </c>
    </row>
    <row r="210" spans="1:22">
      <c r="A210" t="s">
        <v>167</v>
      </c>
      <c r="B210" s="3">
        <v>46175</v>
      </c>
      <c r="C210" t="s">
        <v>78</v>
      </c>
      <c r="D210" t="s">
        <v>93</v>
      </c>
      <c r="E210" t="s">
        <v>16</v>
      </c>
      <c r="F210" t="s">
        <v>17</v>
      </c>
      <c r="G210" t="s">
        <v>23</v>
      </c>
      <c r="H210" t="s">
        <v>19</v>
      </c>
      <c r="I210" t="s">
        <v>20</v>
      </c>
      <c r="J210">
        <v>120</v>
      </c>
      <c r="S210">
        <v>9.6</v>
      </c>
      <c r="T210">
        <v>0</v>
      </c>
      <c r="U210">
        <v>1</v>
      </c>
      <c r="V210">
        <v>0</v>
      </c>
    </row>
    <row r="211" spans="1:22">
      <c r="A211" t="s">
        <v>168</v>
      </c>
      <c r="B211" s="3">
        <v>46175</v>
      </c>
      <c r="C211" t="s">
        <v>78</v>
      </c>
      <c r="D211" t="s">
        <v>87</v>
      </c>
      <c r="E211" t="s">
        <v>16</v>
      </c>
      <c r="F211" t="s">
        <v>17</v>
      </c>
      <c r="G211" t="s">
        <v>18</v>
      </c>
      <c r="H211" t="s">
        <v>19</v>
      </c>
      <c r="I211" t="s">
        <v>20</v>
      </c>
      <c r="J211">
        <v>200</v>
      </c>
      <c r="S211">
        <v>20</v>
      </c>
      <c r="T211">
        <v>0</v>
      </c>
      <c r="U211">
        <v>1</v>
      </c>
      <c r="V211">
        <v>0</v>
      </c>
    </row>
    <row r="212" spans="1:22">
      <c r="A212" t="s">
        <v>169</v>
      </c>
      <c r="B212" s="3">
        <v>46175</v>
      </c>
      <c r="C212" t="s">
        <v>78</v>
      </c>
      <c r="D212" t="s">
        <v>163</v>
      </c>
      <c r="E212" t="s">
        <v>16</v>
      </c>
      <c r="F212" t="s">
        <v>17</v>
      </c>
      <c r="G212" t="s">
        <v>18</v>
      </c>
      <c r="H212" t="s">
        <v>19</v>
      </c>
      <c r="I212" t="s">
        <v>20</v>
      </c>
      <c r="J212">
        <v>200</v>
      </c>
      <c r="S212">
        <v>20</v>
      </c>
      <c r="T212">
        <v>0</v>
      </c>
      <c r="U212">
        <v>1</v>
      </c>
      <c r="V212">
        <v>0</v>
      </c>
    </row>
    <row r="213" spans="1:22">
      <c r="A213" t="s">
        <v>170</v>
      </c>
      <c r="B213" s="3">
        <v>46175</v>
      </c>
      <c r="C213" t="s">
        <v>78</v>
      </c>
      <c r="D213" t="s">
        <v>163</v>
      </c>
      <c r="E213" t="s">
        <v>16</v>
      </c>
      <c r="F213" t="s">
        <v>17</v>
      </c>
      <c r="G213" t="s">
        <v>23</v>
      </c>
      <c r="H213" t="s">
        <v>19</v>
      </c>
      <c r="I213" t="s">
        <v>20</v>
      </c>
      <c r="J213">
        <v>102</v>
      </c>
      <c r="L213" t="s">
        <v>29</v>
      </c>
      <c r="S213">
        <v>8.16</v>
      </c>
      <c r="T213">
        <v>0</v>
      </c>
      <c r="U213">
        <v>1</v>
      </c>
      <c r="V213">
        <v>0</v>
      </c>
    </row>
    <row r="214" spans="1:22">
      <c r="A214" t="s">
        <v>171</v>
      </c>
      <c r="B214" s="3">
        <v>46175</v>
      </c>
      <c r="C214" t="s">
        <v>78</v>
      </c>
      <c r="D214" t="s">
        <v>161</v>
      </c>
      <c r="E214" t="s">
        <v>16</v>
      </c>
      <c r="F214" t="s">
        <v>17</v>
      </c>
      <c r="G214" t="s">
        <v>32</v>
      </c>
      <c r="H214" t="s">
        <v>19</v>
      </c>
      <c r="I214" t="s">
        <v>20</v>
      </c>
      <c r="J214">
        <v>300</v>
      </c>
      <c r="S214">
        <v>36</v>
      </c>
      <c r="T214">
        <v>0</v>
      </c>
      <c r="U214">
        <v>1</v>
      </c>
      <c r="V214">
        <v>0</v>
      </c>
    </row>
    <row r="215" spans="1:22">
      <c r="A215" t="s">
        <v>172</v>
      </c>
      <c r="B215" s="3">
        <v>46175</v>
      </c>
      <c r="C215" t="s">
        <v>78</v>
      </c>
      <c r="D215" t="s">
        <v>161</v>
      </c>
      <c r="E215" t="s">
        <v>16</v>
      </c>
      <c r="F215" t="s">
        <v>17</v>
      </c>
      <c r="G215" t="s">
        <v>23</v>
      </c>
      <c r="H215" t="s">
        <v>19</v>
      </c>
      <c r="I215" t="s">
        <v>20</v>
      </c>
      <c r="J215">
        <v>120</v>
      </c>
      <c r="S215">
        <v>9.6</v>
      </c>
      <c r="T215">
        <v>0</v>
      </c>
      <c r="U215">
        <v>1</v>
      </c>
      <c r="V215">
        <v>0</v>
      </c>
    </row>
    <row r="216" spans="1:22">
      <c r="A216" t="s">
        <v>173</v>
      </c>
      <c r="B216" s="3">
        <v>46175</v>
      </c>
      <c r="C216" t="s">
        <v>78</v>
      </c>
      <c r="D216" t="s">
        <v>89</v>
      </c>
      <c r="E216" t="s">
        <v>16</v>
      </c>
      <c r="F216" t="s">
        <v>17</v>
      </c>
      <c r="G216" t="s">
        <v>23</v>
      </c>
      <c r="H216" t="s">
        <v>19</v>
      </c>
      <c r="I216" t="s">
        <v>20</v>
      </c>
      <c r="J216">
        <v>120</v>
      </c>
      <c r="S216">
        <v>9.6</v>
      </c>
      <c r="T216">
        <v>0</v>
      </c>
      <c r="U216">
        <v>1</v>
      </c>
      <c r="V216">
        <v>0</v>
      </c>
    </row>
    <row r="217" spans="1:22">
      <c r="A217" t="s">
        <v>174</v>
      </c>
      <c r="B217" s="3">
        <v>46175</v>
      </c>
      <c r="C217" t="s">
        <v>78</v>
      </c>
      <c r="D217" t="s">
        <v>93</v>
      </c>
      <c r="E217" t="s">
        <v>16</v>
      </c>
      <c r="F217" t="s">
        <v>17</v>
      </c>
      <c r="G217" t="s">
        <v>32</v>
      </c>
      <c r="H217" t="s">
        <v>19</v>
      </c>
      <c r="I217" t="s">
        <v>20</v>
      </c>
      <c r="J217">
        <v>255</v>
      </c>
      <c r="L217" t="s">
        <v>29</v>
      </c>
      <c r="S217">
        <v>30.6</v>
      </c>
      <c r="T217">
        <v>0</v>
      </c>
      <c r="U217">
        <v>1</v>
      </c>
      <c r="V217">
        <v>0</v>
      </c>
    </row>
    <row r="218" spans="1:22">
      <c r="A218" t="s">
        <v>175</v>
      </c>
      <c r="B218" s="3">
        <v>46175</v>
      </c>
      <c r="C218" t="s">
        <v>78</v>
      </c>
      <c r="D218" t="s">
        <v>97</v>
      </c>
      <c r="E218" t="s">
        <v>16</v>
      </c>
      <c r="F218" t="s">
        <v>17</v>
      </c>
      <c r="G218" t="s">
        <v>32</v>
      </c>
      <c r="H218" t="s">
        <v>19</v>
      </c>
      <c r="I218" t="s">
        <v>20</v>
      </c>
      <c r="J218">
        <v>300</v>
      </c>
      <c r="S218">
        <v>36</v>
      </c>
      <c r="T218">
        <v>0</v>
      </c>
      <c r="U218">
        <v>1</v>
      </c>
      <c r="V218">
        <v>0</v>
      </c>
    </row>
    <row r="219" spans="1:22">
      <c r="A219" t="s">
        <v>176</v>
      </c>
      <c r="B219" s="3">
        <v>46175</v>
      </c>
      <c r="C219" t="s">
        <v>78</v>
      </c>
      <c r="D219" t="s">
        <v>97</v>
      </c>
      <c r="E219" t="s">
        <v>16</v>
      </c>
      <c r="F219" t="s">
        <v>35</v>
      </c>
      <c r="G219" t="s">
        <v>23</v>
      </c>
      <c r="H219" t="s">
        <v>19</v>
      </c>
      <c r="I219" t="s">
        <v>20</v>
      </c>
      <c r="J219">
        <v>120</v>
      </c>
      <c r="S219">
        <v>3.6</v>
      </c>
      <c r="T219">
        <v>0</v>
      </c>
      <c r="U219">
        <v>0</v>
      </c>
      <c r="V219">
        <v>0</v>
      </c>
    </row>
    <row r="220" spans="1:22">
      <c r="A220" t="s">
        <v>177</v>
      </c>
      <c r="B220" s="3">
        <v>46175</v>
      </c>
      <c r="C220" t="s">
        <v>78</v>
      </c>
      <c r="D220" t="s">
        <v>163</v>
      </c>
      <c r="E220" t="s">
        <v>16</v>
      </c>
      <c r="F220" t="s">
        <v>35</v>
      </c>
      <c r="G220" t="s">
        <v>23</v>
      </c>
      <c r="H220" t="s">
        <v>19</v>
      </c>
      <c r="I220" t="s">
        <v>20</v>
      </c>
      <c r="J220">
        <v>120</v>
      </c>
      <c r="S220">
        <v>3.6</v>
      </c>
      <c r="T220">
        <v>0</v>
      </c>
      <c r="U220">
        <v>0</v>
      </c>
      <c r="V220">
        <v>0</v>
      </c>
    </row>
    <row r="221" spans="1:22">
      <c r="A221" t="s">
        <v>178</v>
      </c>
      <c r="B221" s="3">
        <v>46175</v>
      </c>
      <c r="C221" t="s">
        <v>78</v>
      </c>
      <c r="D221" t="s">
        <v>79</v>
      </c>
      <c r="E221" t="s">
        <v>16</v>
      </c>
      <c r="F221" t="s">
        <v>17</v>
      </c>
      <c r="G221" t="s">
        <v>23</v>
      </c>
      <c r="H221" t="s">
        <v>19</v>
      </c>
      <c r="I221" t="s">
        <v>20</v>
      </c>
      <c r="J221">
        <v>102</v>
      </c>
      <c r="L221" t="s">
        <v>29</v>
      </c>
      <c r="S221">
        <v>8.16</v>
      </c>
      <c r="T221">
        <v>0</v>
      </c>
      <c r="U221">
        <v>1</v>
      </c>
      <c r="V221">
        <v>0</v>
      </c>
    </row>
    <row r="222" spans="1:22">
      <c r="A222" t="s">
        <v>179</v>
      </c>
      <c r="B222" s="3">
        <v>46175</v>
      </c>
      <c r="C222" t="s">
        <v>78</v>
      </c>
      <c r="D222" t="s">
        <v>85</v>
      </c>
      <c r="E222" t="s">
        <v>16</v>
      </c>
      <c r="F222" t="s">
        <v>17</v>
      </c>
      <c r="G222" t="s">
        <v>18</v>
      </c>
      <c r="H222" t="s">
        <v>24</v>
      </c>
      <c r="I222" t="s">
        <v>20</v>
      </c>
      <c r="J222">
        <v>150</v>
      </c>
      <c r="L222" t="s">
        <v>29</v>
      </c>
      <c r="S222">
        <v>0</v>
      </c>
      <c r="T222">
        <v>0</v>
      </c>
      <c r="U222">
        <v>0</v>
      </c>
      <c r="V222">
        <v>0</v>
      </c>
    </row>
    <row r="223" spans="1:22">
      <c r="A223" t="s">
        <v>180</v>
      </c>
      <c r="B223" s="3">
        <v>46175</v>
      </c>
      <c r="C223" t="s">
        <v>105</v>
      </c>
      <c r="D223" t="s">
        <v>112</v>
      </c>
      <c r="E223" t="s">
        <v>16</v>
      </c>
      <c r="F223" t="s">
        <v>35</v>
      </c>
      <c r="G223" t="s">
        <v>23</v>
      </c>
      <c r="H223" t="s">
        <v>19</v>
      </c>
      <c r="I223" t="s">
        <v>20</v>
      </c>
      <c r="J223">
        <v>90</v>
      </c>
      <c r="L223" t="s">
        <v>29</v>
      </c>
      <c r="S223">
        <v>2.7</v>
      </c>
      <c r="T223">
        <v>0</v>
      </c>
      <c r="U223">
        <v>0</v>
      </c>
      <c r="V223">
        <v>0</v>
      </c>
    </row>
    <row r="224" spans="1:22">
      <c r="A224" t="s">
        <v>181</v>
      </c>
      <c r="B224" s="3">
        <v>46175</v>
      </c>
      <c r="C224" t="s">
        <v>105</v>
      </c>
      <c r="D224" t="s">
        <v>182</v>
      </c>
      <c r="E224" t="s">
        <v>16</v>
      </c>
      <c r="F224" t="s">
        <v>35</v>
      </c>
      <c r="G224" t="s">
        <v>23</v>
      </c>
      <c r="H224" t="s">
        <v>19</v>
      </c>
      <c r="I224" t="s">
        <v>20</v>
      </c>
      <c r="J224">
        <v>120</v>
      </c>
      <c r="S224">
        <v>3.6</v>
      </c>
      <c r="T224">
        <v>0</v>
      </c>
      <c r="U224">
        <v>0</v>
      </c>
      <c r="V224">
        <v>0</v>
      </c>
    </row>
    <row r="225" spans="1:22">
      <c r="A225" t="s">
        <v>183</v>
      </c>
      <c r="B225" s="3">
        <v>46175</v>
      </c>
      <c r="C225" t="s">
        <v>105</v>
      </c>
      <c r="D225" t="s">
        <v>108</v>
      </c>
      <c r="E225" t="s">
        <v>16</v>
      </c>
      <c r="F225" t="s">
        <v>17</v>
      </c>
      <c r="G225" t="s">
        <v>18</v>
      </c>
      <c r="H225" t="s">
        <v>19</v>
      </c>
      <c r="I225" t="s">
        <v>74</v>
      </c>
      <c r="J225">
        <v>200</v>
      </c>
      <c r="S225">
        <v>0</v>
      </c>
      <c r="T225">
        <v>0</v>
      </c>
      <c r="U225">
        <v>0</v>
      </c>
      <c r="V225">
        <v>0</v>
      </c>
    </row>
    <row r="226" spans="1:22">
      <c r="A226" t="s">
        <v>184</v>
      </c>
      <c r="B226" s="3">
        <v>46175</v>
      </c>
      <c r="C226" t="s">
        <v>105</v>
      </c>
      <c r="D226" t="s">
        <v>118</v>
      </c>
      <c r="E226" t="s">
        <v>16</v>
      </c>
      <c r="F226" t="s">
        <v>17</v>
      </c>
      <c r="G226" t="s">
        <v>23</v>
      </c>
      <c r="H226" t="s">
        <v>19</v>
      </c>
      <c r="I226" t="s">
        <v>20</v>
      </c>
      <c r="J226">
        <v>102</v>
      </c>
      <c r="L226" t="s">
        <v>29</v>
      </c>
      <c r="S226">
        <v>8.16</v>
      </c>
      <c r="T226">
        <v>0</v>
      </c>
      <c r="U226">
        <v>1</v>
      </c>
      <c r="V226">
        <v>0</v>
      </c>
    </row>
    <row r="227" spans="1:22">
      <c r="A227" t="s">
        <v>185</v>
      </c>
      <c r="B227" s="3">
        <v>46175</v>
      </c>
      <c r="C227" t="s">
        <v>105</v>
      </c>
      <c r="D227" t="s">
        <v>110</v>
      </c>
      <c r="E227" t="s">
        <v>16</v>
      </c>
      <c r="F227" t="s">
        <v>35</v>
      </c>
      <c r="G227" t="s">
        <v>18</v>
      </c>
      <c r="H227" t="s">
        <v>19</v>
      </c>
      <c r="I227" t="s">
        <v>53</v>
      </c>
      <c r="J227">
        <v>170</v>
      </c>
      <c r="L227" t="s">
        <v>29</v>
      </c>
      <c r="S227">
        <v>0</v>
      </c>
      <c r="T227">
        <v>0</v>
      </c>
      <c r="U227">
        <v>0</v>
      </c>
      <c r="V227">
        <v>0</v>
      </c>
    </row>
    <row r="228" spans="1:22">
      <c r="A228" t="s">
        <v>186</v>
      </c>
      <c r="B228" s="3">
        <v>46175</v>
      </c>
      <c r="C228" t="s">
        <v>105</v>
      </c>
      <c r="D228" t="s">
        <v>187</v>
      </c>
      <c r="E228" t="s">
        <v>16</v>
      </c>
      <c r="F228" t="s">
        <v>17</v>
      </c>
      <c r="G228" t="s">
        <v>18</v>
      </c>
      <c r="H228" t="s">
        <v>19</v>
      </c>
      <c r="I228" t="s">
        <v>20</v>
      </c>
      <c r="J228">
        <v>200</v>
      </c>
      <c r="S228">
        <v>20</v>
      </c>
      <c r="T228">
        <v>0</v>
      </c>
      <c r="U228">
        <v>1</v>
      </c>
      <c r="V228">
        <v>0</v>
      </c>
    </row>
    <row r="229" spans="1:22">
      <c r="A229" t="s">
        <v>188</v>
      </c>
      <c r="B229" s="3">
        <v>46175</v>
      </c>
      <c r="C229" t="s">
        <v>105</v>
      </c>
      <c r="D229" t="s">
        <v>118</v>
      </c>
      <c r="E229" t="s">
        <v>16</v>
      </c>
      <c r="F229" t="s">
        <v>17</v>
      </c>
      <c r="G229" t="s">
        <v>23</v>
      </c>
      <c r="H229" t="s">
        <v>24</v>
      </c>
      <c r="I229" t="s">
        <v>20</v>
      </c>
      <c r="J229">
        <v>120</v>
      </c>
      <c r="S229">
        <v>0</v>
      </c>
      <c r="T229">
        <v>0</v>
      </c>
      <c r="U229">
        <v>0</v>
      </c>
      <c r="V229">
        <v>0</v>
      </c>
    </row>
    <row r="230" spans="1:22">
      <c r="A230" t="s">
        <v>189</v>
      </c>
      <c r="B230" s="3">
        <v>46175</v>
      </c>
      <c r="C230" t="s">
        <v>105</v>
      </c>
      <c r="D230" t="s">
        <v>118</v>
      </c>
      <c r="E230" t="s">
        <v>16</v>
      </c>
      <c r="F230" t="s">
        <v>17</v>
      </c>
      <c r="G230" t="s">
        <v>18</v>
      </c>
      <c r="H230" t="s">
        <v>19</v>
      </c>
      <c r="I230" t="s">
        <v>20</v>
      </c>
      <c r="J230">
        <v>200</v>
      </c>
      <c r="S230">
        <v>20</v>
      </c>
      <c r="T230">
        <v>0</v>
      </c>
      <c r="U230">
        <v>1</v>
      </c>
      <c r="V230">
        <v>0</v>
      </c>
    </row>
    <row r="231" spans="1:22">
      <c r="A231" t="s">
        <v>190</v>
      </c>
      <c r="B231" s="3">
        <v>46175</v>
      </c>
      <c r="C231" t="s">
        <v>105</v>
      </c>
      <c r="D231" t="s">
        <v>191</v>
      </c>
      <c r="E231" t="s">
        <v>16</v>
      </c>
      <c r="F231" t="s">
        <v>35</v>
      </c>
      <c r="G231" t="s">
        <v>18</v>
      </c>
      <c r="H231" t="s">
        <v>19</v>
      </c>
      <c r="I231" t="s">
        <v>20</v>
      </c>
      <c r="J231">
        <v>200</v>
      </c>
      <c r="S231">
        <v>6</v>
      </c>
      <c r="T231">
        <v>0</v>
      </c>
      <c r="U231">
        <v>0</v>
      </c>
      <c r="V231">
        <v>0</v>
      </c>
    </row>
    <row r="232" spans="1:22">
      <c r="A232" t="s">
        <v>192</v>
      </c>
      <c r="B232" s="3">
        <v>46175</v>
      </c>
      <c r="C232" t="s">
        <v>105</v>
      </c>
      <c r="D232" t="s">
        <v>108</v>
      </c>
      <c r="E232" t="s">
        <v>16</v>
      </c>
      <c r="F232" t="s">
        <v>17</v>
      </c>
      <c r="G232" t="s">
        <v>32</v>
      </c>
      <c r="H232" t="s">
        <v>19</v>
      </c>
      <c r="I232" t="s">
        <v>20</v>
      </c>
      <c r="J232">
        <v>300</v>
      </c>
      <c r="S232">
        <v>36</v>
      </c>
      <c r="T232">
        <v>0</v>
      </c>
      <c r="U232">
        <v>1</v>
      </c>
      <c r="V232">
        <v>0</v>
      </c>
    </row>
    <row r="233" spans="1:22">
      <c r="A233" t="s">
        <v>193</v>
      </c>
      <c r="B233" s="3">
        <v>46175</v>
      </c>
      <c r="C233" t="s">
        <v>105</v>
      </c>
      <c r="D233" t="s">
        <v>194</v>
      </c>
      <c r="E233" t="s">
        <v>16</v>
      </c>
      <c r="F233" t="s">
        <v>17</v>
      </c>
      <c r="G233" t="s">
        <v>18</v>
      </c>
      <c r="H233" t="s">
        <v>19</v>
      </c>
      <c r="I233" t="s">
        <v>20</v>
      </c>
      <c r="J233">
        <v>200</v>
      </c>
      <c r="S233">
        <v>20</v>
      </c>
      <c r="T233">
        <v>0</v>
      </c>
      <c r="U233">
        <v>1</v>
      </c>
      <c r="V233">
        <v>0</v>
      </c>
    </row>
    <row r="234" spans="1:22">
      <c r="A234" t="s">
        <v>195</v>
      </c>
      <c r="B234" s="3">
        <v>46175</v>
      </c>
      <c r="C234" t="s">
        <v>105</v>
      </c>
      <c r="D234" t="s">
        <v>116</v>
      </c>
      <c r="E234" t="s">
        <v>16</v>
      </c>
      <c r="F234" t="s">
        <v>17</v>
      </c>
      <c r="G234" t="s">
        <v>23</v>
      </c>
      <c r="H234" t="s">
        <v>19</v>
      </c>
      <c r="I234" t="s">
        <v>20</v>
      </c>
      <c r="J234">
        <v>120</v>
      </c>
      <c r="S234">
        <v>9.6</v>
      </c>
      <c r="T234">
        <v>0</v>
      </c>
      <c r="U234">
        <v>1</v>
      </c>
      <c r="V234">
        <v>0</v>
      </c>
    </row>
    <row r="235" spans="1:22">
      <c r="A235" t="s">
        <v>196</v>
      </c>
      <c r="B235" s="3">
        <v>46175</v>
      </c>
      <c r="C235" t="s">
        <v>105</v>
      </c>
      <c r="D235" t="s">
        <v>120</v>
      </c>
      <c r="E235" t="s">
        <v>16</v>
      </c>
      <c r="F235" t="s">
        <v>35</v>
      </c>
      <c r="G235" t="s">
        <v>23</v>
      </c>
      <c r="H235" t="s">
        <v>24</v>
      </c>
      <c r="I235" t="s">
        <v>20</v>
      </c>
      <c r="J235">
        <v>120</v>
      </c>
      <c r="S235">
        <v>0</v>
      </c>
      <c r="T235">
        <v>0</v>
      </c>
      <c r="U235">
        <v>0</v>
      </c>
      <c r="V235">
        <v>0</v>
      </c>
    </row>
    <row r="236" spans="1:22">
      <c r="A236" t="s">
        <v>197</v>
      </c>
      <c r="B236" s="3">
        <v>46175</v>
      </c>
      <c r="C236" t="s">
        <v>105</v>
      </c>
      <c r="D236" t="s">
        <v>112</v>
      </c>
      <c r="E236" t="s">
        <v>16</v>
      </c>
      <c r="F236" t="s">
        <v>17</v>
      </c>
      <c r="G236" t="s">
        <v>23</v>
      </c>
      <c r="H236" t="s">
        <v>19</v>
      </c>
      <c r="I236" t="s">
        <v>20</v>
      </c>
      <c r="J236">
        <v>120</v>
      </c>
      <c r="S236">
        <v>9.6</v>
      </c>
      <c r="T236">
        <v>0</v>
      </c>
      <c r="U236">
        <v>1</v>
      </c>
      <c r="V236">
        <v>0</v>
      </c>
    </row>
    <row r="237" spans="1:22">
      <c r="A237" t="s">
        <v>198</v>
      </c>
      <c r="B237" s="3">
        <v>46175</v>
      </c>
      <c r="C237" t="s">
        <v>105</v>
      </c>
      <c r="D237" t="s">
        <v>110</v>
      </c>
      <c r="E237" t="s">
        <v>16</v>
      </c>
      <c r="F237" t="s">
        <v>17</v>
      </c>
      <c r="G237" t="s">
        <v>18</v>
      </c>
      <c r="H237" t="s">
        <v>19</v>
      </c>
      <c r="I237" t="s">
        <v>20</v>
      </c>
      <c r="J237">
        <v>200</v>
      </c>
      <c r="S237">
        <v>20</v>
      </c>
      <c r="T237">
        <v>0</v>
      </c>
      <c r="U237">
        <v>1</v>
      </c>
      <c r="V237">
        <v>0</v>
      </c>
    </row>
    <row r="238" spans="1:22">
      <c r="A238" t="s">
        <v>199</v>
      </c>
      <c r="B238" s="3">
        <v>46175</v>
      </c>
      <c r="C238" t="s">
        <v>105</v>
      </c>
      <c r="D238" t="s">
        <v>116</v>
      </c>
      <c r="E238" t="s">
        <v>16</v>
      </c>
      <c r="F238" t="s">
        <v>17</v>
      </c>
      <c r="G238" t="s">
        <v>23</v>
      </c>
      <c r="H238" t="s">
        <v>24</v>
      </c>
      <c r="I238" t="s">
        <v>20</v>
      </c>
      <c r="J238">
        <v>120</v>
      </c>
      <c r="S238">
        <v>0</v>
      </c>
      <c r="T238">
        <v>0</v>
      </c>
      <c r="U238">
        <v>0</v>
      </c>
      <c r="V238">
        <v>0</v>
      </c>
    </row>
    <row r="239" spans="1:22">
      <c r="A239" t="s">
        <v>200</v>
      </c>
      <c r="B239" s="3">
        <v>46175</v>
      </c>
      <c r="C239" t="s">
        <v>105</v>
      </c>
      <c r="D239" t="s">
        <v>182</v>
      </c>
      <c r="E239" t="s">
        <v>16</v>
      </c>
      <c r="F239" t="s">
        <v>17</v>
      </c>
      <c r="G239" t="s">
        <v>32</v>
      </c>
      <c r="H239" t="s">
        <v>19</v>
      </c>
      <c r="I239" t="s">
        <v>20</v>
      </c>
      <c r="J239">
        <v>300</v>
      </c>
      <c r="S239">
        <v>36</v>
      </c>
      <c r="T239">
        <v>0</v>
      </c>
      <c r="U239">
        <v>1</v>
      </c>
      <c r="V239">
        <v>0</v>
      </c>
    </row>
    <row r="240" spans="1:22">
      <c r="A240" t="s">
        <v>201</v>
      </c>
      <c r="B240" s="3">
        <v>46175</v>
      </c>
      <c r="C240" t="s">
        <v>105</v>
      </c>
      <c r="D240" t="s">
        <v>191</v>
      </c>
      <c r="E240" t="s">
        <v>16</v>
      </c>
      <c r="F240" t="s">
        <v>17</v>
      </c>
      <c r="G240" t="s">
        <v>18</v>
      </c>
      <c r="H240" t="s">
        <v>19</v>
      </c>
      <c r="I240" t="s">
        <v>20</v>
      </c>
      <c r="J240">
        <v>200</v>
      </c>
      <c r="S240">
        <v>20</v>
      </c>
      <c r="T240">
        <v>0</v>
      </c>
      <c r="U240">
        <v>1</v>
      </c>
      <c r="V240">
        <v>0</v>
      </c>
    </row>
    <row r="241" spans="1:22">
      <c r="A241" t="s">
        <v>202</v>
      </c>
      <c r="B241" s="3">
        <v>46176</v>
      </c>
      <c r="C241" t="s">
        <v>14</v>
      </c>
      <c r="D241" t="s">
        <v>40</v>
      </c>
      <c r="E241" t="s">
        <v>16</v>
      </c>
      <c r="F241" t="s">
        <v>17</v>
      </c>
      <c r="G241" t="s">
        <v>23</v>
      </c>
      <c r="H241" t="s">
        <v>19</v>
      </c>
      <c r="I241" t="s">
        <v>20</v>
      </c>
      <c r="J241">
        <v>90</v>
      </c>
      <c r="L241" t="s">
        <v>29</v>
      </c>
      <c r="S241">
        <v>7.2</v>
      </c>
      <c r="T241">
        <v>0</v>
      </c>
      <c r="U241">
        <v>1</v>
      </c>
      <c r="V241">
        <v>0</v>
      </c>
    </row>
    <row r="242" spans="1:22">
      <c r="A242" t="s">
        <v>204</v>
      </c>
      <c r="B242" s="3">
        <v>46176</v>
      </c>
      <c r="C242" t="s">
        <v>14</v>
      </c>
      <c r="D242" t="s">
        <v>42</v>
      </c>
      <c r="E242" t="s">
        <v>16</v>
      </c>
      <c r="F242" t="s">
        <v>17</v>
      </c>
      <c r="G242" t="s">
        <v>23</v>
      </c>
      <c r="H242" t="s">
        <v>19</v>
      </c>
      <c r="I242" t="s">
        <v>20</v>
      </c>
      <c r="J242">
        <v>120</v>
      </c>
      <c r="S242">
        <v>9.6</v>
      </c>
      <c r="T242">
        <v>0</v>
      </c>
      <c r="U242">
        <v>1</v>
      </c>
      <c r="V242">
        <v>0</v>
      </c>
    </row>
    <row r="243" spans="1:22">
      <c r="A243" t="s">
        <v>205</v>
      </c>
      <c r="B243" s="3">
        <v>46176</v>
      </c>
      <c r="C243" t="s">
        <v>14</v>
      </c>
      <c r="D243" t="s">
        <v>40</v>
      </c>
      <c r="E243" t="s">
        <v>16</v>
      </c>
      <c r="F243" t="s">
        <v>17</v>
      </c>
      <c r="G243" t="s">
        <v>32</v>
      </c>
      <c r="H243" t="s">
        <v>19</v>
      </c>
      <c r="I243" t="s">
        <v>20</v>
      </c>
      <c r="J243">
        <v>300</v>
      </c>
      <c r="S243">
        <v>36</v>
      </c>
      <c r="T243">
        <v>0</v>
      </c>
      <c r="U243">
        <v>1</v>
      </c>
      <c r="V243">
        <v>0</v>
      </c>
    </row>
    <row r="244" spans="1:22">
      <c r="A244" t="s">
        <v>206</v>
      </c>
      <c r="B244" s="3">
        <v>46176</v>
      </c>
      <c r="C244" t="s">
        <v>14</v>
      </c>
      <c r="D244" t="s">
        <v>26</v>
      </c>
      <c r="E244" t="s">
        <v>16</v>
      </c>
      <c r="F244" t="s">
        <v>17</v>
      </c>
      <c r="G244" t="s">
        <v>32</v>
      </c>
      <c r="H244" t="s">
        <v>19</v>
      </c>
      <c r="I244" t="s">
        <v>20</v>
      </c>
      <c r="J244">
        <v>300</v>
      </c>
      <c r="S244">
        <v>36</v>
      </c>
      <c r="T244">
        <v>0</v>
      </c>
      <c r="U244">
        <v>1</v>
      </c>
      <c r="V244">
        <v>0</v>
      </c>
    </row>
    <row r="245" spans="1:22">
      <c r="A245" t="s">
        <v>207</v>
      </c>
      <c r="B245" s="3">
        <v>46176</v>
      </c>
      <c r="C245" t="s">
        <v>14</v>
      </c>
      <c r="D245" t="s">
        <v>15</v>
      </c>
      <c r="E245" t="s">
        <v>16</v>
      </c>
      <c r="F245" t="s">
        <v>17</v>
      </c>
      <c r="G245" t="s">
        <v>32</v>
      </c>
      <c r="H245" t="s">
        <v>19</v>
      </c>
      <c r="I245" t="s">
        <v>74</v>
      </c>
      <c r="J245">
        <v>300</v>
      </c>
      <c r="S245">
        <v>0</v>
      </c>
      <c r="T245">
        <v>0</v>
      </c>
      <c r="U245">
        <v>0</v>
      </c>
      <c r="V245">
        <v>0</v>
      </c>
    </row>
    <row r="246" spans="1:22">
      <c r="A246" t="s">
        <v>208</v>
      </c>
      <c r="B246" s="3">
        <v>46176</v>
      </c>
      <c r="C246" t="s">
        <v>14</v>
      </c>
      <c r="D246" t="s">
        <v>137</v>
      </c>
      <c r="E246" t="s">
        <v>16</v>
      </c>
      <c r="F246" t="s">
        <v>17</v>
      </c>
      <c r="G246" t="s">
        <v>23</v>
      </c>
      <c r="H246" t="s">
        <v>19</v>
      </c>
      <c r="I246" t="s">
        <v>20</v>
      </c>
      <c r="J246">
        <v>120</v>
      </c>
      <c r="S246">
        <v>9.6</v>
      </c>
      <c r="T246">
        <v>0</v>
      </c>
      <c r="U246">
        <v>1</v>
      </c>
      <c r="V246">
        <v>0</v>
      </c>
    </row>
    <row r="247" spans="1:22">
      <c r="A247" t="s">
        <v>209</v>
      </c>
      <c r="B247" s="3">
        <v>46176</v>
      </c>
      <c r="C247" t="s">
        <v>14</v>
      </c>
      <c r="D247" t="s">
        <v>210</v>
      </c>
      <c r="E247" t="s">
        <v>16</v>
      </c>
      <c r="F247" t="s">
        <v>17</v>
      </c>
      <c r="G247" t="s">
        <v>32</v>
      </c>
      <c r="H247" t="s">
        <v>24</v>
      </c>
      <c r="I247" t="s">
        <v>20</v>
      </c>
      <c r="J247">
        <v>300</v>
      </c>
      <c r="S247">
        <v>0</v>
      </c>
      <c r="T247">
        <v>0</v>
      </c>
      <c r="U247">
        <v>0</v>
      </c>
      <c r="V247">
        <v>0</v>
      </c>
    </row>
    <row r="248" spans="1:22">
      <c r="A248" t="s">
        <v>211</v>
      </c>
      <c r="B248" s="3">
        <v>46176</v>
      </c>
      <c r="C248" t="s">
        <v>14</v>
      </c>
      <c r="D248" t="s">
        <v>31</v>
      </c>
      <c r="E248" t="s">
        <v>16</v>
      </c>
      <c r="F248" t="s">
        <v>17</v>
      </c>
      <c r="G248" t="s">
        <v>18</v>
      </c>
      <c r="H248" t="s">
        <v>19</v>
      </c>
      <c r="I248" t="s">
        <v>20</v>
      </c>
      <c r="J248">
        <v>200</v>
      </c>
      <c r="S248">
        <v>20</v>
      </c>
      <c r="T248">
        <v>0</v>
      </c>
      <c r="U248">
        <v>1</v>
      </c>
      <c r="V248">
        <v>0</v>
      </c>
    </row>
    <row r="249" spans="1:22">
      <c r="A249" t="s">
        <v>212</v>
      </c>
      <c r="B249" s="3">
        <v>46176</v>
      </c>
      <c r="C249" t="s">
        <v>14</v>
      </c>
      <c r="D249" t="s">
        <v>42</v>
      </c>
      <c r="E249" t="s">
        <v>16</v>
      </c>
      <c r="F249" t="s">
        <v>17</v>
      </c>
      <c r="G249" t="s">
        <v>32</v>
      </c>
      <c r="H249" t="s">
        <v>19</v>
      </c>
      <c r="I249" t="s">
        <v>20</v>
      </c>
      <c r="J249">
        <v>300</v>
      </c>
      <c r="S249">
        <v>36</v>
      </c>
      <c r="T249">
        <v>0</v>
      </c>
      <c r="U249">
        <v>1</v>
      </c>
      <c r="V249">
        <v>0</v>
      </c>
    </row>
    <row r="250" spans="1:22">
      <c r="A250" t="s">
        <v>213</v>
      </c>
      <c r="B250" s="3">
        <v>46176</v>
      </c>
      <c r="C250" t="s">
        <v>14</v>
      </c>
      <c r="D250" t="s">
        <v>137</v>
      </c>
      <c r="E250" t="s">
        <v>16</v>
      </c>
      <c r="F250" t="s">
        <v>17</v>
      </c>
      <c r="G250" t="s">
        <v>18</v>
      </c>
      <c r="H250" t="s">
        <v>24</v>
      </c>
      <c r="I250" t="s">
        <v>20</v>
      </c>
      <c r="J250">
        <v>200</v>
      </c>
      <c r="S250">
        <v>0</v>
      </c>
      <c r="T250">
        <v>0</v>
      </c>
      <c r="U250">
        <v>0</v>
      </c>
      <c r="V250">
        <v>0</v>
      </c>
    </row>
    <row r="251" spans="1:22">
      <c r="A251" t="s">
        <v>214</v>
      </c>
      <c r="B251" s="3">
        <v>46176</v>
      </c>
      <c r="C251" t="s">
        <v>14</v>
      </c>
      <c r="D251" t="s">
        <v>15</v>
      </c>
      <c r="E251" t="s">
        <v>16</v>
      </c>
      <c r="F251" t="s">
        <v>17</v>
      </c>
      <c r="G251" t="s">
        <v>18</v>
      </c>
      <c r="H251" t="s">
        <v>24</v>
      </c>
      <c r="I251" t="s">
        <v>20</v>
      </c>
      <c r="J251">
        <v>200</v>
      </c>
      <c r="S251">
        <v>0</v>
      </c>
      <c r="T251">
        <v>0</v>
      </c>
      <c r="U251">
        <v>0</v>
      </c>
      <c r="V251">
        <v>0</v>
      </c>
    </row>
    <row r="252" spans="1:22">
      <c r="A252" t="s">
        <v>215</v>
      </c>
      <c r="B252" s="3">
        <v>46176</v>
      </c>
      <c r="C252" t="s">
        <v>14</v>
      </c>
      <c r="D252" t="s">
        <v>42</v>
      </c>
      <c r="E252" t="s">
        <v>16</v>
      </c>
      <c r="F252" t="s">
        <v>35</v>
      </c>
      <c r="G252" t="s">
        <v>18</v>
      </c>
      <c r="H252" t="s">
        <v>19</v>
      </c>
      <c r="I252" t="s">
        <v>20</v>
      </c>
      <c r="J252">
        <v>150</v>
      </c>
      <c r="L252" t="s">
        <v>29</v>
      </c>
      <c r="S252">
        <v>4.5</v>
      </c>
      <c r="T252">
        <v>0</v>
      </c>
      <c r="U252">
        <v>0</v>
      </c>
      <c r="V252">
        <v>0</v>
      </c>
    </row>
    <row r="253" spans="1:22">
      <c r="A253" t="s">
        <v>216</v>
      </c>
      <c r="B253" s="3">
        <v>46176</v>
      </c>
      <c r="C253" t="s">
        <v>14</v>
      </c>
      <c r="D253" t="s">
        <v>210</v>
      </c>
      <c r="E253" t="s">
        <v>16</v>
      </c>
      <c r="F253" t="s">
        <v>17</v>
      </c>
      <c r="G253" t="s">
        <v>18</v>
      </c>
      <c r="H253" t="s">
        <v>19</v>
      </c>
      <c r="I253" t="s">
        <v>20</v>
      </c>
      <c r="J253">
        <v>200</v>
      </c>
      <c r="S253">
        <v>20</v>
      </c>
      <c r="T253">
        <v>0</v>
      </c>
      <c r="U253">
        <v>1</v>
      </c>
      <c r="V253">
        <v>0</v>
      </c>
    </row>
    <row r="254" spans="1:22">
      <c r="A254" t="s">
        <v>217</v>
      </c>
      <c r="B254" s="3">
        <v>46176</v>
      </c>
      <c r="C254" t="s">
        <v>14</v>
      </c>
      <c r="D254" t="s">
        <v>40</v>
      </c>
      <c r="E254" t="s">
        <v>16</v>
      </c>
      <c r="F254" t="s">
        <v>17</v>
      </c>
      <c r="G254" t="s">
        <v>32</v>
      </c>
      <c r="H254" t="s">
        <v>19</v>
      </c>
      <c r="I254" t="s">
        <v>20</v>
      </c>
      <c r="J254">
        <v>300</v>
      </c>
      <c r="S254">
        <v>36</v>
      </c>
      <c r="T254">
        <v>0</v>
      </c>
      <c r="U254">
        <v>1</v>
      </c>
      <c r="V254">
        <v>0</v>
      </c>
    </row>
    <row r="255" spans="1:22">
      <c r="A255" t="s">
        <v>218</v>
      </c>
      <c r="B255" s="3">
        <v>46176</v>
      </c>
      <c r="C255" t="s">
        <v>14</v>
      </c>
      <c r="D255" t="s">
        <v>42</v>
      </c>
      <c r="E255" t="s">
        <v>16</v>
      </c>
      <c r="F255" t="s">
        <v>17</v>
      </c>
      <c r="G255" t="s">
        <v>23</v>
      </c>
      <c r="H255" t="s">
        <v>24</v>
      </c>
      <c r="I255" t="s">
        <v>20</v>
      </c>
      <c r="J255">
        <v>120</v>
      </c>
      <c r="S255">
        <v>0</v>
      </c>
      <c r="T255">
        <v>0</v>
      </c>
      <c r="U255">
        <v>0</v>
      </c>
      <c r="V255">
        <v>0</v>
      </c>
    </row>
    <row r="256" spans="1:22">
      <c r="A256" t="s">
        <v>219</v>
      </c>
      <c r="B256" s="3">
        <v>46176</v>
      </c>
      <c r="C256" t="s">
        <v>14</v>
      </c>
      <c r="D256" t="s">
        <v>26</v>
      </c>
      <c r="E256" t="s">
        <v>16</v>
      </c>
      <c r="F256" t="s">
        <v>17</v>
      </c>
      <c r="G256" t="s">
        <v>18</v>
      </c>
      <c r="H256" t="s">
        <v>19</v>
      </c>
      <c r="I256" t="s">
        <v>20</v>
      </c>
      <c r="J256">
        <v>200</v>
      </c>
      <c r="S256">
        <v>20</v>
      </c>
      <c r="T256">
        <v>0</v>
      </c>
      <c r="U256">
        <v>1</v>
      </c>
      <c r="V256">
        <v>0</v>
      </c>
    </row>
    <row r="257" spans="1:22">
      <c r="A257" t="s">
        <v>220</v>
      </c>
      <c r="B257" s="3">
        <v>46176</v>
      </c>
      <c r="C257" t="s">
        <v>14</v>
      </c>
      <c r="D257" t="s">
        <v>40</v>
      </c>
      <c r="E257" t="s">
        <v>16</v>
      </c>
      <c r="F257" t="s">
        <v>17</v>
      </c>
      <c r="G257" t="s">
        <v>32</v>
      </c>
      <c r="H257" t="s">
        <v>19</v>
      </c>
      <c r="I257" t="s">
        <v>20</v>
      </c>
      <c r="J257">
        <v>300</v>
      </c>
      <c r="S257">
        <v>36</v>
      </c>
      <c r="T257">
        <v>0</v>
      </c>
      <c r="U257">
        <v>1</v>
      </c>
      <c r="V257">
        <v>0</v>
      </c>
    </row>
    <row r="258" spans="1:22">
      <c r="A258" t="s">
        <v>221</v>
      </c>
      <c r="B258" s="3">
        <v>46176</v>
      </c>
      <c r="C258" t="s">
        <v>14</v>
      </c>
      <c r="D258" t="s">
        <v>31</v>
      </c>
      <c r="E258" t="s">
        <v>16</v>
      </c>
      <c r="F258" t="s">
        <v>17</v>
      </c>
      <c r="G258" t="s">
        <v>32</v>
      </c>
      <c r="H258" t="s">
        <v>24</v>
      </c>
      <c r="I258" t="s">
        <v>20</v>
      </c>
      <c r="J258">
        <v>225</v>
      </c>
      <c r="L258" t="s">
        <v>29</v>
      </c>
      <c r="S258">
        <v>0</v>
      </c>
      <c r="T258">
        <v>0</v>
      </c>
      <c r="U258">
        <v>0</v>
      </c>
      <c r="V258">
        <v>0</v>
      </c>
    </row>
    <row r="259" spans="1:22">
      <c r="A259" t="s">
        <v>222</v>
      </c>
      <c r="B259" s="3">
        <v>46176</v>
      </c>
      <c r="C259" t="s">
        <v>47</v>
      </c>
      <c r="D259" t="s">
        <v>66</v>
      </c>
      <c r="E259" t="s">
        <v>16</v>
      </c>
      <c r="F259" t="s">
        <v>35</v>
      </c>
      <c r="G259" t="s">
        <v>23</v>
      </c>
      <c r="H259" t="s">
        <v>19</v>
      </c>
      <c r="I259" t="s">
        <v>20</v>
      </c>
      <c r="J259">
        <v>120</v>
      </c>
      <c r="S259">
        <v>3.6</v>
      </c>
      <c r="T259">
        <v>0</v>
      </c>
      <c r="U259">
        <v>0</v>
      </c>
      <c r="V259">
        <v>0</v>
      </c>
    </row>
    <row r="260" spans="1:22">
      <c r="A260" t="s">
        <v>223</v>
      </c>
      <c r="B260" s="3">
        <v>46176</v>
      </c>
      <c r="C260" t="s">
        <v>47</v>
      </c>
      <c r="D260" t="s">
        <v>52</v>
      </c>
      <c r="E260" t="s">
        <v>16</v>
      </c>
      <c r="F260" t="s">
        <v>35</v>
      </c>
      <c r="G260" t="s">
        <v>32</v>
      </c>
      <c r="H260" t="s">
        <v>19</v>
      </c>
      <c r="I260" t="s">
        <v>20</v>
      </c>
      <c r="J260">
        <v>300</v>
      </c>
      <c r="S260">
        <v>9</v>
      </c>
      <c r="T260">
        <v>0</v>
      </c>
      <c r="U260">
        <v>0</v>
      </c>
      <c r="V260">
        <v>0</v>
      </c>
    </row>
    <row r="261" spans="1:22">
      <c r="A261" t="s">
        <v>224</v>
      </c>
      <c r="B261" s="3">
        <v>46176</v>
      </c>
      <c r="C261" t="s">
        <v>47</v>
      </c>
      <c r="D261" t="s">
        <v>73</v>
      </c>
      <c r="E261" t="s">
        <v>16</v>
      </c>
      <c r="F261" t="s">
        <v>17</v>
      </c>
      <c r="G261" t="s">
        <v>23</v>
      </c>
      <c r="H261" t="s">
        <v>24</v>
      </c>
      <c r="I261" t="s">
        <v>20</v>
      </c>
      <c r="J261">
        <v>120</v>
      </c>
      <c r="S261">
        <v>0</v>
      </c>
      <c r="T261">
        <v>0</v>
      </c>
      <c r="U261">
        <v>0</v>
      </c>
      <c r="V261">
        <v>0</v>
      </c>
    </row>
    <row r="262" spans="1:22">
      <c r="A262" t="s">
        <v>225</v>
      </c>
      <c r="B262" s="3">
        <v>46176</v>
      </c>
      <c r="C262" t="s">
        <v>47</v>
      </c>
      <c r="D262" t="s">
        <v>50</v>
      </c>
      <c r="E262" t="s">
        <v>16</v>
      </c>
      <c r="F262" t="s">
        <v>17</v>
      </c>
      <c r="G262" t="s">
        <v>23</v>
      </c>
      <c r="H262" t="s">
        <v>19</v>
      </c>
      <c r="I262" t="s">
        <v>20</v>
      </c>
      <c r="J262">
        <v>120</v>
      </c>
      <c r="S262">
        <v>9.6</v>
      </c>
      <c r="T262">
        <v>0</v>
      </c>
      <c r="U262">
        <v>1</v>
      </c>
      <c r="V262">
        <v>0</v>
      </c>
    </row>
    <row r="263" spans="1:22">
      <c r="A263" t="s">
        <v>226</v>
      </c>
      <c r="B263" s="3">
        <v>46176</v>
      </c>
      <c r="C263" t="s">
        <v>47</v>
      </c>
      <c r="D263" t="s">
        <v>148</v>
      </c>
      <c r="E263" t="s">
        <v>16</v>
      </c>
      <c r="F263" t="s">
        <v>17</v>
      </c>
      <c r="G263" t="s">
        <v>23</v>
      </c>
      <c r="H263" t="s">
        <v>19</v>
      </c>
      <c r="I263" t="s">
        <v>20</v>
      </c>
      <c r="J263">
        <v>120</v>
      </c>
      <c r="S263">
        <v>9.6</v>
      </c>
      <c r="T263">
        <v>0</v>
      </c>
      <c r="U263">
        <v>1</v>
      </c>
      <c r="V263">
        <v>0</v>
      </c>
    </row>
    <row r="264" spans="1:22">
      <c r="A264" t="s">
        <v>227</v>
      </c>
      <c r="B264" s="3">
        <v>46176</v>
      </c>
      <c r="C264" t="s">
        <v>47</v>
      </c>
      <c r="D264" t="s">
        <v>64</v>
      </c>
      <c r="E264" t="s">
        <v>16</v>
      </c>
      <c r="F264" t="s">
        <v>17</v>
      </c>
      <c r="G264" t="s">
        <v>32</v>
      </c>
      <c r="H264" t="s">
        <v>19</v>
      </c>
      <c r="I264" t="s">
        <v>20</v>
      </c>
      <c r="J264">
        <v>300</v>
      </c>
      <c r="S264">
        <v>36</v>
      </c>
      <c r="T264">
        <v>0</v>
      </c>
      <c r="U264">
        <v>1</v>
      </c>
      <c r="V264">
        <v>0</v>
      </c>
    </row>
    <row r="265" spans="1:22">
      <c r="A265" t="s">
        <v>228</v>
      </c>
      <c r="B265" s="3">
        <v>46176</v>
      </c>
      <c r="C265" t="s">
        <v>47</v>
      </c>
      <c r="D265" t="s">
        <v>59</v>
      </c>
      <c r="E265" t="s">
        <v>16</v>
      </c>
      <c r="F265" t="s">
        <v>17</v>
      </c>
      <c r="G265" t="s">
        <v>18</v>
      </c>
      <c r="H265" t="s">
        <v>19</v>
      </c>
      <c r="I265" t="s">
        <v>20</v>
      </c>
      <c r="J265">
        <v>150</v>
      </c>
      <c r="L265" t="s">
        <v>29</v>
      </c>
      <c r="S265">
        <v>15</v>
      </c>
      <c r="T265">
        <v>0</v>
      </c>
      <c r="U265">
        <v>1</v>
      </c>
      <c r="V265">
        <v>0</v>
      </c>
    </row>
    <row r="266" spans="1:22">
      <c r="A266" t="s">
        <v>229</v>
      </c>
      <c r="B266" s="3">
        <v>46176</v>
      </c>
      <c r="C266" t="s">
        <v>47</v>
      </c>
      <c r="D266" t="s">
        <v>64</v>
      </c>
      <c r="E266" t="s">
        <v>16</v>
      </c>
      <c r="F266" t="s">
        <v>35</v>
      </c>
      <c r="G266" t="s">
        <v>32</v>
      </c>
      <c r="H266" t="s">
        <v>19</v>
      </c>
      <c r="I266" t="s">
        <v>20</v>
      </c>
      <c r="J266">
        <v>300</v>
      </c>
      <c r="S266">
        <v>9</v>
      </c>
      <c r="T266">
        <v>0</v>
      </c>
      <c r="U266">
        <v>0</v>
      </c>
      <c r="V266">
        <v>0</v>
      </c>
    </row>
    <row r="267" spans="1:22">
      <c r="A267" t="s">
        <v>230</v>
      </c>
      <c r="B267" s="3">
        <v>46176</v>
      </c>
      <c r="C267" t="s">
        <v>47</v>
      </c>
      <c r="D267" t="s">
        <v>73</v>
      </c>
      <c r="E267" t="s">
        <v>16</v>
      </c>
      <c r="F267" t="s">
        <v>17</v>
      </c>
      <c r="G267" t="s">
        <v>32</v>
      </c>
      <c r="H267" t="s">
        <v>19</v>
      </c>
      <c r="I267" t="s">
        <v>20</v>
      </c>
      <c r="J267">
        <v>300</v>
      </c>
      <c r="S267">
        <v>36</v>
      </c>
      <c r="T267">
        <v>0</v>
      </c>
      <c r="U267">
        <v>1</v>
      </c>
      <c r="V267">
        <v>0</v>
      </c>
    </row>
    <row r="268" spans="1:22">
      <c r="A268" t="s">
        <v>231</v>
      </c>
      <c r="B268" s="3">
        <v>46176</v>
      </c>
      <c r="C268" t="s">
        <v>47</v>
      </c>
      <c r="D268" t="s">
        <v>52</v>
      </c>
      <c r="E268" t="s">
        <v>16</v>
      </c>
      <c r="F268" t="s">
        <v>17</v>
      </c>
      <c r="G268" t="s">
        <v>32</v>
      </c>
      <c r="H268" t="s">
        <v>24</v>
      </c>
      <c r="I268" t="s">
        <v>20</v>
      </c>
      <c r="J268">
        <v>300</v>
      </c>
      <c r="S268">
        <v>0</v>
      </c>
      <c r="T268">
        <v>0</v>
      </c>
      <c r="U268">
        <v>0</v>
      </c>
      <c r="V268">
        <v>0</v>
      </c>
    </row>
    <row r="269" spans="1:22">
      <c r="A269" t="s">
        <v>232</v>
      </c>
      <c r="B269" s="3">
        <v>46176</v>
      </c>
      <c r="C269" t="s">
        <v>47</v>
      </c>
      <c r="D269" t="s">
        <v>52</v>
      </c>
      <c r="E269" t="s">
        <v>16</v>
      </c>
      <c r="F269" t="s">
        <v>17</v>
      </c>
      <c r="G269" t="s">
        <v>23</v>
      </c>
      <c r="H269" t="s">
        <v>19</v>
      </c>
      <c r="I269" t="s">
        <v>20</v>
      </c>
      <c r="J269">
        <v>120</v>
      </c>
      <c r="S269">
        <v>9.6</v>
      </c>
      <c r="T269">
        <v>0</v>
      </c>
      <c r="U269">
        <v>1</v>
      </c>
      <c r="V269">
        <v>0</v>
      </c>
    </row>
    <row r="270" spans="1:22">
      <c r="A270" t="s">
        <v>233</v>
      </c>
      <c r="B270" s="3">
        <v>46176</v>
      </c>
      <c r="C270" t="s">
        <v>47</v>
      </c>
      <c r="D270" t="s">
        <v>55</v>
      </c>
      <c r="E270" t="s">
        <v>16</v>
      </c>
      <c r="F270" t="s">
        <v>17</v>
      </c>
      <c r="G270" t="s">
        <v>18</v>
      </c>
      <c r="H270" t="s">
        <v>24</v>
      </c>
      <c r="I270" t="s">
        <v>20</v>
      </c>
      <c r="J270">
        <v>170</v>
      </c>
      <c r="L270" t="s">
        <v>29</v>
      </c>
      <c r="S270">
        <v>0</v>
      </c>
      <c r="T270">
        <v>0</v>
      </c>
      <c r="U270">
        <v>0</v>
      </c>
      <c r="V270">
        <v>0</v>
      </c>
    </row>
    <row r="271" spans="1:22">
      <c r="A271" t="s">
        <v>234</v>
      </c>
      <c r="B271" s="3">
        <v>46176</v>
      </c>
      <c r="C271" t="s">
        <v>47</v>
      </c>
      <c r="D271" t="s">
        <v>55</v>
      </c>
      <c r="E271" t="s">
        <v>16</v>
      </c>
      <c r="F271" t="s">
        <v>17</v>
      </c>
      <c r="G271" t="s">
        <v>18</v>
      </c>
      <c r="H271" t="s">
        <v>19</v>
      </c>
      <c r="I271" t="s">
        <v>20</v>
      </c>
      <c r="J271">
        <v>200</v>
      </c>
      <c r="S271">
        <v>20</v>
      </c>
      <c r="T271">
        <v>0</v>
      </c>
      <c r="U271">
        <v>1</v>
      </c>
      <c r="V271">
        <v>0</v>
      </c>
    </row>
    <row r="272" spans="1:22">
      <c r="A272" t="s">
        <v>235</v>
      </c>
      <c r="B272" s="3">
        <v>46176</v>
      </c>
      <c r="C272" t="s">
        <v>47</v>
      </c>
      <c r="D272" t="s">
        <v>71</v>
      </c>
      <c r="E272" t="s">
        <v>16</v>
      </c>
      <c r="F272" t="s">
        <v>17</v>
      </c>
      <c r="G272" t="s">
        <v>32</v>
      </c>
      <c r="H272" t="s">
        <v>19</v>
      </c>
      <c r="I272" t="s">
        <v>20</v>
      </c>
      <c r="J272">
        <v>300</v>
      </c>
      <c r="S272">
        <v>36</v>
      </c>
      <c r="T272">
        <v>0</v>
      </c>
      <c r="U272">
        <v>1</v>
      </c>
      <c r="V272">
        <v>0</v>
      </c>
    </row>
    <row r="273" spans="1:22">
      <c r="A273" t="s">
        <v>236</v>
      </c>
      <c r="B273" s="3">
        <v>46176</v>
      </c>
      <c r="C273" t="s">
        <v>47</v>
      </c>
      <c r="D273" t="s">
        <v>148</v>
      </c>
      <c r="E273" t="s">
        <v>16</v>
      </c>
      <c r="F273" t="s">
        <v>17</v>
      </c>
      <c r="G273" t="s">
        <v>18</v>
      </c>
      <c r="H273" t="s">
        <v>19</v>
      </c>
      <c r="I273" t="s">
        <v>20</v>
      </c>
      <c r="J273">
        <v>200</v>
      </c>
      <c r="S273">
        <v>20</v>
      </c>
      <c r="T273">
        <v>0</v>
      </c>
      <c r="U273">
        <v>1</v>
      </c>
      <c r="V273">
        <v>0</v>
      </c>
    </row>
    <row r="274" spans="1:22">
      <c r="A274" t="s">
        <v>237</v>
      </c>
      <c r="B274" s="3">
        <v>46176</v>
      </c>
      <c r="C274" t="s">
        <v>47</v>
      </c>
      <c r="D274" t="s">
        <v>48</v>
      </c>
      <c r="E274" t="s">
        <v>16</v>
      </c>
      <c r="F274" t="s">
        <v>17</v>
      </c>
      <c r="G274" t="s">
        <v>18</v>
      </c>
      <c r="H274" t="s">
        <v>19</v>
      </c>
      <c r="I274" t="s">
        <v>20</v>
      </c>
      <c r="J274">
        <v>200</v>
      </c>
      <c r="S274">
        <v>20</v>
      </c>
      <c r="T274">
        <v>0</v>
      </c>
      <c r="U274">
        <v>1</v>
      </c>
      <c r="V274">
        <v>0</v>
      </c>
    </row>
    <row r="275" spans="1:22">
      <c r="A275" t="s">
        <v>238</v>
      </c>
      <c r="B275" s="3">
        <v>46176</v>
      </c>
      <c r="C275" t="s">
        <v>47</v>
      </c>
      <c r="D275" t="s">
        <v>148</v>
      </c>
      <c r="E275" t="s">
        <v>16</v>
      </c>
      <c r="F275" t="s">
        <v>17</v>
      </c>
      <c r="G275" t="s">
        <v>23</v>
      </c>
      <c r="H275" t="s">
        <v>19</v>
      </c>
      <c r="I275" t="s">
        <v>20</v>
      </c>
      <c r="J275">
        <v>120</v>
      </c>
      <c r="S275">
        <v>9.6</v>
      </c>
      <c r="T275">
        <v>0</v>
      </c>
      <c r="U275">
        <v>1</v>
      </c>
      <c r="V275">
        <v>0</v>
      </c>
    </row>
    <row r="276" spans="1:22">
      <c r="A276" t="s">
        <v>239</v>
      </c>
      <c r="B276" s="3">
        <v>46176</v>
      </c>
      <c r="C276" t="s">
        <v>78</v>
      </c>
      <c r="D276" t="s">
        <v>97</v>
      </c>
      <c r="E276" t="s">
        <v>16</v>
      </c>
      <c r="F276" t="s">
        <v>17</v>
      </c>
      <c r="G276" t="s">
        <v>18</v>
      </c>
      <c r="H276" t="s">
        <v>19</v>
      </c>
      <c r="I276" t="s">
        <v>20</v>
      </c>
      <c r="J276">
        <v>200</v>
      </c>
      <c r="S276">
        <v>20</v>
      </c>
      <c r="T276">
        <v>0</v>
      </c>
      <c r="U276">
        <v>1</v>
      </c>
      <c r="V276">
        <v>0</v>
      </c>
    </row>
    <row r="277" spans="1:22">
      <c r="A277" t="s">
        <v>240</v>
      </c>
      <c r="B277" s="3">
        <v>46176</v>
      </c>
      <c r="C277" t="s">
        <v>78</v>
      </c>
      <c r="D277" t="s">
        <v>163</v>
      </c>
      <c r="E277" t="s">
        <v>16</v>
      </c>
      <c r="F277" t="s">
        <v>17</v>
      </c>
      <c r="G277" t="s">
        <v>18</v>
      </c>
      <c r="H277" t="s">
        <v>19</v>
      </c>
      <c r="I277" t="s">
        <v>20</v>
      </c>
      <c r="J277">
        <v>200</v>
      </c>
      <c r="S277">
        <v>20</v>
      </c>
      <c r="T277">
        <v>0</v>
      </c>
      <c r="U277">
        <v>1</v>
      </c>
      <c r="V277">
        <v>0</v>
      </c>
    </row>
    <row r="278" spans="1:22">
      <c r="A278" t="s">
        <v>241</v>
      </c>
      <c r="B278" s="3">
        <v>46176</v>
      </c>
      <c r="C278" t="s">
        <v>78</v>
      </c>
      <c r="D278" t="s">
        <v>242</v>
      </c>
      <c r="E278" t="s">
        <v>16</v>
      </c>
      <c r="F278" t="s">
        <v>17</v>
      </c>
      <c r="G278" t="s">
        <v>18</v>
      </c>
      <c r="H278" t="s">
        <v>19</v>
      </c>
      <c r="I278" t="s">
        <v>20</v>
      </c>
      <c r="J278">
        <v>200</v>
      </c>
      <c r="S278">
        <v>20</v>
      </c>
      <c r="T278">
        <v>0</v>
      </c>
      <c r="U278">
        <v>1</v>
      </c>
      <c r="V278">
        <v>0</v>
      </c>
    </row>
    <row r="279" spans="1:22">
      <c r="A279" t="s">
        <v>243</v>
      </c>
      <c r="B279" s="3">
        <v>46176</v>
      </c>
      <c r="C279" t="s">
        <v>78</v>
      </c>
      <c r="D279" t="s">
        <v>102</v>
      </c>
      <c r="E279" t="s">
        <v>16</v>
      </c>
      <c r="F279" t="s">
        <v>17</v>
      </c>
      <c r="G279" t="s">
        <v>18</v>
      </c>
      <c r="H279" t="s">
        <v>19</v>
      </c>
      <c r="I279" t="s">
        <v>20</v>
      </c>
      <c r="J279">
        <v>200</v>
      </c>
      <c r="S279">
        <v>20</v>
      </c>
      <c r="T279">
        <v>0</v>
      </c>
      <c r="U279">
        <v>1</v>
      </c>
      <c r="V279">
        <v>0</v>
      </c>
    </row>
    <row r="280" spans="1:22">
      <c r="A280" t="s">
        <v>244</v>
      </c>
      <c r="B280" s="3">
        <v>46176</v>
      </c>
      <c r="C280" t="s">
        <v>78</v>
      </c>
      <c r="D280" t="s">
        <v>102</v>
      </c>
      <c r="E280" t="s">
        <v>16</v>
      </c>
      <c r="F280" t="s">
        <v>35</v>
      </c>
      <c r="G280" t="s">
        <v>18</v>
      </c>
      <c r="H280" t="s">
        <v>19</v>
      </c>
      <c r="I280" t="s">
        <v>53</v>
      </c>
      <c r="J280">
        <v>200</v>
      </c>
      <c r="S280">
        <v>0</v>
      </c>
      <c r="T280">
        <v>0</v>
      </c>
      <c r="U280">
        <v>0</v>
      </c>
      <c r="V280">
        <v>0</v>
      </c>
    </row>
    <row r="281" spans="1:22">
      <c r="A281" t="s">
        <v>245</v>
      </c>
      <c r="B281" s="3">
        <v>46176</v>
      </c>
      <c r="C281" t="s">
        <v>78</v>
      </c>
      <c r="D281" t="s">
        <v>81</v>
      </c>
      <c r="E281" t="s">
        <v>16</v>
      </c>
      <c r="F281" t="s">
        <v>35</v>
      </c>
      <c r="G281" t="s">
        <v>18</v>
      </c>
      <c r="H281" t="s">
        <v>19</v>
      </c>
      <c r="I281" t="s">
        <v>20</v>
      </c>
      <c r="J281">
        <v>200</v>
      </c>
      <c r="S281">
        <v>6</v>
      </c>
      <c r="T281">
        <v>0</v>
      </c>
      <c r="U281">
        <v>0</v>
      </c>
      <c r="V281">
        <v>0</v>
      </c>
    </row>
    <row r="282" spans="1:22">
      <c r="A282" t="s">
        <v>246</v>
      </c>
      <c r="B282" s="3">
        <v>46176</v>
      </c>
      <c r="C282" t="s">
        <v>78</v>
      </c>
      <c r="D282" t="s">
        <v>102</v>
      </c>
      <c r="E282" t="s">
        <v>16</v>
      </c>
      <c r="F282" t="s">
        <v>17</v>
      </c>
      <c r="G282" t="s">
        <v>32</v>
      </c>
      <c r="H282" t="s">
        <v>19</v>
      </c>
      <c r="I282" t="s">
        <v>20</v>
      </c>
      <c r="J282">
        <v>300</v>
      </c>
      <c r="S282">
        <v>36</v>
      </c>
      <c r="T282">
        <v>0</v>
      </c>
      <c r="U282">
        <v>1</v>
      </c>
      <c r="V282">
        <v>0</v>
      </c>
    </row>
    <row r="283" spans="1:22">
      <c r="A283" t="s">
        <v>247</v>
      </c>
      <c r="B283" s="3">
        <v>46176</v>
      </c>
      <c r="C283" t="s">
        <v>78</v>
      </c>
      <c r="D283" t="s">
        <v>97</v>
      </c>
      <c r="E283" t="s">
        <v>16</v>
      </c>
      <c r="F283" t="s">
        <v>17</v>
      </c>
      <c r="G283" t="s">
        <v>23</v>
      </c>
      <c r="H283" t="s">
        <v>24</v>
      </c>
      <c r="I283" t="s">
        <v>20</v>
      </c>
      <c r="J283">
        <v>120</v>
      </c>
      <c r="S283">
        <v>0</v>
      </c>
      <c r="T283">
        <v>0</v>
      </c>
      <c r="U283">
        <v>0</v>
      </c>
      <c r="V283">
        <v>0</v>
      </c>
    </row>
    <row r="284" spans="1:22">
      <c r="A284" t="s">
        <v>248</v>
      </c>
      <c r="B284" s="3">
        <v>46176</v>
      </c>
      <c r="C284" t="s">
        <v>78</v>
      </c>
      <c r="D284" t="s">
        <v>161</v>
      </c>
      <c r="E284" t="s">
        <v>16</v>
      </c>
      <c r="F284" t="s">
        <v>17</v>
      </c>
      <c r="G284" t="s">
        <v>32</v>
      </c>
      <c r="H284" t="s">
        <v>19</v>
      </c>
      <c r="I284" t="s">
        <v>20</v>
      </c>
      <c r="J284">
        <v>300</v>
      </c>
      <c r="S284">
        <v>36</v>
      </c>
      <c r="T284">
        <v>0</v>
      </c>
      <c r="U284">
        <v>1</v>
      </c>
      <c r="V284">
        <v>0</v>
      </c>
    </row>
    <row r="285" spans="1:22">
      <c r="A285" t="s">
        <v>249</v>
      </c>
      <c r="B285" s="3">
        <v>46176</v>
      </c>
      <c r="C285" t="s">
        <v>78</v>
      </c>
      <c r="D285" t="s">
        <v>163</v>
      </c>
      <c r="E285" t="s">
        <v>16</v>
      </c>
      <c r="F285" t="s">
        <v>17</v>
      </c>
      <c r="G285" t="s">
        <v>18</v>
      </c>
      <c r="H285" t="s">
        <v>19</v>
      </c>
      <c r="I285" t="s">
        <v>20</v>
      </c>
      <c r="J285">
        <v>200</v>
      </c>
      <c r="S285">
        <v>20</v>
      </c>
      <c r="T285">
        <v>0</v>
      </c>
      <c r="U285">
        <v>1</v>
      </c>
      <c r="V285">
        <v>0</v>
      </c>
    </row>
    <row r="286" spans="1:22">
      <c r="A286" t="s">
        <v>250</v>
      </c>
      <c r="B286" s="3">
        <v>46176</v>
      </c>
      <c r="C286" t="s">
        <v>78</v>
      </c>
      <c r="D286" t="s">
        <v>161</v>
      </c>
      <c r="E286" t="s">
        <v>16</v>
      </c>
      <c r="F286" t="s">
        <v>17</v>
      </c>
      <c r="G286" t="s">
        <v>18</v>
      </c>
      <c r="H286" t="s">
        <v>19</v>
      </c>
      <c r="I286" t="s">
        <v>74</v>
      </c>
      <c r="J286">
        <v>200</v>
      </c>
      <c r="S286">
        <v>0</v>
      </c>
      <c r="T286">
        <v>0</v>
      </c>
      <c r="U286">
        <v>0</v>
      </c>
      <c r="V286">
        <v>0</v>
      </c>
    </row>
    <row r="287" spans="1:22">
      <c r="A287" t="s">
        <v>251</v>
      </c>
      <c r="B287" s="3">
        <v>46176</v>
      </c>
      <c r="C287" t="s">
        <v>78</v>
      </c>
      <c r="D287" t="s">
        <v>242</v>
      </c>
      <c r="E287" t="s">
        <v>16</v>
      </c>
      <c r="F287" t="s">
        <v>17</v>
      </c>
      <c r="G287" t="s">
        <v>23</v>
      </c>
      <c r="H287" t="s">
        <v>24</v>
      </c>
      <c r="I287" t="s">
        <v>20</v>
      </c>
      <c r="J287">
        <v>102</v>
      </c>
      <c r="L287" t="s">
        <v>29</v>
      </c>
      <c r="S287">
        <v>0</v>
      </c>
      <c r="T287">
        <v>0</v>
      </c>
      <c r="U287">
        <v>0</v>
      </c>
      <c r="V287">
        <v>0</v>
      </c>
    </row>
    <row r="288" spans="1:22">
      <c r="A288" t="s">
        <v>252</v>
      </c>
      <c r="B288" s="3">
        <v>46176</v>
      </c>
      <c r="C288" t="s">
        <v>78</v>
      </c>
      <c r="D288" t="s">
        <v>93</v>
      </c>
      <c r="E288" t="s">
        <v>16</v>
      </c>
      <c r="F288" t="s">
        <v>17</v>
      </c>
      <c r="G288" t="s">
        <v>18</v>
      </c>
      <c r="H288" t="s">
        <v>24</v>
      </c>
      <c r="I288" t="s">
        <v>20</v>
      </c>
      <c r="J288">
        <v>200</v>
      </c>
      <c r="S288">
        <v>0</v>
      </c>
      <c r="T288">
        <v>0</v>
      </c>
      <c r="U288">
        <v>0</v>
      </c>
      <c r="V288">
        <v>0</v>
      </c>
    </row>
    <row r="289" spans="1:22">
      <c r="A289" t="s">
        <v>253</v>
      </c>
      <c r="B289" s="3">
        <v>46176</v>
      </c>
      <c r="C289" t="s">
        <v>78</v>
      </c>
      <c r="D289" t="s">
        <v>85</v>
      </c>
      <c r="E289" t="s">
        <v>16</v>
      </c>
      <c r="F289" t="s">
        <v>17</v>
      </c>
      <c r="G289" t="s">
        <v>23</v>
      </c>
      <c r="H289" t="s">
        <v>19</v>
      </c>
      <c r="I289" t="s">
        <v>20</v>
      </c>
      <c r="J289">
        <v>120</v>
      </c>
      <c r="S289">
        <v>9.6</v>
      </c>
      <c r="T289">
        <v>0</v>
      </c>
      <c r="U289">
        <v>1</v>
      </c>
      <c r="V289">
        <v>0</v>
      </c>
    </row>
    <row r="290" spans="1:22">
      <c r="A290" t="s">
        <v>254</v>
      </c>
      <c r="B290" s="3">
        <v>46176</v>
      </c>
      <c r="C290" t="s">
        <v>105</v>
      </c>
      <c r="D290" t="s">
        <v>108</v>
      </c>
      <c r="E290" t="s">
        <v>16</v>
      </c>
      <c r="F290" t="s">
        <v>17</v>
      </c>
      <c r="G290" t="s">
        <v>32</v>
      </c>
      <c r="H290" t="s">
        <v>19</v>
      </c>
      <c r="I290" t="s">
        <v>20</v>
      </c>
      <c r="J290">
        <v>300</v>
      </c>
      <c r="S290">
        <v>36</v>
      </c>
      <c r="T290">
        <v>0</v>
      </c>
      <c r="U290">
        <v>1</v>
      </c>
      <c r="V290">
        <v>0</v>
      </c>
    </row>
    <row r="291" spans="1:22">
      <c r="A291" t="s">
        <v>255</v>
      </c>
      <c r="B291" s="3">
        <v>46176</v>
      </c>
      <c r="C291" t="s">
        <v>105</v>
      </c>
      <c r="D291" t="s">
        <v>191</v>
      </c>
      <c r="E291" t="s">
        <v>16</v>
      </c>
      <c r="F291" t="s">
        <v>17</v>
      </c>
      <c r="G291" t="s">
        <v>18</v>
      </c>
      <c r="H291" t="s">
        <v>19</v>
      </c>
      <c r="I291" t="s">
        <v>20</v>
      </c>
      <c r="J291">
        <v>200</v>
      </c>
      <c r="S291">
        <v>20</v>
      </c>
      <c r="T291">
        <v>0</v>
      </c>
      <c r="U291">
        <v>1</v>
      </c>
      <c r="V291">
        <v>0</v>
      </c>
    </row>
    <row r="292" spans="1:22">
      <c r="A292" t="s">
        <v>256</v>
      </c>
      <c r="B292" s="3">
        <v>46176</v>
      </c>
      <c r="C292" t="s">
        <v>105</v>
      </c>
      <c r="D292" t="s">
        <v>116</v>
      </c>
      <c r="E292" t="s">
        <v>16</v>
      </c>
      <c r="F292" t="s">
        <v>17</v>
      </c>
      <c r="G292" t="s">
        <v>32</v>
      </c>
      <c r="H292" t="s">
        <v>19</v>
      </c>
      <c r="I292" t="s">
        <v>74</v>
      </c>
      <c r="J292">
        <v>300</v>
      </c>
      <c r="S292">
        <v>0</v>
      </c>
      <c r="T292">
        <v>0</v>
      </c>
      <c r="U292">
        <v>0</v>
      </c>
      <c r="V292">
        <v>0</v>
      </c>
    </row>
    <row r="293" spans="1:22">
      <c r="A293" t="s">
        <v>257</v>
      </c>
      <c r="B293" s="3">
        <v>46176</v>
      </c>
      <c r="C293" t="s">
        <v>105</v>
      </c>
      <c r="D293" t="s">
        <v>108</v>
      </c>
      <c r="E293" t="s">
        <v>16</v>
      </c>
      <c r="F293" t="s">
        <v>17</v>
      </c>
      <c r="G293" t="s">
        <v>23</v>
      </c>
      <c r="H293" t="s">
        <v>19</v>
      </c>
      <c r="I293" t="s">
        <v>20</v>
      </c>
      <c r="J293">
        <v>120</v>
      </c>
      <c r="S293">
        <v>9.6</v>
      </c>
      <c r="T293">
        <v>0</v>
      </c>
      <c r="U293">
        <v>1</v>
      </c>
      <c r="V293">
        <v>0</v>
      </c>
    </row>
    <row r="294" spans="1:22">
      <c r="A294" t="s">
        <v>258</v>
      </c>
      <c r="B294" s="3">
        <v>46176</v>
      </c>
      <c r="C294" t="s">
        <v>105</v>
      </c>
      <c r="D294" t="s">
        <v>108</v>
      </c>
      <c r="E294" t="s">
        <v>16</v>
      </c>
      <c r="F294" t="s">
        <v>17</v>
      </c>
      <c r="G294" t="s">
        <v>32</v>
      </c>
      <c r="H294" t="s">
        <v>19</v>
      </c>
      <c r="I294" t="s">
        <v>20</v>
      </c>
      <c r="J294">
        <v>300</v>
      </c>
      <c r="S294">
        <v>36</v>
      </c>
      <c r="T294">
        <v>0</v>
      </c>
      <c r="U294">
        <v>1</v>
      </c>
      <c r="V294">
        <v>0</v>
      </c>
    </row>
    <row r="295" spans="1:22">
      <c r="A295" t="s">
        <v>259</v>
      </c>
      <c r="B295" s="3">
        <v>46176</v>
      </c>
      <c r="C295" t="s">
        <v>105</v>
      </c>
      <c r="D295" t="s">
        <v>191</v>
      </c>
      <c r="E295" t="s">
        <v>16</v>
      </c>
      <c r="F295" t="s">
        <v>17</v>
      </c>
      <c r="G295" t="s">
        <v>23</v>
      </c>
      <c r="H295" t="s">
        <v>19</v>
      </c>
      <c r="I295" t="s">
        <v>20</v>
      </c>
      <c r="J295">
        <v>102</v>
      </c>
      <c r="L295" t="s">
        <v>29</v>
      </c>
      <c r="S295">
        <v>8.16</v>
      </c>
      <c r="T295">
        <v>0</v>
      </c>
      <c r="U295">
        <v>1</v>
      </c>
      <c r="V295">
        <v>0</v>
      </c>
    </row>
    <row r="296" spans="1:22">
      <c r="A296" t="s">
        <v>260</v>
      </c>
      <c r="B296" s="3">
        <v>46176</v>
      </c>
      <c r="C296" t="s">
        <v>105</v>
      </c>
      <c r="D296" t="s">
        <v>118</v>
      </c>
      <c r="E296" t="s">
        <v>16</v>
      </c>
      <c r="F296" t="s">
        <v>17</v>
      </c>
      <c r="G296" t="s">
        <v>32</v>
      </c>
      <c r="H296" t="s">
        <v>19</v>
      </c>
      <c r="I296" t="s">
        <v>20</v>
      </c>
      <c r="J296">
        <v>300</v>
      </c>
      <c r="S296">
        <v>36</v>
      </c>
      <c r="T296">
        <v>0</v>
      </c>
      <c r="U296">
        <v>1</v>
      </c>
      <c r="V296">
        <v>0</v>
      </c>
    </row>
    <row r="297" spans="1:22">
      <c r="A297" t="s">
        <v>261</v>
      </c>
      <c r="B297" s="3">
        <v>46176</v>
      </c>
      <c r="C297" t="s">
        <v>105</v>
      </c>
      <c r="D297" t="s">
        <v>194</v>
      </c>
      <c r="E297" t="s">
        <v>16</v>
      </c>
      <c r="F297" t="s">
        <v>17</v>
      </c>
      <c r="G297" t="s">
        <v>32</v>
      </c>
      <c r="H297" t="s">
        <v>19</v>
      </c>
      <c r="I297" t="s">
        <v>20</v>
      </c>
      <c r="J297">
        <v>300</v>
      </c>
      <c r="S297">
        <v>36</v>
      </c>
      <c r="T297">
        <v>0</v>
      </c>
      <c r="U297">
        <v>1</v>
      </c>
      <c r="V297">
        <v>0</v>
      </c>
    </row>
    <row r="298" spans="1:22">
      <c r="A298" t="s">
        <v>262</v>
      </c>
      <c r="B298" s="3">
        <v>46176</v>
      </c>
      <c r="C298" t="s">
        <v>105</v>
      </c>
      <c r="D298" t="s">
        <v>118</v>
      </c>
      <c r="E298" t="s">
        <v>16</v>
      </c>
      <c r="F298" t="s">
        <v>17</v>
      </c>
      <c r="G298" t="s">
        <v>18</v>
      </c>
      <c r="H298" t="s">
        <v>19</v>
      </c>
      <c r="I298" t="s">
        <v>20</v>
      </c>
      <c r="J298">
        <v>200</v>
      </c>
      <c r="S298">
        <v>20</v>
      </c>
      <c r="T298">
        <v>0</v>
      </c>
      <c r="U298">
        <v>1</v>
      </c>
      <c r="V298">
        <v>0</v>
      </c>
    </row>
    <row r="299" spans="1:22">
      <c r="A299" t="s">
        <v>263</v>
      </c>
      <c r="B299" s="3">
        <v>46176</v>
      </c>
      <c r="C299" t="s">
        <v>105</v>
      </c>
      <c r="D299" t="s">
        <v>110</v>
      </c>
      <c r="E299" t="s">
        <v>16</v>
      </c>
      <c r="F299" t="s">
        <v>35</v>
      </c>
      <c r="G299" t="s">
        <v>18</v>
      </c>
      <c r="H299" t="s">
        <v>19</v>
      </c>
      <c r="I299" t="s">
        <v>20</v>
      </c>
      <c r="J299">
        <v>200</v>
      </c>
      <c r="S299">
        <v>6</v>
      </c>
      <c r="T299">
        <v>0</v>
      </c>
      <c r="U299">
        <v>0</v>
      </c>
      <c r="V299">
        <v>0</v>
      </c>
    </row>
    <row r="300" spans="1:22">
      <c r="A300" t="s">
        <v>264</v>
      </c>
      <c r="B300" s="3">
        <v>46176</v>
      </c>
      <c r="C300" t="s">
        <v>105</v>
      </c>
      <c r="D300" t="s">
        <v>265</v>
      </c>
      <c r="E300" t="s">
        <v>16</v>
      </c>
      <c r="F300" t="s">
        <v>35</v>
      </c>
      <c r="G300" t="s">
        <v>23</v>
      </c>
      <c r="H300" t="s">
        <v>24</v>
      </c>
      <c r="I300" t="s">
        <v>20</v>
      </c>
      <c r="J300">
        <v>120</v>
      </c>
      <c r="S300">
        <v>0</v>
      </c>
      <c r="T300">
        <v>0</v>
      </c>
      <c r="U300">
        <v>0</v>
      </c>
      <c r="V300">
        <v>0</v>
      </c>
    </row>
    <row r="301" spans="1:22">
      <c r="A301" t="s">
        <v>266</v>
      </c>
      <c r="B301" s="3">
        <v>46176</v>
      </c>
      <c r="C301" t="s">
        <v>105</v>
      </c>
      <c r="D301" t="s">
        <v>191</v>
      </c>
      <c r="E301" t="s">
        <v>16</v>
      </c>
      <c r="F301" t="s">
        <v>17</v>
      </c>
      <c r="G301" t="s">
        <v>23</v>
      </c>
      <c r="H301" t="s">
        <v>19</v>
      </c>
      <c r="I301" t="s">
        <v>20</v>
      </c>
      <c r="J301">
        <v>120</v>
      </c>
      <c r="S301">
        <v>9.6</v>
      </c>
      <c r="T301">
        <v>0</v>
      </c>
      <c r="U301">
        <v>1</v>
      </c>
      <c r="V301">
        <v>0</v>
      </c>
    </row>
    <row r="302" spans="1:22">
      <c r="A302" t="s">
        <v>267</v>
      </c>
      <c r="B302" s="3">
        <v>46176</v>
      </c>
      <c r="C302" t="s">
        <v>105</v>
      </c>
      <c r="D302" t="s">
        <v>106</v>
      </c>
      <c r="E302" t="s">
        <v>16</v>
      </c>
      <c r="F302" t="s">
        <v>35</v>
      </c>
      <c r="G302" t="s">
        <v>32</v>
      </c>
      <c r="H302" t="s">
        <v>19</v>
      </c>
      <c r="I302" t="s">
        <v>53</v>
      </c>
      <c r="J302">
        <v>300</v>
      </c>
      <c r="S302">
        <v>0</v>
      </c>
      <c r="T302">
        <v>0</v>
      </c>
      <c r="U302">
        <v>0</v>
      </c>
      <c r="V302">
        <v>0</v>
      </c>
    </row>
    <row r="303" spans="1:22">
      <c r="A303" t="s">
        <v>268</v>
      </c>
      <c r="B303" s="3">
        <v>46176</v>
      </c>
      <c r="C303" t="s">
        <v>105</v>
      </c>
      <c r="D303" t="s">
        <v>110</v>
      </c>
      <c r="E303" t="s">
        <v>16</v>
      </c>
      <c r="F303" t="s">
        <v>17</v>
      </c>
      <c r="G303" t="s">
        <v>32</v>
      </c>
      <c r="H303" t="s">
        <v>19</v>
      </c>
      <c r="I303" t="s">
        <v>20</v>
      </c>
      <c r="J303">
        <v>300</v>
      </c>
      <c r="S303">
        <v>36</v>
      </c>
      <c r="T303">
        <v>0</v>
      </c>
      <c r="U303">
        <v>1</v>
      </c>
      <c r="V303">
        <v>0</v>
      </c>
    </row>
    <row r="304" spans="1:22">
      <c r="A304" t="s">
        <v>270</v>
      </c>
      <c r="B304" s="3">
        <v>46176</v>
      </c>
      <c r="C304" t="s">
        <v>105</v>
      </c>
      <c r="D304" t="s">
        <v>112</v>
      </c>
      <c r="E304" t="s">
        <v>16</v>
      </c>
      <c r="F304" t="s">
        <v>17</v>
      </c>
      <c r="G304" t="s">
        <v>18</v>
      </c>
      <c r="H304" t="s">
        <v>19</v>
      </c>
      <c r="I304" t="s">
        <v>20</v>
      </c>
      <c r="J304">
        <v>200</v>
      </c>
      <c r="S304">
        <v>20</v>
      </c>
      <c r="T304">
        <v>0</v>
      </c>
      <c r="U304">
        <v>1</v>
      </c>
      <c r="V304">
        <v>0</v>
      </c>
    </row>
    <row r="305" spans="1:22">
      <c r="A305" t="s">
        <v>271</v>
      </c>
      <c r="B305" s="3">
        <v>46177</v>
      </c>
      <c r="C305" t="s">
        <v>14</v>
      </c>
      <c r="D305" t="s">
        <v>137</v>
      </c>
      <c r="E305" t="s">
        <v>16</v>
      </c>
      <c r="F305" t="s">
        <v>17</v>
      </c>
      <c r="G305" t="s">
        <v>23</v>
      </c>
      <c r="H305" t="s">
        <v>19</v>
      </c>
      <c r="I305" t="s">
        <v>20</v>
      </c>
      <c r="J305">
        <v>120</v>
      </c>
      <c r="S305">
        <v>9.6</v>
      </c>
      <c r="T305">
        <v>0</v>
      </c>
      <c r="U305">
        <v>1</v>
      </c>
      <c r="V305">
        <v>0</v>
      </c>
    </row>
    <row r="306" spans="1:22">
      <c r="A306" t="s">
        <v>273</v>
      </c>
      <c r="B306" s="3">
        <v>46177</v>
      </c>
      <c r="C306" t="s">
        <v>14</v>
      </c>
      <c r="D306" t="s">
        <v>28</v>
      </c>
      <c r="E306" t="s">
        <v>16</v>
      </c>
      <c r="F306" t="s">
        <v>17</v>
      </c>
      <c r="G306" t="s">
        <v>32</v>
      </c>
      <c r="H306" t="s">
        <v>24</v>
      </c>
      <c r="I306" t="s">
        <v>20</v>
      </c>
      <c r="J306">
        <v>300</v>
      </c>
      <c r="S306">
        <v>0</v>
      </c>
      <c r="T306">
        <v>0</v>
      </c>
      <c r="U306">
        <v>0</v>
      </c>
      <c r="V306">
        <v>0</v>
      </c>
    </row>
    <row r="307" spans="1:22">
      <c r="A307" t="s">
        <v>274</v>
      </c>
      <c r="B307" s="3">
        <v>46177</v>
      </c>
      <c r="C307" t="s">
        <v>14</v>
      </c>
      <c r="D307" t="s">
        <v>34</v>
      </c>
      <c r="E307" t="s">
        <v>16</v>
      </c>
      <c r="F307" t="s">
        <v>17</v>
      </c>
      <c r="G307" t="s">
        <v>32</v>
      </c>
      <c r="H307" t="s">
        <v>19</v>
      </c>
      <c r="I307" t="s">
        <v>20</v>
      </c>
      <c r="J307">
        <v>300</v>
      </c>
      <c r="S307">
        <v>36</v>
      </c>
      <c r="T307">
        <v>0</v>
      </c>
      <c r="U307">
        <v>1</v>
      </c>
      <c r="V307">
        <v>0</v>
      </c>
    </row>
    <row r="308" spans="1:22">
      <c r="A308" t="s">
        <v>275</v>
      </c>
      <c r="B308" s="3">
        <v>46177</v>
      </c>
      <c r="C308" t="s">
        <v>14</v>
      </c>
      <c r="D308" t="s">
        <v>42</v>
      </c>
      <c r="E308" t="s">
        <v>16</v>
      </c>
      <c r="F308" t="s">
        <v>35</v>
      </c>
      <c r="G308" t="s">
        <v>18</v>
      </c>
      <c r="H308" t="s">
        <v>19</v>
      </c>
      <c r="I308" t="s">
        <v>20</v>
      </c>
      <c r="J308">
        <v>200</v>
      </c>
      <c r="S308">
        <v>6</v>
      </c>
      <c r="T308">
        <v>0</v>
      </c>
      <c r="U308">
        <v>0</v>
      </c>
      <c r="V308">
        <v>0</v>
      </c>
    </row>
    <row r="309" spans="1:22">
      <c r="A309" t="s">
        <v>276</v>
      </c>
      <c r="B309" s="3">
        <v>46177</v>
      </c>
      <c r="C309" t="s">
        <v>14</v>
      </c>
      <c r="D309" t="s">
        <v>22</v>
      </c>
      <c r="E309" t="s">
        <v>16</v>
      </c>
      <c r="F309" t="s">
        <v>17</v>
      </c>
      <c r="G309" t="s">
        <v>18</v>
      </c>
      <c r="H309" t="s">
        <v>19</v>
      </c>
      <c r="I309" t="s">
        <v>20</v>
      </c>
      <c r="J309">
        <v>200</v>
      </c>
      <c r="S309">
        <v>20</v>
      </c>
      <c r="T309">
        <v>0</v>
      </c>
      <c r="U309">
        <v>1</v>
      </c>
      <c r="V309">
        <v>0</v>
      </c>
    </row>
    <row r="310" spans="1:22">
      <c r="A310" t="s">
        <v>277</v>
      </c>
      <c r="B310" s="3">
        <v>46177</v>
      </c>
      <c r="C310" t="s">
        <v>14</v>
      </c>
      <c r="D310" t="s">
        <v>15</v>
      </c>
      <c r="E310" t="s">
        <v>16</v>
      </c>
      <c r="F310" t="s">
        <v>35</v>
      </c>
      <c r="G310" t="s">
        <v>18</v>
      </c>
      <c r="H310" t="s">
        <v>19</v>
      </c>
      <c r="I310" t="s">
        <v>20</v>
      </c>
      <c r="J310">
        <v>150</v>
      </c>
      <c r="L310" t="s">
        <v>29</v>
      </c>
      <c r="S310">
        <v>4.5</v>
      </c>
      <c r="T310">
        <v>0</v>
      </c>
      <c r="U310">
        <v>0</v>
      </c>
      <c r="V310">
        <v>0</v>
      </c>
    </row>
    <row r="311" spans="1:22">
      <c r="A311" t="s">
        <v>278</v>
      </c>
      <c r="B311" s="3">
        <v>46177</v>
      </c>
      <c r="C311" t="s">
        <v>14</v>
      </c>
      <c r="D311" t="s">
        <v>42</v>
      </c>
      <c r="E311" t="s">
        <v>16</v>
      </c>
      <c r="F311" t="s">
        <v>17</v>
      </c>
      <c r="G311" t="s">
        <v>18</v>
      </c>
      <c r="H311" t="s">
        <v>19</v>
      </c>
      <c r="I311" t="s">
        <v>20</v>
      </c>
      <c r="J311">
        <v>170</v>
      </c>
      <c r="L311" t="s">
        <v>29</v>
      </c>
      <c r="S311">
        <v>17</v>
      </c>
      <c r="T311">
        <v>0</v>
      </c>
      <c r="U311">
        <v>1</v>
      </c>
      <c r="V311">
        <v>0</v>
      </c>
    </row>
    <row r="312" spans="1:22">
      <c r="A312" t="s">
        <v>279</v>
      </c>
      <c r="B312" s="3">
        <v>46177</v>
      </c>
      <c r="C312" t="s">
        <v>14</v>
      </c>
      <c r="D312" t="s">
        <v>42</v>
      </c>
      <c r="E312" t="s">
        <v>16</v>
      </c>
      <c r="F312" t="s">
        <v>17</v>
      </c>
      <c r="G312" t="s">
        <v>32</v>
      </c>
      <c r="H312" t="s">
        <v>19</v>
      </c>
      <c r="I312" t="s">
        <v>20</v>
      </c>
      <c r="J312">
        <v>300</v>
      </c>
      <c r="S312">
        <v>36</v>
      </c>
      <c r="T312">
        <v>0</v>
      </c>
      <c r="U312">
        <v>1</v>
      </c>
      <c r="V312">
        <v>0</v>
      </c>
    </row>
    <row r="313" spans="1:22">
      <c r="A313" t="s">
        <v>280</v>
      </c>
      <c r="B313" s="3">
        <v>46177</v>
      </c>
      <c r="C313" t="s">
        <v>14</v>
      </c>
      <c r="D313" t="s">
        <v>22</v>
      </c>
      <c r="E313" t="s">
        <v>16</v>
      </c>
      <c r="F313" t="s">
        <v>17</v>
      </c>
      <c r="G313" t="s">
        <v>23</v>
      </c>
      <c r="H313" t="s">
        <v>24</v>
      </c>
      <c r="I313" t="s">
        <v>20</v>
      </c>
      <c r="J313">
        <v>102</v>
      </c>
      <c r="L313" t="s">
        <v>29</v>
      </c>
      <c r="S313">
        <v>0</v>
      </c>
      <c r="T313">
        <v>0</v>
      </c>
      <c r="U313">
        <v>0</v>
      </c>
      <c r="V313">
        <v>0</v>
      </c>
    </row>
    <row r="314" spans="1:22">
      <c r="A314" t="s">
        <v>281</v>
      </c>
      <c r="B314" s="3">
        <v>46177</v>
      </c>
      <c r="C314" t="s">
        <v>14</v>
      </c>
      <c r="D314" t="s">
        <v>31</v>
      </c>
      <c r="E314" t="s">
        <v>16</v>
      </c>
      <c r="F314" t="s">
        <v>17</v>
      </c>
      <c r="G314" t="s">
        <v>23</v>
      </c>
      <c r="H314" t="s">
        <v>19</v>
      </c>
      <c r="I314" t="s">
        <v>20</v>
      </c>
      <c r="J314">
        <v>120</v>
      </c>
      <c r="S314">
        <v>9.6</v>
      </c>
      <c r="T314">
        <v>0</v>
      </c>
      <c r="U314">
        <v>1</v>
      </c>
      <c r="V314">
        <v>0</v>
      </c>
    </row>
    <row r="315" spans="1:22">
      <c r="A315" t="s">
        <v>282</v>
      </c>
      <c r="B315" s="3">
        <v>46177</v>
      </c>
      <c r="C315" t="s">
        <v>14</v>
      </c>
      <c r="D315" t="s">
        <v>34</v>
      </c>
      <c r="E315" t="s">
        <v>16</v>
      </c>
      <c r="F315" t="s">
        <v>17</v>
      </c>
      <c r="G315" t="s">
        <v>23</v>
      </c>
      <c r="H315" t="s">
        <v>19</v>
      </c>
      <c r="I315" t="s">
        <v>20</v>
      </c>
      <c r="J315">
        <v>120</v>
      </c>
      <c r="S315">
        <v>9.6</v>
      </c>
      <c r="T315">
        <v>0</v>
      </c>
      <c r="U315">
        <v>1</v>
      </c>
      <c r="V315">
        <v>0</v>
      </c>
    </row>
    <row r="316" spans="1:22">
      <c r="A316" t="s">
        <v>283</v>
      </c>
      <c r="B316" s="3">
        <v>46177</v>
      </c>
      <c r="C316" t="s">
        <v>14</v>
      </c>
      <c r="D316" t="s">
        <v>42</v>
      </c>
      <c r="E316" t="s">
        <v>16</v>
      </c>
      <c r="F316" t="s">
        <v>17</v>
      </c>
      <c r="G316" t="s">
        <v>18</v>
      </c>
      <c r="H316" t="s">
        <v>19</v>
      </c>
      <c r="I316" t="s">
        <v>20</v>
      </c>
      <c r="J316">
        <v>200</v>
      </c>
      <c r="S316">
        <v>20</v>
      </c>
      <c r="T316">
        <v>0</v>
      </c>
      <c r="U316">
        <v>1</v>
      </c>
      <c r="V316">
        <v>0</v>
      </c>
    </row>
    <row r="317" spans="1:22">
      <c r="A317" t="s">
        <v>284</v>
      </c>
      <c r="B317" s="3">
        <v>46177</v>
      </c>
      <c r="C317" t="s">
        <v>14</v>
      </c>
      <c r="D317" t="s">
        <v>40</v>
      </c>
      <c r="E317" t="s">
        <v>16</v>
      </c>
      <c r="F317" t="s">
        <v>17</v>
      </c>
      <c r="G317" t="s">
        <v>23</v>
      </c>
      <c r="H317" t="s">
        <v>19</v>
      </c>
      <c r="I317" t="s">
        <v>20</v>
      </c>
      <c r="J317">
        <v>120</v>
      </c>
      <c r="S317">
        <v>9.6</v>
      </c>
      <c r="T317">
        <v>0</v>
      </c>
      <c r="U317">
        <v>1</v>
      </c>
      <c r="V317">
        <v>0</v>
      </c>
    </row>
    <row r="318" spans="1:22">
      <c r="A318" t="s">
        <v>285</v>
      </c>
      <c r="B318" s="3">
        <v>46177</v>
      </c>
      <c r="C318" t="s">
        <v>14</v>
      </c>
      <c r="D318" t="s">
        <v>31</v>
      </c>
      <c r="E318" t="s">
        <v>16</v>
      </c>
      <c r="F318" t="s">
        <v>17</v>
      </c>
      <c r="G318" t="s">
        <v>18</v>
      </c>
      <c r="H318" t="s">
        <v>19</v>
      </c>
      <c r="I318" t="s">
        <v>20</v>
      </c>
      <c r="J318">
        <v>200</v>
      </c>
      <c r="S318">
        <v>20</v>
      </c>
      <c r="T318">
        <v>0</v>
      </c>
      <c r="U318">
        <v>1</v>
      </c>
      <c r="V318">
        <v>0</v>
      </c>
    </row>
    <row r="319" spans="1:22">
      <c r="A319" t="s">
        <v>286</v>
      </c>
      <c r="B319" s="3">
        <v>46177</v>
      </c>
      <c r="C319" t="s">
        <v>14</v>
      </c>
      <c r="D319" t="s">
        <v>31</v>
      </c>
      <c r="E319" t="s">
        <v>16</v>
      </c>
      <c r="F319" t="s">
        <v>17</v>
      </c>
      <c r="G319" t="s">
        <v>32</v>
      </c>
      <c r="H319" t="s">
        <v>19</v>
      </c>
      <c r="I319" t="s">
        <v>20</v>
      </c>
      <c r="J319">
        <v>300</v>
      </c>
      <c r="S319">
        <v>36</v>
      </c>
      <c r="T319">
        <v>0</v>
      </c>
      <c r="U319">
        <v>1</v>
      </c>
      <c r="V319">
        <v>0</v>
      </c>
    </row>
    <row r="320" spans="1:22">
      <c r="A320" t="s">
        <v>287</v>
      </c>
      <c r="B320" s="3">
        <v>46177</v>
      </c>
      <c r="C320" t="s">
        <v>14</v>
      </c>
      <c r="D320" t="s">
        <v>210</v>
      </c>
      <c r="E320" t="s">
        <v>16</v>
      </c>
      <c r="F320" t="s">
        <v>17</v>
      </c>
      <c r="G320" t="s">
        <v>18</v>
      </c>
      <c r="H320" t="s">
        <v>19</v>
      </c>
      <c r="I320" t="s">
        <v>20</v>
      </c>
      <c r="J320">
        <v>200</v>
      </c>
      <c r="S320">
        <v>20</v>
      </c>
      <c r="T320">
        <v>0</v>
      </c>
      <c r="U320">
        <v>1</v>
      </c>
      <c r="V320">
        <v>0</v>
      </c>
    </row>
    <row r="321" spans="1:22">
      <c r="A321" t="s">
        <v>288</v>
      </c>
      <c r="B321" s="3">
        <v>46177</v>
      </c>
      <c r="C321" t="s">
        <v>14</v>
      </c>
      <c r="D321" t="s">
        <v>40</v>
      </c>
      <c r="E321" t="s">
        <v>16</v>
      </c>
      <c r="F321" t="s">
        <v>17</v>
      </c>
      <c r="G321" t="s">
        <v>32</v>
      </c>
      <c r="H321" t="s">
        <v>19</v>
      </c>
      <c r="I321" t="s">
        <v>20</v>
      </c>
      <c r="J321">
        <v>300</v>
      </c>
      <c r="S321">
        <v>36</v>
      </c>
      <c r="T321">
        <v>0</v>
      </c>
      <c r="U321">
        <v>1</v>
      </c>
      <c r="V321">
        <v>0</v>
      </c>
    </row>
    <row r="322" spans="1:22">
      <c r="A322" t="s">
        <v>289</v>
      </c>
      <c r="B322" s="3">
        <v>46177</v>
      </c>
      <c r="C322" t="s">
        <v>14</v>
      </c>
      <c r="D322" t="s">
        <v>137</v>
      </c>
      <c r="E322" t="s">
        <v>16</v>
      </c>
      <c r="F322" t="s">
        <v>17</v>
      </c>
      <c r="G322" t="s">
        <v>32</v>
      </c>
      <c r="H322" t="s">
        <v>19</v>
      </c>
      <c r="I322" t="s">
        <v>20</v>
      </c>
      <c r="J322">
        <v>300</v>
      </c>
      <c r="S322">
        <v>36</v>
      </c>
      <c r="T322">
        <v>0</v>
      </c>
      <c r="U322">
        <v>1</v>
      </c>
      <c r="V322">
        <v>0</v>
      </c>
    </row>
    <row r="323" spans="1:22">
      <c r="A323" t="s">
        <v>290</v>
      </c>
      <c r="B323" s="3">
        <v>46177</v>
      </c>
      <c r="C323" t="s">
        <v>14</v>
      </c>
      <c r="D323" t="s">
        <v>40</v>
      </c>
      <c r="E323" t="s">
        <v>16</v>
      </c>
      <c r="F323" t="s">
        <v>17</v>
      </c>
      <c r="G323" t="s">
        <v>18</v>
      </c>
      <c r="H323" t="s">
        <v>19</v>
      </c>
      <c r="I323" t="s">
        <v>20</v>
      </c>
      <c r="J323">
        <v>150</v>
      </c>
      <c r="L323" t="s">
        <v>29</v>
      </c>
      <c r="S323">
        <v>15</v>
      </c>
      <c r="T323">
        <v>0</v>
      </c>
      <c r="U323">
        <v>1</v>
      </c>
      <c r="V323">
        <v>0</v>
      </c>
    </row>
    <row r="324" spans="1:22">
      <c r="A324" t="s">
        <v>291</v>
      </c>
      <c r="B324" s="3">
        <v>46177</v>
      </c>
      <c r="C324" t="s">
        <v>47</v>
      </c>
      <c r="D324" t="s">
        <v>148</v>
      </c>
      <c r="E324" t="s">
        <v>16</v>
      </c>
      <c r="F324" t="s">
        <v>17</v>
      </c>
      <c r="G324" t="s">
        <v>23</v>
      </c>
      <c r="H324" t="s">
        <v>24</v>
      </c>
      <c r="I324" t="s">
        <v>20</v>
      </c>
      <c r="J324">
        <v>120</v>
      </c>
      <c r="S324">
        <v>0</v>
      </c>
      <c r="T324">
        <v>0</v>
      </c>
      <c r="U324">
        <v>0</v>
      </c>
      <c r="V324">
        <v>0</v>
      </c>
    </row>
    <row r="325" spans="1:22">
      <c r="A325" t="s">
        <v>292</v>
      </c>
      <c r="B325" s="3">
        <v>46177</v>
      </c>
      <c r="C325" t="s">
        <v>47</v>
      </c>
      <c r="D325" t="s">
        <v>55</v>
      </c>
      <c r="E325" t="s">
        <v>16</v>
      </c>
      <c r="F325" t="s">
        <v>17</v>
      </c>
      <c r="G325" t="s">
        <v>18</v>
      </c>
      <c r="H325" t="s">
        <v>19</v>
      </c>
      <c r="I325" t="s">
        <v>20</v>
      </c>
      <c r="J325">
        <v>200</v>
      </c>
      <c r="S325">
        <v>20</v>
      </c>
      <c r="T325">
        <v>0</v>
      </c>
      <c r="U325">
        <v>1</v>
      </c>
      <c r="V325">
        <v>0</v>
      </c>
    </row>
    <row r="326" spans="1:22">
      <c r="A326" t="s">
        <v>293</v>
      </c>
      <c r="B326" s="3">
        <v>46177</v>
      </c>
      <c r="C326" t="s">
        <v>47</v>
      </c>
      <c r="D326" t="s">
        <v>152</v>
      </c>
      <c r="E326" t="s">
        <v>16</v>
      </c>
      <c r="F326" t="s">
        <v>17</v>
      </c>
      <c r="G326" t="s">
        <v>32</v>
      </c>
      <c r="H326" t="s">
        <v>19</v>
      </c>
      <c r="I326" t="s">
        <v>20</v>
      </c>
      <c r="J326">
        <v>300</v>
      </c>
      <c r="S326">
        <v>36</v>
      </c>
      <c r="T326">
        <v>0</v>
      </c>
      <c r="U326">
        <v>1</v>
      </c>
      <c r="V326">
        <v>0</v>
      </c>
    </row>
    <row r="327" spans="1:22">
      <c r="A327" t="s">
        <v>294</v>
      </c>
      <c r="B327" s="3">
        <v>46177</v>
      </c>
      <c r="C327" t="s">
        <v>47</v>
      </c>
      <c r="D327" t="s">
        <v>66</v>
      </c>
      <c r="E327" t="s">
        <v>16</v>
      </c>
      <c r="F327" t="s">
        <v>17</v>
      </c>
      <c r="G327" t="s">
        <v>18</v>
      </c>
      <c r="H327" t="s">
        <v>19</v>
      </c>
      <c r="I327" t="s">
        <v>20</v>
      </c>
      <c r="J327">
        <v>200</v>
      </c>
      <c r="S327">
        <v>20</v>
      </c>
      <c r="T327">
        <v>0</v>
      </c>
      <c r="U327">
        <v>1</v>
      </c>
      <c r="V327">
        <v>0</v>
      </c>
    </row>
    <row r="328" spans="1:22">
      <c r="A328" t="s">
        <v>295</v>
      </c>
      <c r="B328" s="3">
        <v>46177</v>
      </c>
      <c r="C328" t="s">
        <v>47</v>
      </c>
      <c r="D328" t="s">
        <v>52</v>
      </c>
      <c r="E328" t="s">
        <v>16</v>
      </c>
      <c r="F328" t="s">
        <v>17</v>
      </c>
      <c r="G328" t="s">
        <v>32</v>
      </c>
      <c r="H328" t="s">
        <v>19</v>
      </c>
      <c r="I328" t="s">
        <v>20</v>
      </c>
      <c r="J328">
        <v>300</v>
      </c>
      <c r="S328">
        <v>36</v>
      </c>
      <c r="T328">
        <v>0</v>
      </c>
      <c r="U328">
        <v>1</v>
      </c>
      <c r="V328">
        <v>0</v>
      </c>
    </row>
    <row r="329" spans="1:22">
      <c r="A329" t="s">
        <v>296</v>
      </c>
      <c r="B329" s="3">
        <v>46177</v>
      </c>
      <c r="C329" t="s">
        <v>47</v>
      </c>
      <c r="D329" t="s">
        <v>52</v>
      </c>
      <c r="E329" t="s">
        <v>16</v>
      </c>
      <c r="F329" t="s">
        <v>17</v>
      </c>
      <c r="G329" t="s">
        <v>23</v>
      </c>
      <c r="H329" t="s">
        <v>19</v>
      </c>
      <c r="I329" t="s">
        <v>20</v>
      </c>
      <c r="J329">
        <v>90</v>
      </c>
      <c r="L329" t="s">
        <v>29</v>
      </c>
      <c r="S329">
        <v>7.2</v>
      </c>
      <c r="T329">
        <v>0</v>
      </c>
      <c r="U329">
        <v>1</v>
      </c>
      <c r="V329">
        <v>0</v>
      </c>
    </row>
    <row r="330" spans="1:22">
      <c r="A330" t="s">
        <v>297</v>
      </c>
      <c r="B330" s="3">
        <v>46177</v>
      </c>
      <c r="C330" t="s">
        <v>47</v>
      </c>
      <c r="D330" t="s">
        <v>50</v>
      </c>
      <c r="E330" t="s">
        <v>16</v>
      </c>
      <c r="F330" t="s">
        <v>17</v>
      </c>
      <c r="G330" t="s">
        <v>23</v>
      </c>
      <c r="H330" t="s">
        <v>19</v>
      </c>
      <c r="I330" t="s">
        <v>20</v>
      </c>
      <c r="J330">
        <v>120</v>
      </c>
      <c r="S330">
        <v>9.6</v>
      </c>
      <c r="T330">
        <v>0</v>
      </c>
      <c r="U330">
        <v>1</v>
      </c>
      <c r="V330">
        <v>0</v>
      </c>
    </row>
    <row r="331" spans="1:22">
      <c r="A331" t="s">
        <v>298</v>
      </c>
      <c r="B331" s="3">
        <v>46177</v>
      </c>
      <c r="C331" t="s">
        <v>47</v>
      </c>
      <c r="D331" t="s">
        <v>62</v>
      </c>
      <c r="E331" t="s">
        <v>16</v>
      </c>
      <c r="F331" t="s">
        <v>17</v>
      </c>
      <c r="G331" t="s">
        <v>18</v>
      </c>
      <c r="H331" t="s">
        <v>24</v>
      </c>
      <c r="I331" t="s">
        <v>20</v>
      </c>
      <c r="J331">
        <v>200</v>
      </c>
      <c r="S331">
        <v>0</v>
      </c>
      <c r="T331">
        <v>0</v>
      </c>
      <c r="U331">
        <v>0</v>
      </c>
      <c r="V331">
        <v>0</v>
      </c>
    </row>
    <row r="332" spans="1:22">
      <c r="A332" t="s">
        <v>299</v>
      </c>
      <c r="B332" s="3">
        <v>46177</v>
      </c>
      <c r="C332" t="s">
        <v>47</v>
      </c>
      <c r="D332" t="s">
        <v>64</v>
      </c>
      <c r="E332" t="s">
        <v>16</v>
      </c>
      <c r="F332" t="s">
        <v>17</v>
      </c>
      <c r="G332" t="s">
        <v>32</v>
      </c>
      <c r="H332" t="s">
        <v>19</v>
      </c>
      <c r="I332" t="s">
        <v>20</v>
      </c>
      <c r="J332">
        <v>300</v>
      </c>
      <c r="S332">
        <v>36</v>
      </c>
      <c r="T332">
        <v>0</v>
      </c>
      <c r="U332">
        <v>1</v>
      </c>
      <c r="V332">
        <v>0</v>
      </c>
    </row>
    <row r="333" spans="1:22">
      <c r="A333" t="s">
        <v>300</v>
      </c>
      <c r="B333" s="3">
        <v>46177</v>
      </c>
      <c r="C333" t="s">
        <v>47</v>
      </c>
      <c r="D333" t="s">
        <v>71</v>
      </c>
      <c r="E333" t="s">
        <v>16</v>
      </c>
      <c r="F333" t="s">
        <v>17</v>
      </c>
      <c r="G333" t="s">
        <v>32</v>
      </c>
      <c r="H333" t="s">
        <v>19</v>
      </c>
      <c r="I333" t="s">
        <v>20</v>
      </c>
      <c r="J333">
        <v>300</v>
      </c>
      <c r="S333">
        <v>36</v>
      </c>
      <c r="T333">
        <v>0</v>
      </c>
      <c r="U333">
        <v>1</v>
      </c>
      <c r="V333">
        <v>0</v>
      </c>
    </row>
    <row r="334" spans="1:22">
      <c r="A334" t="s">
        <v>301</v>
      </c>
      <c r="B334" s="3">
        <v>46177</v>
      </c>
      <c r="C334" t="s">
        <v>47</v>
      </c>
      <c r="D334" t="s">
        <v>66</v>
      </c>
      <c r="E334" t="s">
        <v>16</v>
      </c>
      <c r="F334" t="s">
        <v>35</v>
      </c>
      <c r="G334" t="s">
        <v>23</v>
      </c>
      <c r="H334" t="s">
        <v>19</v>
      </c>
      <c r="I334" t="s">
        <v>20</v>
      </c>
      <c r="J334">
        <v>120</v>
      </c>
      <c r="S334">
        <v>3.6</v>
      </c>
      <c r="T334">
        <v>0</v>
      </c>
      <c r="U334">
        <v>0</v>
      </c>
      <c r="V334">
        <v>0</v>
      </c>
    </row>
    <row r="335" spans="1:22">
      <c r="A335" t="s">
        <v>302</v>
      </c>
      <c r="B335" s="3">
        <v>46177</v>
      </c>
      <c r="C335" t="s">
        <v>47</v>
      </c>
      <c r="D335" t="s">
        <v>52</v>
      </c>
      <c r="E335" t="s">
        <v>16</v>
      </c>
      <c r="F335" t="s">
        <v>17</v>
      </c>
      <c r="G335" t="s">
        <v>23</v>
      </c>
      <c r="H335" t="s">
        <v>24</v>
      </c>
      <c r="I335" t="s">
        <v>53</v>
      </c>
      <c r="J335">
        <v>120</v>
      </c>
      <c r="S335">
        <v>0</v>
      </c>
      <c r="T335">
        <v>0</v>
      </c>
      <c r="U335">
        <v>0</v>
      </c>
      <c r="V335">
        <v>0</v>
      </c>
    </row>
    <row r="336" spans="1:22">
      <c r="A336" t="s">
        <v>303</v>
      </c>
      <c r="B336" s="3">
        <v>46177</v>
      </c>
      <c r="C336" t="s">
        <v>47</v>
      </c>
      <c r="D336" t="s">
        <v>50</v>
      </c>
      <c r="E336" t="s">
        <v>16</v>
      </c>
      <c r="F336" t="s">
        <v>17</v>
      </c>
      <c r="G336" t="s">
        <v>18</v>
      </c>
      <c r="H336" t="s">
        <v>19</v>
      </c>
      <c r="I336" t="s">
        <v>20</v>
      </c>
      <c r="J336">
        <v>200</v>
      </c>
      <c r="S336">
        <v>20</v>
      </c>
      <c r="T336">
        <v>0</v>
      </c>
      <c r="U336">
        <v>1</v>
      </c>
      <c r="V336">
        <v>0</v>
      </c>
    </row>
    <row r="337" spans="1:22">
      <c r="A337" t="s">
        <v>304</v>
      </c>
      <c r="B337" s="3">
        <v>46177</v>
      </c>
      <c r="C337" t="s">
        <v>47</v>
      </c>
      <c r="D337" t="s">
        <v>62</v>
      </c>
      <c r="E337" t="s">
        <v>16</v>
      </c>
      <c r="F337" t="s">
        <v>17</v>
      </c>
      <c r="G337" t="s">
        <v>23</v>
      </c>
      <c r="H337" t="s">
        <v>19</v>
      </c>
      <c r="I337" t="s">
        <v>20</v>
      </c>
      <c r="J337">
        <v>120</v>
      </c>
      <c r="S337">
        <v>9.6</v>
      </c>
      <c r="T337">
        <v>0</v>
      </c>
      <c r="U337">
        <v>1</v>
      </c>
      <c r="V337">
        <v>0</v>
      </c>
    </row>
    <row r="338" spans="1:22">
      <c r="A338" t="s">
        <v>305</v>
      </c>
      <c r="B338" s="3">
        <v>46177</v>
      </c>
      <c r="C338" t="s">
        <v>47</v>
      </c>
      <c r="D338" t="s">
        <v>59</v>
      </c>
      <c r="E338" t="s">
        <v>16</v>
      </c>
      <c r="F338" t="s">
        <v>17</v>
      </c>
      <c r="G338" t="s">
        <v>32</v>
      </c>
      <c r="H338" t="s">
        <v>19</v>
      </c>
      <c r="I338" t="s">
        <v>74</v>
      </c>
      <c r="J338">
        <v>225</v>
      </c>
      <c r="L338" t="s">
        <v>29</v>
      </c>
      <c r="S338">
        <v>0</v>
      </c>
      <c r="T338">
        <v>0</v>
      </c>
      <c r="U338">
        <v>0</v>
      </c>
      <c r="V338">
        <v>0</v>
      </c>
    </row>
    <row r="339" spans="1:22">
      <c r="A339" t="s">
        <v>306</v>
      </c>
      <c r="B339" s="3">
        <v>46177</v>
      </c>
      <c r="C339" t="s">
        <v>47</v>
      </c>
      <c r="D339" t="s">
        <v>50</v>
      </c>
      <c r="E339" t="s">
        <v>16</v>
      </c>
      <c r="F339" t="s">
        <v>35</v>
      </c>
      <c r="G339" t="s">
        <v>18</v>
      </c>
      <c r="H339" t="s">
        <v>19</v>
      </c>
      <c r="I339" t="s">
        <v>20</v>
      </c>
      <c r="J339">
        <v>200</v>
      </c>
      <c r="S339">
        <v>6</v>
      </c>
      <c r="T339">
        <v>0</v>
      </c>
      <c r="U339">
        <v>0</v>
      </c>
      <c r="V339">
        <v>0</v>
      </c>
    </row>
    <row r="340" spans="1:22">
      <c r="A340" t="s">
        <v>307</v>
      </c>
      <c r="B340" s="3">
        <v>46177</v>
      </c>
      <c r="C340" t="s">
        <v>47</v>
      </c>
      <c r="D340" t="s">
        <v>48</v>
      </c>
      <c r="E340" t="s">
        <v>16</v>
      </c>
      <c r="F340" t="s">
        <v>17</v>
      </c>
      <c r="G340" t="s">
        <v>32</v>
      </c>
      <c r="H340" t="s">
        <v>19</v>
      </c>
      <c r="I340" t="s">
        <v>20</v>
      </c>
      <c r="J340">
        <v>300</v>
      </c>
      <c r="S340">
        <v>36</v>
      </c>
      <c r="T340">
        <v>0</v>
      </c>
      <c r="U340">
        <v>1</v>
      </c>
      <c r="V340">
        <v>0</v>
      </c>
    </row>
    <row r="341" spans="1:22">
      <c r="A341" t="s">
        <v>308</v>
      </c>
      <c r="B341" s="3">
        <v>46177</v>
      </c>
      <c r="C341" t="s">
        <v>47</v>
      </c>
      <c r="D341" t="s">
        <v>71</v>
      </c>
      <c r="E341" t="s">
        <v>16</v>
      </c>
      <c r="F341" t="s">
        <v>35</v>
      </c>
      <c r="G341" t="s">
        <v>32</v>
      </c>
      <c r="H341" t="s">
        <v>19</v>
      </c>
      <c r="I341" t="s">
        <v>20</v>
      </c>
      <c r="J341">
        <v>300</v>
      </c>
      <c r="S341">
        <v>9</v>
      </c>
      <c r="T341">
        <v>0</v>
      </c>
      <c r="U341">
        <v>0</v>
      </c>
      <c r="V341">
        <v>0</v>
      </c>
    </row>
    <row r="342" spans="1:22">
      <c r="A342" t="s">
        <v>309</v>
      </c>
      <c r="B342" s="3">
        <v>46177</v>
      </c>
      <c r="C342" t="s">
        <v>78</v>
      </c>
      <c r="D342" t="s">
        <v>85</v>
      </c>
      <c r="E342" t="s">
        <v>16</v>
      </c>
      <c r="F342" t="s">
        <v>17</v>
      </c>
      <c r="G342" t="s">
        <v>23</v>
      </c>
      <c r="H342" t="s">
        <v>19</v>
      </c>
      <c r="I342" t="s">
        <v>74</v>
      </c>
      <c r="J342">
        <v>90</v>
      </c>
      <c r="L342" t="s">
        <v>29</v>
      </c>
      <c r="S342">
        <v>0</v>
      </c>
      <c r="T342">
        <v>0</v>
      </c>
      <c r="U342">
        <v>0</v>
      </c>
      <c r="V342">
        <v>0</v>
      </c>
    </row>
    <row r="343" spans="1:22">
      <c r="A343" t="s">
        <v>310</v>
      </c>
      <c r="B343" s="3">
        <v>46177</v>
      </c>
      <c r="C343" t="s">
        <v>78</v>
      </c>
      <c r="D343" t="s">
        <v>83</v>
      </c>
      <c r="E343" t="s">
        <v>16</v>
      </c>
      <c r="F343" t="s">
        <v>17</v>
      </c>
      <c r="G343" t="s">
        <v>23</v>
      </c>
      <c r="H343" t="s">
        <v>19</v>
      </c>
      <c r="I343" t="s">
        <v>20</v>
      </c>
      <c r="J343">
        <v>120</v>
      </c>
      <c r="S343">
        <v>9.6</v>
      </c>
      <c r="T343">
        <v>0</v>
      </c>
      <c r="U343">
        <v>1</v>
      </c>
      <c r="V343">
        <v>0</v>
      </c>
    </row>
    <row r="344" spans="1:22">
      <c r="A344" t="s">
        <v>311</v>
      </c>
      <c r="B344" s="3">
        <v>46177</v>
      </c>
      <c r="C344" t="s">
        <v>78</v>
      </c>
      <c r="D344" t="s">
        <v>97</v>
      </c>
      <c r="E344" t="s">
        <v>16</v>
      </c>
      <c r="F344" t="s">
        <v>17</v>
      </c>
      <c r="G344" t="s">
        <v>18</v>
      </c>
      <c r="H344" t="s">
        <v>19</v>
      </c>
      <c r="I344" t="s">
        <v>20</v>
      </c>
      <c r="J344">
        <v>170</v>
      </c>
      <c r="L344" t="s">
        <v>29</v>
      </c>
      <c r="S344">
        <v>17</v>
      </c>
      <c r="T344">
        <v>0</v>
      </c>
      <c r="U344">
        <v>1</v>
      </c>
      <c r="V344">
        <v>0</v>
      </c>
    </row>
    <row r="345" spans="1:22">
      <c r="A345" t="s">
        <v>312</v>
      </c>
      <c r="B345" s="3">
        <v>46177</v>
      </c>
      <c r="C345" t="s">
        <v>78</v>
      </c>
      <c r="D345" t="s">
        <v>102</v>
      </c>
      <c r="E345" t="s">
        <v>16</v>
      </c>
      <c r="F345" t="s">
        <v>17</v>
      </c>
      <c r="G345" t="s">
        <v>23</v>
      </c>
      <c r="H345" t="s">
        <v>24</v>
      </c>
      <c r="I345" t="s">
        <v>20</v>
      </c>
      <c r="J345">
        <v>120</v>
      </c>
      <c r="S345">
        <v>0</v>
      </c>
      <c r="T345">
        <v>0</v>
      </c>
      <c r="U345">
        <v>0</v>
      </c>
      <c r="V345">
        <v>0</v>
      </c>
    </row>
    <row r="346" spans="1:22">
      <c r="A346" t="s">
        <v>313</v>
      </c>
      <c r="B346" s="3">
        <v>46177</v>
      </c>
      <c r="C346" t="s">
        <v>78</v>
      </c>
      <c r="D346" t="s">
        <v>163</v>
      </c>
      <c r="E346" t="s">
        <v>16</v>
      </c>
      <c r="F346" t="s">
        <v>17</v>
      </c>
      <c r="G346" t="s">
        <v>18</v>
      </c>
      <c r="H346" t="s">
        <v>24</v>
      </c>
      <c r="I346" t="s">
        <v>20</v>
      </c>
      <c r="J346">
        <v>200</v>
      </c>
      <c r="S346">
        <v>0</v>
      </c>
      <c r="T346">
        <v>0</v>
      </c>
      <c r="U346">
        <v>0</v>
      </c>
      <c r="V346">
        <v>0</v>
      </c>
    </row>
    <row r="347" spans="1:22">
      <c r="A347" t="s">
        <v>314</v>
      </c>
      <c r="B347" s="3">
        <v>46177</v>
      </c>
      <c r="C347" t="s">
        <v>78</v>
      </c>
      <c r="D347" t="s">
        <v>161</v>
      </c>
      <c r="E347" t="s">
        <v>16</v>
      </c>
      <c r="F347" t="s">
        <v>17</v>
      </c>
      <c r="G347" t="s">
        <v>32</v>
      </c>
      <c r="H347" t="s">
        <v>19</v>
      </c>
      <c r="I347" t="s">
        <v>20</v>
      </c>
      <c r="J347">
        <v>300</v>
      </c>
      <c r="S347">
        <v>36</v>
      </c>
      <c r="T347">
        <v>0</v>
      </c>
      <c r="U347">
        <v>1</v>
      </c>
      <c r="V347">
        <v>0</v>
      </c>
    </row>
    <row r="348" spans="1:22">
      <c r="A348" t="s">
        <v>315</v>
      </c>
      <c r="B348" s="3">
        <v>46177</v>
      </c>
      <c r="C348" t="s">
        <v>78</v>
      </c>
      <c r="D348" t="s">
        <v>83</v>
      </c>
      <c r="E348" t="s">
        <v>16</v>
      </c>
      <c r="F348" t="s">
        <v>35</v>
      </c>
      <c r="G348" t="s">
        <v>18</v>
      </c>
      <c r="H348" t="s">
        <v>19</v>
      </c>
      <c r="I348" t="s">
        <v>20</v>
      </c>
      <c r="J348">
        <v>200</v>
      </c>
      <c r="S348">
        <v>6</v>
      </c>
      <c r="T348">
        <v>0</v>
      </c>
      <c r="U348">
        <v>0</v>
      </c>
      <c r="V348">
        <v>0</v>
      </c>
    </row>
    <row r="349" spans="1:22">
      <c r="A349" t="s">
        <v>316</v>
      </c>
      <c r="B349" s="3">
        <v>46177</v>
      </c>
      <c r="C349" t="s">
        <v>78</v>
      </c>
      <c r="D349" t="s">
        <v>161</v>
      </c>
      <c r="E349" t="s">
        <v>16</v>
      </c>
      <c r="F349" t="s">
        <v>17</v>
      </c>
      <c r="G349" t="s">
        <v>32</v>
      </c>
      <c r="H349" t="s">
        <v>19</v>
      </c>
      <c r="I349" t="s">
        <v>20</v>
      </c>
      <c r="J349">
        <v>300</v>
      </c>
      <c r="S349">
        <v>36</v>
      </c>
      <c r="T349">
        <v>0</v>
      </c>
      <c r="U349">
        <v>1</v>
      </c>
      <c r="V349">
        <v>0</v>
      </c>
    </row>
    <row r="350" spans="1:22">
      <c r="A350" t="s">
        <v>317</v>
      </c>
      <c r="B350" s="3">
        <v>46177</v>
      </c>
      <c r="C350" t="s">
        <v>78</v>
      </c>
      <c r="D350" t="s">
        <v>79</v>
      </c>
      <c r="E350" t="s">
        <v>16</v>
      </c>
      <c r="F350" t="s">
        <v>35</v>
      </c>
      <c r="G350" t="s">
        <v>23</v>
      </c>
      <c r="H350" t="s">
        <v>19</v>
      </c>
      <c r="I350" t="s">
        <v>20</v>
      </c>
      <c r="J350">
        <v>120</v>
      </c>
      <c r="S350">
        <v>3.6</v>
      </c>
      <c r="T350">
        <v>0</v>
      </c>
      <c r="U350">
        <v>0</v>
      </c>
      <c r="V350">
        <v>0</v>
      </c>
    </row>
    <row r="351" spans="1:22">
      <c r="A351" t="s">
        <v>318</v>
      </c>
      <c r="B351" s="3">
        <v>46177</v>
      </c>
      <c r="C351" t="s">
        <v>78</v>
      </c>
      <c r="D351" t="s">
        <v>83</v>
      </c>
      <c r="E351" t="s">
        <v>16</v>
      </c>
      <c r="F351" t="s">
        <v>17</v>
      </c>
      <c r="G351" t="s">
        <v>32</v>
      </c>
      <c r="H351" t="s">
        <v>19</v>
      </c>
      <c r="I351" t="s">
        <v>20</v>
      </c>
      <c r="J351">
        <v>300</v>
      </c>
      <c r="S351">
        <v>36</v>
      </c>
      <c r="T351">
        <v>0</v>
      </c>
      <c r="U351">
        <v>1</v>
      </c>
      <c r="V351">
        <v>0</v>
      </c>
    </row>
    <row r="352" spans="1:22">
      <c r="A352" t="s">
        <v>319</v>
      </c>
      <c r="B352" s="3">
        <v>46177</v>
      </c>
      <c r="C352" t="s">
        <v>78</v>
      </c>
      <c r="D352" t="s">
        <v>242</v>
      </c>
      <c r="E352" t="s">
        <v>16</v>
      </c>
      <c r="F352" t="s">
        <v>17</v>
      </c>
      <c r="G352" t="s">
        <v>18</v>
      </c>
      <c r="H352" t="s">
        <v>19</v>
      </c>
      <c r="I352" t="s">
        <v>20</v>
      </c>
      <c r="J352">
        <v>200</v>
      </c>
      <c r="S352">
        <v>20</v>
      </c>
      <c r="T352">
        <v>0</v>
      </c>
      <c r="U352">
        <v>1</v>
      </c>
      <c r="V352">
        <v>0</v>
      </c>
    </row>
    <row r="353" spans="1:22">
      <c r="A353" t="s">
        <v>320</v>
      </c>
      <c r="B353" s="3">
        <v>46177</v>
      </c>
      <c r="C353" t="s">
        <v>78</v>
      </c>
      <c r="D353" t="s">
        <v>93</v>
      </c>
      <c r="E353" t="s">
        <v>16</v>
      </c>
      <c r="F353" t="s">
        <v>17</v>
      </c>
      <c r="G353" t="s">
        <v>32</v>
      </c>
      <c r="H353" t="s">
        <v>19</v>
      </c>
      <c r="I353" t="s">
        <v>20</v>
      </c>
      <c r="J353">
        <v>300</v>
      </c>
      <c r="S353">
        <v>36</v>
      </c>
      <c r="T353">
        <v>0</v>
      </c>
      <c r="U353">
        <v>1</v>
      </c>
      <c r="V353">
        <v>0</v>
      </c>
    </row>
    <row r="354" spans="1:22">
      <c r="A354" t="s">
        <v>321</v>
      </c>
      <c r="B354" s="3">
        <v>46177</v>
      </c>
      <c r="C354" t="s">
        <v>78</v>
      </c>
      <c r="D354" t="s">
        <v>89</v>
      </c>
      <c r="E354" t="s">
        <v>16</v>
      </c>
      <c r="F354" t="s">
        <v>17</v>
      </c>
      <c r="G354" t="s">
        <v>23</v>
      </c>
      <c r="H354" t="s">
        <v>19</v>
      </c>
      <c r="I354" t="s">
        <v>20</v>
      </c>
      <c r="J354">
        <v>120</v>
      </c>
      <c r="S354">
        <v>9.6</v>
      </c>
      <c r="T354">
        <v>0</v>
      </c>
      <c r="U354">
        <v>1</v>
      </c>
      <c r="V354">
        <v>0</v>
      </c>
    </row>
    <row r="355" spans="1:22">
      <c r="A355" t="s">
        <v>322</v>
      </c>
      <c r="B355" s="3">
        <v>46177</v>
      </c>
      <c r="C355" t="s">
        <v>78</v>
      </c>
      <c r="D355" t="s">
        <v>93</v>
      </c>
      <c r="E355" t="s">
        <v>16</v>
      </c>
      <c r="F355" t="s">
        <v>17</v>
      </c>
      <c r="G355" t="s">
        <v>18</v>
      </c>
      <c r="H355" t="s">
        <v>19</v>
      </c>
      <c r="I355" t="s">
        <v>20</v>
      </c>
      <c r="J355">
        <v>200</v>
      </c>
      <c r="S355">
        <v>20</v>
      </c>
      <c r="T355">
        <v>0</v>
      </c>
      <c r="U355">
        <v>1</v>
      </c>
      <c r="V355">
        <v>0</v>
      </c>
    </row>
    <row r="356" spans="1:22">
      <c r="A356" t="s">
        <v>323</v>
      </c>
      <c r="B356" s="3">
        <v>46177</v>
      </c>
      <c r="C356" t="s">
        <v>78</v>
      </c>
      <c r="D356" t="s">
        <v>163</v>
      </c>
      <c r="E356" t="s">
        <v>16</v>
      </c>
      <c r="F356" t="s">
        <v>35</v>
      </c>
      <c r="G356" t="s">
        <v>18</v>
      </c>
      <c r="H356" t="s">
        <v>19</v>
      </c>
      <c r="I356" t="s">
        <v>20</v>
      </c>
      <c r="J356">
        <v>200</v>
      </c>
      <c r="S356">
        <v>6</v>
      </c>
      <c r="T356">
        <v>0</v>
      </c>
      <c r="U356">
        <v>0</v>
      </c>
      <c r="V356">
        <v>0</v>
      </c>
    </row>
    <row r="357" spans="1:22">
      <c r="A357" t="s">
        <v>324</v>
      </c>
      <c r="B357" s="3">
        <v>46177</v>
      </c>
      <c r="C357" t="s">
        <v>105</v>
      </c>
      <c r="D357" t="s">
        <v>182</v>
      </c>
      <c r="E357" t="s">
        <v>16</v>
      </c>
      <c r="F357" t="s">
        <v>17</v>
      </c>
      <c r="G357" t="s">
        <v>32</v>
      </c>
      <c r="H357" t="s">
        <v>19</v>
      </c>
      <c r="I357" t="s">
        <v>20</v>
      </c>
      <c r="J357">
        <v>300</v>
      </c>
      <c r="S357">
        <v>36</v>
      </c>
      <c r="T357">
        <v>0</v>
      </c>
      <c r="U357">
        <v>1</v>
      </c>
      <c r="V357">
        <v>0</v>
      </c>
    </row>
    <row r="358" spans="1:22">
      <c r="A358" t="s">
        <v>325</v>
      </c>
      <c r="B358" s="3">
        <v>46177</v>
      </c>
      <c r="C358" t="s">
        <v>105</v>
      </c>
      <c r="D358" t="s">
        <v>120</v>
      </c>
      <c r="E358" t="s">
        <v>16</v>
      </c>
      <c r="F358" t="s">
        <v>17</v>
      </c>
      <c r="G358" t="s">
        <v>32</v>
      </c>
      <c r="H358" t="s">
        <v>19</v>
      </c>
      <c r="I358" t="s">
        <v>20</v>
      </c>
      <c r="J358">
        <v>300</v>
      </c>
      <c r="S358">
        <v>36</v>
      </c>
      <c r="T358">
        <v>0</v>
      </c>
      <c r="U358">
        <v>1</v>
      </c>
      <c r="V358">
        <v>0</v>
      </c>
    </row>
    <row r="359" spans="1:22">
      <c r="A359" t="s">
        <v>326</v>
      </c>
      <c r="B359" s="3">
        <v>46177</v>
      </c>
      <c r="C359" t="s">
        <v>105</v>
      </c>
      <c r="D359" t="s">
        <v>182</v>
      </c>
      <c r="E359" t="s">
        <v>16</v>
      </c>
      <c r="F359" t="s">
        <v>17</v>
      </c>
      <c r="G359" t="s">
        <v>23</v>
      </c>
      <c r="H359" t="s">
        <v>19</v>
      </c>
      <c r="I359" t="s">
        <v>20</v>
      </c>
      <c r="J359">
        <v>120</v>
      </c>
      <c r="S359">
        <v>9.6</v>
      </c>
      <c r="T359">
        <v>0</v>
      </c>
      <c r="U359">
        <v>1</v>
      </c>
      <c r="V359">
        <v>0</v>
      </c>
    </row>
    <row r="360" spans="1:22">
      <c r="A360" t="s">
        <v>327</v>
      </c>
      <c r="B360" s="3">
        <v>46177</v>
      </c>
      <c r="C360" t="s">
        <v>105</v>
      </c>
      <c r="D360" t="s">
        <v>194</v>
      </c>
      <c r="E360" t="s">
        <v>16</v>
      </c>
      <c r="F360" t="s">
        <v>17</v>
      </c>
      <c r="G360" t="s">
        <v>23</v>
      </c>
      <c r="H360" t="s">
        <v>19</v>
      </c>
      <c r="I360" t="s">
        <v>20</v>
      </c>
      <c r="J360">
        <v>102</v>
      </c>
      <c r="L360" t="s">
        <v>29</v>
      </c>
      <c r="S360">
        <v>8.16</v>
      </c>
      <c r="T360">
        <v>0</v>
      </c>
      <c r="U360">
        <v>1</v>
      </c>
      <c r="V360">
        <v>0</v>
      </c>
    </row>
    <row r="361" spans="1:22">
      <c r="A361" t="s">
        <v>328</v>
      </c>
      <c r="B361" s="3">
        <v>46177</v>
      </c>
      <c r="C361" t="s">
        <v>105</v>
      </c>
      <c r="D361" t="s">
        <v>106</v>
      </c>
      <c r="E361" t="s">
        <v>16</v>
      </c>
      <c r="F361" t="s">
        <v>17</v>
      </c>
      <c r="G361" t="s">
        <v>32</v>
      </c>
      <c r="H361" t="s">
        <v>19</v>
      </c>
      <c r="I361" t="s">
        <v>20</v>
      </c>
      <c r="J361">
        <v>255</v>
      </c>
      <c r="L361" t="s">
        <v>29</v>
      </c>
      <c r="S361">
        <v>30.6</v>
      </c>
      <c r="T361">
        <v>0</v>
      </c>
      <c r="U361">
        <v>1</v>
      </c>
      <c r="V361">
        <v>0</v>
      </c>
    </row>
    <row r="362" spans="1:22">
      <c r="A362" t="s">
        <v>329</v>
      </c>
      <c r="B362" s="3">
        <v>46177</v>
      </c>
      <c r="C362" t="s">
        <v>105</v>
      </c>
      <c r="D362" t="s">
        <v>182</v>
      </c>
      <c r="E362" t="s">
        <v>16</v>
      </c>
      <c r="F362" t="s">
        <v>17</v>
      </c>
      <c r="G362" t="s">
        <v>23</v>
      </c>
      <c r="H362" t="s">
        <v>19</v>
      </c>
      <c r="I362" t="s">
        <v>20</v>
      </c>
      <c r="J362">
        <v>120</v>
      </c>
      <c r="S362">
        <v>9.6</v>
      </c>
      <c r="T362">
        <v>0</v>
      </c>
      <c r="U362">
        <v>1</v>
      </c>
      <c r="V362">
        <v>0</v>
      </c>
    </row>
    <row r="363" spans="1:22">
      <c r="A363" t="s">
        <v>330</v>
      </c>
      <c r="B363" s="3">
        <v>46177</v>
      </c>
      <c r="C363" t="s">
        <v>105</v>
      </c>
      <c r="D363" t="s">
        <v>120</v>
      </c>
      <c r="E363" t="s">
        <v>16</v>
      </c>
      <c r="F363" t="s">
        <v>17</v>
      </c>
      <c r="G363" t="s">
        <v>32</v>
      </c>
      <c r="H363" t="s">
        <v>24</v>
      </c>
      <c r="I363" t="s">
        <v>20</v>
      </c>
      <c r="J363">
        <v>300</v>
      </c>
      <c r="S363">
        <v>0</v>
      </c>
      <c r="T363">
        <v>0</v>
      </c>
      <c r="U363">
        <v>0</v>
      </c>
      <c r="V363">
        <v>0</v>
      </c>
    </row>
    <row r="364" spans="1:22">
      <c r="A364" t="s">
        <v>331</v>
      </c>
      <c r="B364" s="3">
        <v>46177</v>
      </c>
      <c r="C364" t="s">
        <v>105</v>
      </c>
      <c r="D364" t="s">
        <v>265</v>
      </c>
      <c r="E364" t="s">
        <v>16</v>
      </c>
      <c r="F364" t="s">
        <v>17</v>
      </c>
      <c r="G364" t="s">
        <v>32</v>
      </c>
      <c r="H364" t="s">
        <v>19</v>
      </c>
      <c r="I364" t="s">
        <v>20</v>
      </c>
      <c r="J364">
        <v>300</v>
      </c>
      <c r="S364">
        <v>36</v>
      </c>
      <c r="T364">
        <v>0</v>
      </c>
      <c r="U364">
        <v>1</v>
      </c>
      <c r="V364">
        <v>0</v>
      </c>
    </row>
    <row r="365" spans="1:22">
      <c r="A365" t="s">
        <v>332</v>
      </c>
      <c r="B365" s="3">
        <v>46177</v>
      </c>
      <c r="C365" t="s">
        <v>105</v>
      </c>
      <c r="D365" t="s">
        <v>106</v>
      </c>
      <c r="E365" t="s">
        <v>16</v>
      </c>
      <c r="F365" t="s">
        <v>17</v>
      </c>
      <c r="G365" t="s">
        <v>18</v>
      </c>
      <c r="H365" t="s">
        <v>19</v>
      </c>
      <c r="I365" t="s">
        <v>20</v>
      </c>
      <c r="J365">
        <v>150</v>
      </c>
      <c r="L365" t="s">
        <v>29</v>
      </c>
      <c r="S365">
        <v>15</v>
      </c>
      <c r="T365">
        <v>0</v>
      </c>
      <c r="U365">
        <v>1</v>
      </c>
      <c r="V365">
        <v>0</v>
      </c>
    </row>
    <row r="366" spans="1:22">
      <c r="A366" t="s">
        <v>333</v>
      </c>
      <c r="B366" s="3">
        <v>46177</v>
      </c>
      <c r="C366" t="s">
        <v>105</v>
      </c>
      <c r="D366" t="s">
        <v>106</v>
      </c>
      <c r="E366" t="s">
        <v>16</v>
      </c>
      <c r="F366" t="s">
        <v>17</v>
      </c>
      <c r="G366" t="s">
        <v>32</v>
      </c>
      <c r="H366" t="s">
        <v>19</v>
      </c>
      <c r="I366" t="s">
        <v>20</v>
      </c>
      <c r="J366">
        <v>300</v>
      </c>
      <c r="S366">
        <v>36</v>
      </c>
      <c r="T366">
        <v>0</v>
      </c>
      <c r="U366">
        <v>1</v>
      </c>
      <c r="V366">
        <v>0</v>
      </c>
    </row>
    <row r="367" spans="1:22">
      <c r="A367" t="s">
        <v>334</v>
      </c>
      <c r="B367" s="3">
        <v>46177</v>
      </c>
      <c r="C367" t="s">
        <v>105</v>
      </c>
      <c r="D367" t="s">
        <v>112</v>
      </c>
      <c r="E367" t="s">
        <v>16</v>
      </c>
      <c r="F367" t="s">
        <v>17</v>
      </c>
      <c r="G367" t="s">
        <v>18</v>
      </c>
      <c r="H367" t="s">
        <v>19</v>
      </c>
      <c r="I367" t="s">
        <v>20</v>
      </c>
      <c r="J367">
        <v>200</v>
      </c>
      <c r="S367">
        <v>20</v>
      </c>
      <c r="T367">
        <v>0</v>
      </c>
      <c r="U367">
        <v>1</v>
      </c>
      <c r="V367">
        <v>0</v>
      </c>
    </row>
    <row r="368" spans="1:22">
      <c r="A368" t="s">
        <v>335</v>
      </c>
      <c r="B368" s="3">
        <v>46177</v>
      </c>
      <c r="C368" t="s">
        <v>105</v>
      </c>
      <c r="D368" t="s">
        <v>112</v>
      </c>
      <c r="E368" t="s">
        <v>16</v>
      </c>
      <c r="F368" t="s">
        <v>17</v>
      </c>
      <c r="G368" t="s">
        <v>23</v>
      </c>
      <c r="H368" t="s">
        <v>19</v>
      </c>
      <c r="I368" t="s">
        <v>20</v>
      </c>
      <c r="J368">
        <v>120</v>
      </c>
      <c r="S368">
        <v>9.6</v>
      </c>
      <c r="T368">
        <v>0</v>
      </c>
      <c r="U368">
        <v>1</v>
      </c>
      <c r="V368">
        <v>0</v>
      </c>
    </row>
    <row r="369" spans="1:22">
      <c r="A369" t="s">
        <v>336</v>
      </c>
      <c r="B369" s="3">
        <v>46177</v>
      </c>
      <c r="C369" t="s">
        <v>105</v>
      </c>
      <c r="D369" t="s">
        <v>191</v>
      </c>
      <c r="E369" t="s">
        <v>16</v>
      </c>
      <c r="F369" t="s">
        <v>17</v>
      </c>
      <c r="G369" t="s">
        <v>32</v>
      </c>
      <c r="H369" t="s">
        <v>19</v>
      </c>
      <c r="I369" t="s">
        <v>20</v>
      </c>
      <c r="J369">
        <v>225</v>
      </c>
      <c r="L369" t="s">
        <v>29</v>
      </c>
      <c r="S369">
        <v>27</v>
      </c>
      <c r="T369">
        <v>0</v>
      </c>
      <c r="U369">
        <v>1</v>
      </c>
      <c r="V369">
        <v>0</v>
      </c>
    </row>
    <row r="370" spans="1:22">
      <c r="A370" t="s">
        <v>337</v>
      </c>
      <c r="B370" s="3">
        <v>46177</v>
      </c>
      <c r="C370" t="s">
        <v>105</v>
      </c>
      <c r="D370" t="s">
        <v>118</v>
      </c>
      <c r="E370" t="s">
        <v>16</v>
      </c>
      <c r="F370" t="s">
        <v>17</v>
      </c>
      <c r="G370" t="s">
        <v>32</v>
      </c>
      <c r="H370" t="s">
        <v>19</v>
      </c>
      <c r="I370" t="s">
        <v>20</v>
      </c>
      <c r="J370">
        <v>300</v>
      </c>
      <c r="S370">
        <v>36</v>
      </c>
      <c r="T370">
        <v>0</v>
      </c>
      <c r="U370">
        <v>1</v>
      </c>
      <c r="V370">
        <v>0</v>
      </c>
    </row>
    <row r="371" spans="1:22">
      <c r="A371" t="s">
        <v>338</v>
      </c>
      <c r="B371" s="3">
        <v>46177</v>
      </c>
      <c r="C371" t="s">
        <v>105</v>
      </c>
      <c r="D371" t="s">
        <v>120</v>
      </c>
      <c r="E371" t="s">
        <v>16</v>
      </c>
      <c r="F371" t="s">
        <v>17</v>
      </c>
      <c r="G371" t="s">
        <v>18</v>
      </c>
      <c r="H371" t="s">
        <v>19</v>
      </c>
      <c r="I371" t="s">
        <v>20</v>
      </c>
      <c r="J371">
        <v>200</v>
      </c>
      <c r="S371">
        <v>20</v>
      </c>
      <c r="T371">
        <v>0</v>
      </c>
      <c r="U371">
        <v>1</v>
      </c>
      <c r="V371">
        <v>0</v>
      </c>
    </row>
    <row r="372" spans="1:22">
      <c r="A372" t="s">
        <v>339</v>
      </c>
      <c r="B372" s="3">
        <v>46177</v>
      </c>
      <c r="C372" t="s">
        <v>105</v>
      </c>
      <c r="D372" t="s">
        <v>116</v>
      </c>
      <c r="E372" t="s">
        <v>16</v>
      </c>
      <c r="F372" t="s">
        <v>17</v>
      </c>
      <c r="G372" t="s">
        <v>32</v>
      </c>
      <c r="H372" t="s">
        <v>24</v>
      </c>
      <c r="I372" t="s">
        <v>20</v>
      </c>
      <c r="J372">
        <v>300</v>
      </c>
      <c r="S372">
        <v>0</v>
      </c>
      <c r="T372">
        <v>0</v>
      </c>
      <c r="U372">
        <v>0</v>
      </c>
      <c r="V372">
        <v>0</v>
      </c>
    </row>
    <row r="373" spans="1:22">
      <c r="A373" t="s">
        <v>340</v>
      </c>
      <c r="B373" s="3">
        <v>46178</v>
      </c>
      <c r="C373" t="s">
        <v>14</v>
      </c>
      <c r="D373" t="s">
        <v>22</v>
      </c>
      <c r="E373" t="s">
        <v>16</v>
      </c>
      <c r="F373" t="s">
        <v>17</v>
      </c>
      <c r="G373" t="s">
        <v>23</v>
      </c>
      <c r="H373" t="s">
        <v>19</v>
      </c>
      <c r="I373" t="s">
        <v>20</v>
      </c>
      <c r="J373">
        <v>102</v>
      </c>
      <c r="L373" t="s">
        <v>29</v>
      </c>
      <c r="S373">
        <v>8.16</v>
      </c>
      <c r="T373">
        <v>0</v>
      </c>
      <c r="U373">
        <v>1</v>
      </c>
      <c r="V373">
        <v>0</v>
      </c>
    </row>
    <row r="374" spans="1:22">
      <c r="A374" t="s">
        <v>342</v>
      </c>
      <c r="B374" s="3">
        <v>46178</v>
      </c>
      <c r="C374" t="s">
        <v>14</v>
      </c>
      <c r="D374" t="s">
        <v>42</v>
      </c>
      <c r="E374" t="s">
        <v>16</v>
      </c>
      <c r="F374" t="s">
        <v>17</v>
      </c>
      <c r="G374" t="s">
        <v>23</v>
      </c>
      <c r="H374" t="s">
        <v>19</v>
      </c>
      <c r="I374" t="s">
        <v>20</v>
      </c>
      <c r="J374">
        <v>120</v>
      </c>
      <c r="S374">
        <v>9.6</v>
      </c>
      <c r="T374">
        <v>0</v>
      </c>
      <c r="U374">
        <v>1</v>
      </c>
      <c r="V374">
        <v>0</v>
      </c>
    </row>
    <row r="375" spans="1:22">
      <c r="A375" t="s">
        <v>343</v>
      </c>
      <c r="B375" s="3">
        <v>46178</v>
      </c>
      <c r="C375" t="s">
        <v>14</v>
      </c>
      <c r="D375" t="s">
        <v>31</v>
      </c>
      <c r="E375" t="s">
        <v>16</v>
      </c>
      <c r="F375" t="s">
        <v>17</v>
      </c>
      <c r="G375" t="s">
        <v>18</v>
      </c>
      <c r="H375" t="s">
        <v>19</v>
      </c>
      <c r="I375" t="s">
        <v>20</v>
      </c>
      <c r="J375">
        <v>200</v>
      </c>
      <c r="S375">
        <v>20</v>
      </c>
      <c r="T375">
        <v>0</v>
      </c>
      <c r="U375">
        <v>1</v>
      </c>
      <c r="V375">
        <v>0</v>
      </c>
    </row>
    <row r="376" spans="1:22">
      <c r="A376" t="s">
        <v>344</v>
      </c>
      <c r="B376" s="3">
        <v>46178</v>
      </c>
      <c r="C376" t="s">
        <v>14</v>
      </c>
      <c r="D376" t="s">
        <v>37</v>
      </c>
      <c r="E376" t="s">
        <v>16</v>
      </c>
      <c r="F376" t="s">
        <v>17</v>
      </c>
      <c r="G376" t="s">
        <v>18</v>
      </c>
      <c r="H376" t="s">
        <v>19</v>
      </c>
      <c r="I376" t="s">
        <v>20</v>
      </c>
      <c r="J376">
        <v>200</v>
      </c>
      <c r="S376">
        <v>20</v>
      </c>
      <c r="T376">
        <v>0</v>
      </c>
      <c r="U376">
        <v>1</v>
      </c>
      <c r="V376">
        <v>0</v>
      </c>
    </row>
    <row r="377" spans="1:22">
      <c r="A377" t="s">
        <v>345</v>
      </c>
      <c r="B377" s="3">
        <v>46178</v>
      </c>
      <c r="C377" t="s">
        <v>14</v>
      </c>
      <c r="D377" t="s">
        <v>210</v>
      </c>
      <c r="E377" t="s">
        <v>16</v>
      </c>
      <c r="F377" t="s">
        <v>35</v>
      </c>
      <c r="G377" t="s">
        <v>23</v>
      </c>
      <c r="H377" t="s">
        <v>19</v>
      </c>
      <c r="I377" t="s">
        <v>20</v>
      </c>
      <c r="J377">
        <v>120</v>
      </c>
      <c r="S377">
        <v>3.6</v>
      </c>
      <c r="T377">
        <v>0</v>
      </c>
      <c r="U377">
        <v>0</v>
      </c>
      <c r="V377">
        <v>0</v>
      </c>
    </row>
    <row r="378" spans="1:22">
      <c r="A378" t="s">
        <v>346</v>
      </c>
      <c r="B378" s="3">
        <v>46178</v>
      </c>
      <c r="C378" t="s">
        <v>14</v>
      </c>
      <c r="D378" t="s">
        <v>34</v>
      </c>
      <c r="E378" t="s">
        <v>16</v>
      </c>
      <c r="F378" t="s">
        <v>17</v>
      </c>
      <c r="G378" t="s">
        <v>18</v>
      </c>
      <c r="H378" t="s">
        <v>19</v>
      </c>
      <c r="I378" t="s">
        <v>20</v>
      </c>
      <c r="J378">
        <v>150</v>
      </c>
      <c r="L378" t="s">
        <v>29</v>
      </c>
      <c r="S378">
        <v>15</v>
      </c>
      <c r="T378">
        <v>0</v>
      </c>
      <c r="U378">
        <v>1</v>
      </c>
      <c r="V378">
        <v>0</v>
      </c>
    </row>
    <row r="379" spans="1:22">
      <c r="A379" t="s">
        <v>347</v>
      </c>
      <c r="B379" s="3">
        <v>46178</v>
      </c>
      <c r="C379" t="s">
        <v>14</v>
      </c>
      <c r="D379" t="s">
        <v>26</v>
      </c>
      <c r="E379" t="s">
        <v>16</v>
      </c>
      <c r="F379" t="s">
        <v>35</v>
      </c>
      <c r="G379" t="s">
        <v>18</v>
      </c>
      <c r="H379" t="s">
        <v>19</v>
      </c>
      <c r="I379" t="s">
        <v>20</v>
      </c>
      <c r="J379">
        <v>200</v>
      </c>
      <c r="S379">
        <v>6</v>
      </c>
      <c r="T379">
        <v>0</v>
      </c>
      <c r="U379">
        <v>0</v>
      </c>
      <c r="V379">
        <v>0</v>
      </c>
    </row>
    <row r="380" spans="1:22">
      <c r="A380" t="s">
        <v>348</v>
      </c>
      <c r="B380" s="3">
        <v>46178</v>
      </c>
      <c r="C380" t="s">
        <v>14</v>
      </c>
      <c r="D380" t="s">
        <v>42</v>
      </c>
      <c r="E380" t="s">
        <v>16</v>
      </c>
      <c r="F380" t="s">
        <v>17</v>
      </c>
      <c r="G380" t="s">
        <v>18</v>
      </c>
      <c r="H380" t="s">
        <v>19</v>
      </c>
      <c r="I380" t="s">
        <v>20</v>
      </c>
      <c r="J380">
        <v>170</v>
      </c>
      <c r="L380" t="s">
        <v>29</v>
      </c>
      <c r="S380">
        <v>17</v>
      </c>
      <c r="T380">
        <v>0</v>
      </c>
      <c r="U380">
        <v>1</v>
      </c>
      <c r="V380">
        <v>0</v>
      </c>
    </row>
    <row r="381" spans="1:22">
      <c r="A381" t="s">
        <v>349</v>
      </c>
      <c r="B381" s="3">
        <v>46178</v>
      </c>
      <c r="C381" t="s">
        <v>14</v>
      </c>
      <c r="D381" t="s">
        <v>210</v>
      </c>
      <c r="E381" t="s">
        <v>16</v>
      </c>
      <c r="F381" t="s">
        <v>17</v>
      </c>
      <c r="G381" t="s">
        <v>32</v>
      </c>
      <c r="H381" t="s">
        <v>19</v>
      </c>
      <c r="I381" t="s">
        <v>20</v>
      </c>
      <c r="J381">
        <v>300</v>
      </c>
      <c r="S381">
        <v>36</v>
      </c>
      <c r="T381">
        <v>0</v>
      </c>
      <c r="U381">
        <v>1</v>
      </c>
      <c r="V381">
        <v>0</v>
      </c>
    </row>
    <row r="382" spans="1:22">
      <c r="A382" t="s">
        <v>350</v>
      </c>
      <c r="B382" s="3">
        <v>46178</v>
      </c>
      <c r="C382" t="s">
        <v>14</v>
      </c>
      <c r="D382" t="s">
        <v>210</v>
      </c>
      <c r="E382" t="s">
        <v>16</v>
      </c>
      <c r="F382" t="s">
        <v>35</v>
      </c>
      <c r="G382" t="s">
        <v>32</v>
      </c>
      <c r="H382" t="s">
        <v>19</v>
      </c>
      <c r="I382" t="s">
        <v>20</v>
      </c>
      <c r="J382">
        <v>300</v>
      </c>
      <c r="S382">
        <v>9</v>
      </c>
      <c r="T382">
        <v>0</v>
      </c>
      <c r="U382">
        <v>0</v>
      </c>
      <c r="V382">
        <v>0</v>
      </c>
    </row>
    <row r="383" spans="1:22">
      <c r="A383" t="s">
        <v>351</v>
      </c>
      <c r="B383" s="3">
        <v>46178</v>
      </c>
      <c r="C383" t="s">
        <v>14</v>
      </c>
      <c r="D383" t="s">
        <v>131</v>
      </c>
      <c r="E383" t="s">
        <v>16</v>
      </c>
      <c r="F383" t="s">
        <v>17</v>
      </c>
      <c r="G383" t="s">
        <v>32</v>
      </c>
      <c r="H383" t="s">
        <v>19</v>
      </c>
      <c r="I383" t="s">
        <v>20</v>
      </c>
      <c r="J383">
        <v>300</v>
      </c>
      <c r="S383">
        <v>36</v>
      </c>
      <c r="T383">
        <v>0</v>
      </c>
      <c r="U383">
        <v>1</v>
      </c>
      <c r="V383">
        <v>0</v>
      </c>
    </row>
    <row r="384" spans="1:22">
      <c r="A384" t="s">
        <v>352</v>
      </c>
      <c r="B384" s="3">
        <v>46178</v>
      </c>
      <c r="C384" t="s">
        <v>14</v>
      </c>
      <c r="D384" t="s">
        <v>22</v>
      </c>
      <c r="E384" t="s">
        <v>16</v>
      </c>
      <c r="F384" t="s">
        <v>17</v>
      </c>
      <c r="G384" t="s">
        <v>23</v>
      </c>
      <c r="H384" t="s">
        <v>19</v>
      </c>
      <c r="I384" t="s">
        <v>20</v>
      </c>
      <c r="J384">
        <v>120</v>
      </c>
      <c r="S384">
        <v>9.6</v>
      </c>
      <c r="T384">
        <v>0</v>
      </c>
      <c r="U384">
        <v>1</v>
      </c>
      <c r="V384">
        <v>0</v>
      </c>
    </row>
    <row r="385" spans="1:22">
      <c r="A385" t="s">
        <v>353</v>
      </c>
      <c r="B385" s="3">
        <v>46178</v>
      </c>
      <c r="C385" t="s">
        <v>14</v>
      </c>
      <c r="D385" t="s">
        <v>31</v>
      </c>
      <c r="E385" t="s">
        <v>16</v>
      </c>
      <c r="F385" t="s">
        <v>35</v>
      </c>
      <c r="G385" t="s">
        <v>32</v>
      </c>
      <c r="H385" t="s">
        <v>19</v>
      </c>
      <c r="I385" t="s">
        <v>20</v>
      </c>
      <c r="J385">
        <v>255</v>
      </c>
      <c r="L385" t="s">
        <v>29</v>
      </c>
      <c r="S385">
        <v>7.65</v>
      </c>
      <c r="T385">
        <v>0</v>
      </c>
      <c r="U385">
        <v>0</v>
      </c>
      <c r="V385">
        <v>0</v>
      </c>
    </row>
    <row r="386" spans="1:22">
      <c r="A386" t="s">
        <v>354</v>
      </c>
      <c r="B386" s="3">
        <v>46178</v>
      </c>
      <c r="C386" t="s">
        <v>14</v>
      </c>
      <c r="D386" t="s">
        <v>210</v>
      </c>
      <c r="E386" t="s">
        <v>16</v>
      </c>
      <c r="F386" t="s">
        <v>17</v>
      </c>
      <c r="G386" t="s">
        <v>23</v>
      </c>
      <c r="H386" t="s">
        <v>19</v>
      </c>
      <c r="I386" t="s">
        <v>20</v>
      </c>
      <c r="J386">
        <v>120</v>
      </c>
      <c r="S386">
        <v>9.6</v>
      </c>
      <c r="T386">
        <v>0</v>
      </c>
      <c r="U386">
        <v>1</v>
      </c>
      <c r="V386">
        <v>0</v>
      </c>
    </row>
    <row r="387" spans="1:22">
      <c r="A387" t="s">
        <v>355</v>
      </c>
      <c r="B387" s="3">
        <v>46178</v>
      </c>
      <c r="C387" t="s">
        <v>14</v>
      </c>
      <c r="D387" t="s">
        <v>210</v>
      </c>
      <c r="E387" t="s">
        <v>16</v>
      </c>
      <c r="F387" t="s">
        <v>17</v>
      </c>
      <c r="G387" t="s">
        <v>18</v>
      </c>
      <c r="H387" t="s">
        <v>19</v>
      </c>
      <c r="I387" t="s">
        <v>20</v>
      </c>
      <c r="J387">
        <v>200</v>
      </c>
      <c r="S387">
        <v>20</v>
      </c>
      <c r="T387">
        <v>0</v>
      </c>
      <c r="U387">
        <v>1</v>
      </c>
      <c r="V387">
        <v>0</v>
      </c>
    </row>
    <row r="388" spans="1:22">
      <c r="A388" t="s">
        <v>356</v>
      </c>
      <c r="B388" s="3">
        <v>46178</v>
      </c>
      <c r="C388" t="s">
        <v>14</v>
      </c>
      <c r="D388" t="s">
        <v>131</v>
      </c>
      <c r="E388" t="s">
        <v>16</v>
      </c>
      <c r="F388" t="s">
        <v>17</v>
      </c>
      <c r="G388" t="s">
        <v>18</v>
      </c>
      <c r="H388" t="s">
        <v>19</v>
      </c>
      <c r="I388" t="s">
        <v>20</v>
      </c>
      <c r="J388">
        <v>200</v>
      </c>
      <c r="S388">
        <v>20</v>
      </c>
      <c r="T388">
        <v>0</v>
      </c>
      <c r="U388">
        <v>1</v>
      </c>
      <c r="V388">
        <v>0</v>
      </c>
    </row>
    <row r="389" spans="1:22">
      <c r="A389" t="s">
        <v>357</v>
      </c>
      <c r="B389" s="3">
        <v>46178</v>
      </c>
      <c r="C389" t="s">
        <v>14</v>
      </c>
      <c r="D389" t="s">
        <v>37</v>
      </c>
      <c r="E389" t="s">
        <v>16</v>
      </c>
      <c r="F389" t="s">
        <v>17</v>
      </c>
      <c r="G389" t="s">
        <v>32</v>
      </c>
      <c r="H389" t="s">
        <v>19</v>
      </c>
      <c r="I389" t="s">
        <v>20</v>
      </c>
      <c r="J389">
        <v>300</v>
      </c>
      <c r="S389">
        <v>36</v>
      </c>
      <c r="T389">
        <v>0</v>
      </c>
      <c r="U389">
        <v>1</v>
      </c>
      <c r="V389">
        <v>0</v>
      </c>
    </row>
    <row r="390" spans="1:22">
      <c r="A390" t="s">
        <v>358</v>
      </c>
      <c r="B390" s="3">
        <v>46178</v>
      </c>
      <c r="C390" t="s">
        <v>14</v>
      </c>
      <c r="D390" t="s">
        <v>40</v>
      </c>
      <c r="E390" t="s">
        <v>16</v>
      </c>
      <c r="F390" t="s">
        <v>17</v>
      </c>
      <c r="G390" t="s">
        <v>23</v>
      </c>
      <c r="H390" t="s">
        <v>19</v>
      </c>
      <c r="I390" t="s">
        <v>20</v>
      </c>
      <c r="J390">
        <v>120</v>
      </c>
      <c r="S390">
        <v>9.6</v>
      </c>
      <c r="T390">
        <v>0</v>
      </c>
      <c r="U390">
        <v>1</v>
      </c>
      <c r="V390">
        <v>0</v>
      </c>
    </row>
    <row r="391" spans="1:22">
      <c r="A391" t="s">
        <v>359</v>
      </c>
      <c r="B391" s="3">
        <v>46178</v>
      </c>
      <c r="C391" t="s">
        <v>14</v>
      </c>
      <c r="D391" t="s">
        <v>42</v>
      </c>
      <c r="E391" t="s">
        <v>16</v>
      </c>
      <c r="F391" t="s">
        <v>17</v>
      </c>
      <c r="G391" t="s">
        <v>23</v>
      </c>
      <c r="H391" t="s">
        <v>19</v>
      </c>
      <c r="I391" t="s">
        <v>20</v>
      </c>
      <c r="J391">
        <v>120</v>
      </c>
      <c r="S391">
        <v>9.6</v>
      </c>
      <c r="T391">
        <v>0</v>
      </c>
      <c r="U391">
        <v>1</v>
      </c>
      <c r="V391">
        <v>0</v>
      </c>
    </row>
    <row r="392" spans="1:22">
      <c r="A392" t="s">
        <v>360</v>
      </c>
      <c r="B392" s="3">
        <v>46178</v>
      </c>
      <c r="C392" t="s">
        <v>47</v>
      </c>
      <c r="D392" t="s">
        <v>148</v>
      </c>
      <c r="E392" t="s">
        <v>16</v>
      </c>
      <c r="F392" t="s">
        <v>17</v>
      </c>
      <c r="G392" t="s">
        <v>23</v>
      </c>
      <c r="H392" t="s">
        <v>19</v>
      </c>
      <c r="I392" t="s">
        <v>20</v>
      </c>
      <c r="J392">
        <v>120</v>
      </c>
      <c r="S392">
        <v>9.6</v>
      </c>
      <c r="T392">
        <v>0</v>
      </c>
      <c r="U392">
        <v>1</v>
      </c>
      <c r="V392">
        <v>0</v>
      </c>
    </row>
    <row r="393" spans="1:22">
      <c r="A393" t="s">
        <v>361</v>
      </c>
      <c r="B393" s="3">
        <v>46178</v>
      </c>
      <c r="C393" t="s">
        <v>47</v>
      </c>
      <c r="D393" t="s">
        <v>148</v>
      </c>
      <c r="E393" t="s">
        <v>16</v>
      </c>
      <c r="F393" t="s">
        <v>17</v>
      </c>
      <c r="G393" t="s">
        <v>23</v>
      </c>
      <c r="H393" t="s">
        <v>24</v>
      </c>
      <c r="I393" t="s">
        <v>20</v>
      </c>
      <c r="J393">
        <v>120</v>
      </c>
      <c r="S393">
        <v>0</v>
      </c>
      <c r="T393">
        <v>0</v>
      </c>
      <c r="U393">
        <v>0</v>
      </c>
      <c r="V393">
        <v>0</v>
      </c>
    </row>
    <row r="394" spans="1:22">
      <c r="A394" t="s">
        <v>362</v>
      </c>
      <c r="B394" s="3">
        <v>46178</v>
      </c>
      <c r="C394" t="s">
        <v>47</v>
      </c>
      <c r="D394" t="s">
        <v>66</v>
      </c>
      <c r="E394" t="s">
        <v>16</v>
      </c>
      <c r="F394" t="s">
        <v>35</v>
      </c>
      <c r="G394" t="s">
        <v>23</v>
      </c>
      <c r="H394" t="s">
        <v>19</v>
      </c>
      <c r="I394" t="s">
        <v>20</v>
      </c>
      <c r="J394">
        <v>120</v>
      </c>
      <c r="S394">
        <v>3.6</v>
      </c>
      <c r="T394">
        <v>0</v>
      </c>
      <c r="U394">
        <v>0</v>
      </c>
      <c r="V394">
        <v>0</v>
      </c>
    </row>
    <row r="395" spans="1:22">
      <c r="A395" t="s">
        <v>363</v>
      </c>
      <c r="B395" s="3">
        <v>46178</v>
      </c>
      <c r="C395" t="s">
        <v>47</v>
      </c>
      <c r="D395" t="s">
        <v>62</v>
      </c>
      <c r="E395" t="s">
        <v>16</v>
      </c>
      <c r="F395" t="s">
        <v>17</v>
      </c>
      <c r="G395" t="s">
        <v>32</v>
      </c>
      <c r="H395" t="s">
        <v>24</v>
      </c>
      <c r="I395" t="s">
        <v>20</v>
      </c>
      <c r="J395">
        <v>300</v>
      </c>
      <c r="S395">
        <v>0</v>
      </c>
      <c r="T395">
        <v>0</v>
      </c>
      <c r="U395">
        <v>0</v>
      </c>
      <c r="V395">
        <v>0</v>
      </c>
    </row>
    <row r="396" spans="1:22">
      <c r="A396" t="s">
        <v>364</v>
      </c>
      <c r="B396" s="3">
        <v>46178</v>
      </c>
      <c r="C396" t="s">
        <v>47</v>
      </c>
      <c r="D396" t="s">
        <v>71</v>
      </c>
      <c r="E396" t="s">
        <v>16</v>
      </c>
      <c r="F396" t="s">
        <v>17</v>
      </c>
      <c r="G396" t="s">
        <v>18</v>
      </c>
      <c r="H396" t="s">
        <v>19</v>
      </c>
      <c r="I396" t="s">
        <v>20</v>
      </c>
      <c r="J396">
        <v>200</v>
      </c>
      <c r="S396">
        <v>20</v>
      </c>
      <c r="T396">
        <v>0</v>
      </c>
      <c r="U396">
        <v>1</v>
      </c>
      <c r="V396">
        <v>0</v>
      </c>
    </row>
    <row r="397" spans="1:22">
      <c r="A397" t="s">
        <v>365</v>
      </c>
      <c r="B397" s="3">
        <v>46178</v>
      </c>
      <c r="C397" t="s">
        <v>47</v>
      </c>
      <c r="D397" t="s">
        <v>64</v>
      </c>
      <c r="E397" t="s">
        <v>16</v>
      </c>
      <c r="F397" t="s">
        <v>17</v>
      </c>
      <c r="G397" t="s">
        <v>18</v>
      </c>
      <c r="H397" t="s">
        <v>19</v>
      </c>
      <c r="I397" t="s">
        <v>20</v>
      </c>
      <c r="J397">
        <v>200</v>
      </c>
      <c r="S397">
        <v>20</v>
      </c>
      <c r="T397">
        <v>0</v>
      </c>
      <c r="U397">
        <v>1</v>
      </c>
      <c r="V397">
        <v>0</v>
      </c>
    </row>
    <row r="398" spans="1:22">
      <c r="A398" t="s">
        <v>366</v>
      </c>
      <c r="B398" s="3">
        <v>46178</v>
      </c>
      <c r="C398" t="s">
        <v>47</v>
      </c>
      <c r="D398" t="s">
        <v>59</v>
      </c>
      <c r="E398" t="s">
        <v>16</v>
      </c>
      <c r="F398" t="s">
        <v>17</v>
      </c>
      <c r="G398" t="s">
        <v>18</v>
      </c>
      <c r="H398" t="s">
        <v>19</v>
      </c>
      <c r="I398" t="s">
        <v>20</v>
      </c>
      <c r="J398">
        <v>200</v>
      </c>
      <c r="S398">
        <v>20</v>
      </c>
      <c r="T398">
        <v>0</v>
      </c>
      <c r="U398">
        <v>1</v>
      </c>
      <c r="V398">
        <v>0</v>
      </c>
    </row>
    <row r="399" spans="1:22">
      <c r="A399" t="s">
        <v>367</v>
      </c>
      <c r="B399" s="3">
        <v>46178</v>
      </c>
      <c r="C399" t="s">
        <v>47</v>
      </c>
      <c r="D399" t="s">
        <v>64</v>
      </c>
      <c r="E399" t="s">
        <v>16</v>
      </c>
      <c r="F399" t="s">
        <v>17</v>
      </c>
      <c r="G399" t="s">
        <v>32</v>
      </c>
      <c r="H399" t="s">
        <v>19</v>
      </c>
      <c r="I399" t="s">
        <v>20</v>
      </c>
      <c r="J399">
        <v>300</v>
      </c>
      <c r="S399">
        <v>36</v>
      </c>
      <c r="T399">
        <v>0</v>
      </c>
      <c r="U399">
        <v>1</v>
      </c>
      <c r="V399">
        <v>0</v>
      </c>
    </row>
    <row r="400" spans="1:22">
      <c r="A400" t="s">
        <v>368</v>
      </c>
      <c r="B400" s="3">
        <v>46178</v>
      </c>
      <c r="C400" t="s">
        <v>47</v>
      </c>
      <c r="D400" t="s">
        <v>71</v>
      </c>
      <c r="E400" t="s">
        <v>16</v>
      </c>
      <c r="F400" t="s">
        <v>17</v>
      </c>
      <c r="G400" t="s">
        <v>23</v>
      </c>
      <c r="H400" t="s">
        <v>19</v>
      </c>
      <c r="I400" t="s">
        <v>20</v>
      </c>
      <c r="J400">
        <v>120</v>
      </c>
      <c r="S400">
        <v>9.6</v>
      </c>
      <c r="T400">
        <v>0</v>
      </c>
      <c r="U400">
        <v>1</v>
      </c>
      <c r="V400">
        <v>0</v>
      </c>
    </row>
    <row r="401" spans="1:22">
      <c r="A401" t="s">
        <v>369</v>
      </c>
      <c r="B401" s="3">
        <v>46178</v>
      </c>
      <c r="C401" t="s">
        <v>47</v>
      </c>
      <c r="D401" t="s">
        <v>48</v>
      </c>
      <c r="E401" t="s">
        <v>16</v>
      </c>
      <c r="F401" t="s">
        <v>17</v>
      </c>
      <c r="G401" t="s">
        <v>32</v>
      </c>
      <c r="H401" t="s">
        <v>19</v>
      </c>
      <c r="I401" t="s">
        <v>20</v>
      </c>
      <c r="J401">
        <v>300</v>
      </c>
      <c r="S401">
        <v>36</v>
      </c>
      <c r="T401">
        <v>0</v>
      </c>
      <c r="U401">
        <v>1</v>
      </c>
      <c r="V401">
        <v>0</v>
      </c>
    </row>
    <row r="402" spans="1:22">
      <c r="A402" t="s">
        <v>370</v>
      </c>
      <c r="B402" s="3">
        <v>46178</v>
      </c>
      <c r="C402" t="s">
        <v>47</v>
      </c>
      <c r="D402" t="s">
        <v>148</v>
      </c>
      <c r="E402" t="s">
        <v>16</v>
      </c>
      <c r="F402" t="s">
        <v>17</v>
      </c>
      <c r="G402" t="s">
        <v>23</v>
      </c>
      <c r="H402" t="s">
        <v>19</v>
      </c>
      <c r="I402" t="s">
        <v>20</v>
      </c>
      <c r="J402">
        <v>120</v>
      </c>
      <c r="S402">
        <v>9.6</v>
      </c>
      <c r="T402">
        <v>0</v>
      </c>
      <c r="U402">
        <v>1</v>
      </c>
      <c r="V402">
        <v>0</v>
      </c>
    </row>
    <row r="403" spans="1:22">
      <c r="A403" t="s">
        <v>371</v>
      </c>
      <c r="B403" s="3">
        <v>46178</v>
      </c>
      <c r="C403" t="s">
        <v>47</v>
      </c>
      <c r="D403" t="s">
        <v>48</v>
      </c>
      <c r="E403" t="s">
        <v>16</v>
      </c>
      <c r="F403" t="s">
        <v>17</v>
      </c>
      <c r="G403" t="s">
        <v>18</v>
      </c>
      <c r="H403" t="s">
        <v>19</v>
      </c>
      <c r="I403" t="s">
        <v>20</v>
      </c>
      <c r="J403">
        <v>170</v>
      </c>
      <c r="L403" t="s">
        <v>29</v>
      </c>
      <c r="S403">
        <v>17</v>
      </c>
      <c r="T403">
        <v>0</v>
      </c>
      <c r="U403">
        <v>1</v>
      </c>
      <c r="V403">
        <v>0</v>
      </c>
    </row>
    <row r="404" spans="1:22">
      <c r="A404" t="s">
        <v>372</v>
      </c>
      <c r="B404" s="3">
        <v>46178</v>
      </c>
      <c r="C404" t="s">
        <v>47</v>
      </c>
      <c r="D404" t="s">
        <v>62</v>
      </c>
      <c r="E404" t="s">
        <v>16</v>
      </c>
      <c r="F404" t="s">
        <v>17</v>
      </c>
      <c r="G404" t="s">
        <v>23</v>
      </c>
      <c r="H404" t="s">
        <v>19</v>
      </c>
      <c r="I404" t="s">
        <v>20</v>
      </c>
      <c r="J404">
        <v>120</v>
      </c>
      <c r="S404">
        <v>9.6</v>
      </c>
      <c r="T404">
        <v>0</v>
      </c>
      <c r="U404">
        <v>1</v>
      </c>
      <c r="V404">
        <v>0</v>
      </c>
    </row>
    <row r="405" spans="1:22">
      <c r="A405" t="s">
        <v>373</v>
      </c>
      <c r="B405" s="3">
        <v>46178</v>
      </c>
      <c r="C405" t="s">
        <v>47</v>
      </c>
      <c r="D405" t="s">
        <v>48</v>
      </c>
      <c r="E405" t="s">
        <v>16</v>
      </c>
      <c r="F405" t="s">
        <v>17</v>
      </c>
      <c r="G405" t="s">
        <v>32</v>
      </c>
      <c r="H405" t="s">
        <v>19</v>
      </c>
      <c r="I405" t="s">
        <v>20</v>
      </c>
      <c r="J405">
        <v>300</v>
      </c>
      <c r="S405">
        <v>36</v>
      </c>
      <c r="T405">
        <v>0</v>
      </c>
      <c r="U405">
        <v>1</v>
      </c>
      <c r="V405">
        <v>0</v>
      </c>
    </row>
    <row r="406" spans="1:22">
      <c r="A406" t="s">
        <v>374</v>
      </c>
      <c r="B406" s="3">
        <v>46178</v>
      </c>
      <c r="C406" t="s">
        <v>78</v>
      </c>
      <c r="D406" t="s">
        <v>93</v>
      </c>
      <c r="E406" t="s">
        <v>16</v>
      </c>
      <c r="F406" t="s">
        <v>35</v>
      </c>
      <c r="G406" t="s">
        <v>18</v>
      </c>
      <c r="H406" t="s">
        <v>19</v>
      </c>
      <c r="I406" t="s">
        <v>20</v>
      </c>
      <c r="J406">
        <v>170</v>
      </c>
      <c r="L406" t="s">
        <v>29</v>
      </c>
      <c r="S406">
        <v>5.0999999999999996</v>
      </c>
      <c r="T406">
        <v>0</v>
      </c>
      <c r="U406">
        <v>0</v>
      </c>
      <c r="V406">
        <v>0</v>
      </c>
    </row>
    <row r="407" spans="1:22">
      <c r="A407" t="s">
        <v>375</v>
      </c>
      <c r="B407" s="3">
        <v>46178</v>
      </c>
      <c r="C407" t="s">
        <v>78</v>
      </c>
      <c r="D407" t="s">
        <v>87</v>
      </c>
      <c r="E407" t="s">
        <v>16</v>
      </c>
      <c r="F407" t="s">
        <v>17</v>
      </c>
      <c r="G407" t="s">
        <v>23</v>
      </c>
      <c r="H407" t="s">
        <v>24</v>
      </c>
      <c r="I407" t="s">
        <v>53</v>
      </c>
      <c r="J407">
        <v>120</v>
      </c>
      <c r="S407">
        <v>0</v>
      </c>
      <c r="T407">
        <v>0</v>
      </c>
      <c r="U407">
        <v>0</v>
      </c>
      <c r="V407">
        <v>0</v>
      </c>
    </row>
    <row r="408" spans="1:22">
      <c r="A408" t="s">
        <v>376</v>
      </c>
      <c r="B408" s="3">
        <v>46178</v>
      </c>
      <c r="C408" t="s">
        <v>78</v>
      </c>
      <c r="D408" t="s">
        <v>85</v>
      </c>
      <c r="E408" t="s">
        <v>16</v>
      </c>
      <c r="F408" t="s">
        <v>17</v>
      </c>
      <c r="G408" t="s">
        <v>32</v>
      </c>
      <c r="H408" t="s">
        <v>19</v>
      </c>
      <c r="I408" t="s">
        <v>20</v>
      </c>
      <c r="J408">
        <v>300</v>
      </c>
      <c r="S408">
        <v>36</v>
      </c>
      <c r="T408">
        <v>0</v>
      </c>
      <c r="U408">
        <v>1</v>
      </c>
      <c r="V408">
        <v>0</v>
      </c>
    </row>
    <row r="409" spans="1:22">
      <c r="A409" t="s">
        <v>377</v>
      </c>
      <c r="B409" s="3">
        <v>46178</v>
      </c>
      <c r="C409" t="s">
        <v>78</v>
      </c>
      <c r="D409" t="s">
        <v>87</v>
      </c>
      <c r="E409" t="s">
        <v>16</v>
      </c>
      <c r="F409" t="s">
        <v>17</v>
      </c>
      <c r="G409" t="s">
        <v>23</v>
      </c>
      <c r="H409" t="s">
        <v>19</v>
      </c>
      <c r="I409" t="s">
        <v>20</v>
      </c>
      <c r="J409">
        <v>120</v>
      </c>
      <c r="S409">
        <v>9.6</v>
      </c>
      <c r="T409">
        <v>0</v>
      </c>
      <c r="U409">
        <v>1</v>
      </c>
      <c r="V409">
        <v>0</v>
      </c>
    </row>
    <row r="410" spans="1:22">
      <c r="A410" t="s">
        <v>378</v>
      </c>
      <c r="B410" s="3">
        <v>46178</v>
      </c>
      <c r="C410" t="s">
        <v>78</v>
      </c>
      <c r="D410" t="s">
        <v>79</v>
      </c>
      <c r="E410" t="s">
        <v>16</v>
      </c>
      <c r="F410" t="s">
        <v>17</v>
      </c>
      <c r="G410" t="s">
        <v>32</v>
      </c>
      <c r="H410" t="s">
        <v>19</v>
      </c>
      <c r="I410" t="s">
        <v>20</v>
      </c>
      <c r="J410">
        <v>300</v>
      </c>
      <c r="S410">
        <v>36</v>
      </c>
      <c r="T410">
        <v>0</v>
      </c>
      <c r="U410">
        <v>1</v>
      </c>
      <c r="V410">
        <v>0</v>
      </c>
    </row>
    <row r="411" spans="1:22">
      <c r="A411" t="s">
        <v>379</v>
      </c>
      <c r="B411" s="3">
        <v>46178</v>
      </c>
      <c r="C411" t="s">
        <v>78</v>
      </c>
      <c r="D411" t="s">
        <v>87</v>
      </c>
      <c r="E411" t="s">
        <v>16</v>
      </c>
      <c r="F411" t="s">
        <v>17</v>
      </c>
      <c r="G411" t="s">
        <v>32</v>
      </c>
      <c r="H411" t="s">
        <v>19</v>
      </c>
      <c r="I411" t="s">
        <v>74</v>
      </c>
      <c r="J411">
        <v>300</v>
      </c>
      <c r="S411">
        <v>0</v>
      </c>
      <c r="T411">
        <v>0</v>
      </c>
      <c r="U411">
        <v>0</v>
      </c>
      <c r="V411">
        <v>0</v>
      </c>
    </row>
    <row r="412" spans="1:22">
      <c r="A412" t="s">
        <v>380</v>
      </c>
      <c r="B412" s="3">
        <v>46178</v>
      </c>
      <c r="C412" t="s">
        <v>78</v>
      </c>
      <c r="D412" t="s">
        <v>242</v>
      </c>
      <c r="E412" t="s">
        <v>16</v>
      </c>
      <c r="F412" t="s">
        <v>17</v>
      </c>
      <c r="G412" t="s">
        <v>32</v>
      </c>
      <c r="H412" t="s">
        <v>19</v>
      </c>
      <c r="I412" t="s">
        <v>20</v>
      </c>
      <c r="J412">
        <v>300</v>
      </c>
      <c r="S412">
        <v>36</v>
      </c>
      <c r="T412">
        <v>0</v>
      </c>
      <c r="U412">
        <v>1</v>
      </c>
      <c r="V412">
        <v>0</v>
      </c>
    </row>
    <row r="413" spans="1:22">
      <c r="A413" t="s">
        <v>381</v>
      </c>
      <c r="B413" s="3">
        <v>46178</v>
      </c>
      <c r="C413" t="s">
        <v>78</v>
      </c>
      <c r="D413" t="s">
        <v>242</v>
      </c>
      <c r="E413" t="s">
        <v>16</v>
      </c>
      <c r="F413" t="s">
        <v>35</v>
      </c>
      <c r="G413" t="s">
        <v>23</v>
      </c>
      <c r="H413" t="s">
        <v>19</v>
      </c>
      <c r="I413" t="s">
        <v>20</v>
      </c>
      <c r="J413">
        <v>120</v>
      </c>
      <c r="S413">
        <v>3.6</v>
      </c>
      <c r="T413">
        <v>0</v>
      </c>
      <c r="U413">
        <v>0</v>
      </c>
      <c r="V413">
        <v>0</v>
      </c>
    </row>
    <row r="414" spans="1:22">
      <c r="A414" t="s">
        <v>382</v>
      </c>
      <c r="B414" s="3">
        <v>46178</v>
      </c>
      <c r="C414" t="s">
        <v>78</v>
      </c>
      <c r="D414" t="s">
        <v>242</v>
      </c>
      <c r="E414" t="s">
        <v>16</v>
      </c>
      <c r="F414" t="s">
        <v>17</v>
      </c>
      <c r="G414" t="s">
        <v>23</v>
      </c>
      <c r="H414" t="s">
        <v>19</v>
      </c>
      <c r="I414" t="s">
        <v>20</v>
      </c>
      <c r="J414">
        <v>120</v>
      </c>
      <c r="S414">
        <v>9.6</v>
      </c>
      <c r="T414">
        <v>0</v>
      </c>
      <c r="U414">
        <v>1</v>
      </c>
      <c r="V414">
        <v>0</v>
      </c>
    </row>
    <row r="415" spans="1:22">
      <c r="A415" t="s">
        <v>383</v>
      </c>
      <c r="B415" s="3">
        <v>46178</v>
      </c>
      <c r="C415" t="s">
        <v>78</v>
      </c>
      <c r="D415" t="s">
        <v>163</v>
      </c>
      <c r="E415" t="s">
        <v>16</v>
      </c>
      <c r="F415" t="s">
        <v>35</v>
      </c>
      <c r="G415" t="s">
        <v>23</v>
      </c>
      <c r="H415" t="s">
        <v>19</v>
      </c>
      <c r="I415" t="s">
        <v>20</v>
      </c>
      <c r="J415">
        <v>120</v>
      </c>
      <c r="S415">
        <v>3.6</v>
      </c>
      <c r="T415">
        <v>0</v>
      </c>
      <c r="U415">
        <v>0</v>
      </c>
      <c r="V415">
        <v>0</v>
      </c>
    </row>
    <row r="416" spans="1:22">
      <c r="A416" t="s">
        <v>384</v>
      </c>
      <c r="B416" s="3">
        <v>46178</v>
      </c>
      <c r="C416" t="s">
        <v>78</v>
      </c>
      <c r="D416" t="s">
        <v>79</v>
      </c>
      <c r="E416" t="s">
        <v>16</v>
      </c>
      <c r="F416" t="s">
        <v>35</v>
      </c>
      <c r="G416" t="s">
        <v>32</v>
      </c>
      <c r="H416" t="s">
        <v>19</v>
      </c>
      <c r="I416" t="s">
        <v>20</v>
      </c>
      <c r="J416">
        <v>300</v>
      </c>
      <c r="S416">
        <v>9</v>
      </c>
      <c r="T416">
        <v>0</v>
      </c>
      <c r="U416">
        <v>0</v>
      </c>
      <c r="V416">
        <v>0</v>
      </c>
    </row>
    <row r="417" spans="1:22">
      <c r="A417" t="s">
        <v>385</v>
      </c>
      <c r="B417" s="3">
        <v>46178</v>
      </c>
      <c r="C417" t="s">
        <v>78</v>
      </c>
      <c r="D417" t="s">
        <v>242</v>
      </c>
      <c r="E417" t="s">
        <v>16</v>
      </c>
      <c r="F417" t="s">
        <v>17</v>
      </c>
      <c r="G417" t="s">
        <v>32</v>
      </c>
      <c r="H417" t="s">
        <v>19</v>
      </c>
      <c r="I417" t="s">
        <v>20</v>
      </c>
      <c r="J417">
        <v>300</v>
      </c>
      <c r="S417">
        <v>36</v>
      </c>
      <c r="T417">
        <v>0</v>
      </c>
      <c r="U417">
        <v>1</v>
      </c>
      <c r="V417">
        <v>0</v>
      </c>
    </row>
    <row r="418" spans="1:22">
      <c r="A418" t="s">
        <v>386</v>
      </c>
      <c r="B418" s="3">
        <v>46178</v>
      </c>
      <c r="C418" t="s">
        <v>78</v>
      </c>
      <c r="D418" t="s">
        <v>89</v>
      </c>
      <c r="E418" t="s">
        <v>16</v>
      </c>
      <c r="F418" t="s">
        <v>17</v>
      </c>
      <c r="G418" t="s">
        <v>23</v>
      </c>
      <c r="H418" t="s">
        <v>19</v>
      </c>
      <c r="I418" t="s">
        <v>20</v>
      </c>
      <c r="J418">
        <v>120</v>
      </c>
      <c r="S418">
        <v>9.6</v>
      </c>
      <c r="T418">
        <v>0</v>
      </c>
      <c r="U418">
        <v>1</v>
      </c>
      <c r="V418">
        <v>0</v>
      </c>
    </row>
    <row r="419" spans="1:22">
      <c r="A419" t="s">
        <v>387</v>
      </c>
      <c r="B419" s="3">
        <v>46178</v>
      </c>
      <c r="C419" t="s">
        <v>78</v>
      </c>
      <c r="D419" t="s">
        <v>93</v>
      </c>
      <c r="E419" t="s">
        <v>16</v>
      </c>
      <c r="F419" t="s">
        <v>17</v>
      </c>
      <c r="G419" t="s">
        <v>23</v>
      </c>
      <c r="H419" t="s">
        <v>19</v>
      </c>
      <c r="I419" t="s">
        <v>20</v>
      </c>
      <c r="J419">
        <v>120</v>
      </c>
      <c r="S419">
        <v>9.6</v>
      </c>
      <c r="T419">
        <v>0</v>
      </c>
      <c r="U419">
        <v>1</v>
      </c>
      <c r="V419">
        <v>0</v>
      </c>
    </row>
    <row r="420" spans="1:22">
      <c r="A420" t="s">
        <v>388</v>
      </c>
      <c r="B420" s="3">
        <v>46178</v>
      </c>
      <c r="C420" t="s">
        <v>105</v>
      </c>
      <c r="D420" t="s">
        <v>118</v>
      </c>
      <c r="E420" t="s">
        <v>16</v>
      </c>
      <c r="F420" t="s">
        <v>17</v>
      </c>
      <c r="G420" t="s">
        <v>18</v>
      </c>
      <c r="H420" t="s">
        <v>19</v>
      </c>
      <c r="I420" t="s">
        <v>20</v>
      </c>
      <c r="J420">
        <v>200</v>
      </c>
      <c r="S420">
        <v>20</v>
      </c>
      <c r="T420">
        <v>0</v>
      </c>
      <c r="U420">
        <v>1</v>
      </c>
      <c r="V420">
        <v>0</v>
      </c>
    </row>
    <row r="421" spans="1:22">
      <c r="A421" t="s">
        <v>389</v>
      </c>
      <c r="B421" s="3">
        <v>46178</v>
      </c>
      <c r="C421" t="s">
        <v>105</v>
      </c>
      <c r="D421" t="s">
        <v>194</v>
      </c>
      <c r="E421" t="s">
        <v>16</v>
      </c>
      <c r="F421" t="s">
        <v>17</v>
      </c>
      <c r="G421" t="s">
        <v>23</v>
      </c>
      <c r="H421" t="s">
        <v>19</v>
      </c>
      <c r="I421" t="s">
        <v>20</v>
      </c>
      <c r="J421">
        <v>120</v>
      </c>
      <c r="S421">
        <v>9.6</v>
      </c>
      <c r="T421">
        <v>0</v>
      </c>
      <c r="U421">
        <v>1</v>
      </c>
      <c r="V421">
        <v>0</v>
      </c>
    </row>
    <row r="422" spans="1:22">
      <c r="A422" t="s">
        <v>390</v>
      </c>
      <c r="B422" s="3">
        <v>46178</v>
      </c>
      <c r="C422" t="s">
        <v>105</v>
      </c>
      <c r="D422" t="s">
        <v>191</v>
      </c>
      <c r="E422" t="s">
        <v>16</v>
      </c>
      <c r="F422" t="s">
        <v>17</v>
      </c>
      <c r="G422" t="s">
        <v>32</v>
      </c>
      <c r="H422" t="s">
        <v>19</v>
      </c>
      <c r="I422" t="s">
        <v>20</v>
      </c>
      <c r="J422">
        <v>300</v>
      </c>
      <c r="S422">
        <v>36</v>
      </c>
      <c r="T422">
        <v>0</v>
      </c>
      <c r="U422">
        <v>1</v>
      </c>
      <c r="V422">
        <v>0</v>
      </c>
    </row>
    <row r="423" spans="1:22">
      <c r="A423" t="s">
        <v>391</v>
      </c>
      <c r="B423" s="3">
        <v>46178</v>
      </c>
      <c r="C423" t="s">
        <v>105</v>
      </c>
      <c r="D423" t="s">
        <v>112</v>
      </c>
      <c r="E423" t="s">
        <v>16</v>
      </c>
      <c r="F423" t="s">
        <v>17</v>
      </c>
      <c r="G423" t="s">
        <v>18</v>
      </c>
      <c r="H423" t="s">
        <v>19</v>
      </c>
      <c r="I423" t="s">
        <v>20</v>
      </c>
      <c r="J423">
        <v>200</v>
      </c>
      <c r="S423">
        <v>20</v>
      </c>
      <c r="T423">
        <v>0</v>
      </c>
      <c r="U423">
        <v>1</v>
      </c>
      <c r="V423">
        <v>0</v>
      </c>
    </row>
    <row r="424" spans="1:22">
      <c r="A424" t="s">
        <v>392</v>
      </c>
      <c r="B424" s="3">
        <v>46178</v>
      </c>
      <c r="C424" t="s">
        <v>105</v>
      </c>
      <c r="D424" t="s">
        <v>116</v>
      </c>
      <c r="E424" t="s">
        <v>16</v>
      </c>
      <c r="F424" t="s">
        <v>17</v>
      </c>
      <c r="G424" t="s">
        <v>18</v>
      </c>
      <c r="H424" t="s">
        <v>19</v>
      </c>
      <c r="I424" t="s">
        <v>20</v>
      </c>
      <c r="J424">
        <v>200</v>
      </c>
      <c r="S424">
        <v>20</v>
      </c>
      <c r="T424">
        <v>0</v>
      </c>
      <c r="U424">
        <v>1</v>
      </c>
      <c r="V424">
        <v>0</v>
      </c>
    </row>
    <row r="425" spans="1:22">
      <c r="A425" t="s">
        <v>393</v>
      </c>
      <c r="B425" s="3">
        <v>46178</v>
      </c>
      <c r="C425" t="s">
        <v>105</v>
      </c>
      <c r="D425" t="s">
        <v>194</v>
      </c>
      <c r="E425" t="s">
        <v>16</v>
      </c>
      <c r="F425" t="s">
        <v>17</v>
      </c>
      <c r="G425" t="s">
        <v>23</v>
      </c>
      <c r="H425" t="s">
        <v>19</v>
      </c>
      <c r="I425" t="s">
        <v>20</v>
      </c>
      <c r="J425">
        <v>120</v>
      </c>
      <c r="S425">
        <v>9.6</v>
      </c>
      <c r="T425">
        <v>0</v>
      </c>
      <c r="U425">
        <v>1</v>
      </c>
      <c r="V425">
        <v>0</v>
      </c>
    </row>
    <row r="426" spans="1:22">
      <c r="A426" t="s">
        <v>394</v>
      </c>
      <c r="B426" s="3">
        <v>46178</v>
      </c>
      <c r="C426" t="s">
        <v>105</v>
      </c>
      <c r="D426" t="s">
        <v>112</v>
      </c>
      <c r="E426" t="s">
        <v>16</v>
      </c>
      <c r="F426" t="s">
        <v>17</v>
      </c>
      <c r="G426" t="s">
        <v>18</v>
      </c>
      <c r="H426" t="s">
        <v>24</v>
      </c>
      <c r="I426" t="s">
        <v>20</v>
      </c>
      <c r="J426">
        <v>200</v>
      </c>
      <c r="S426">
        <v>0</v>
      </c>
      <c r="T426">
        <v>0</v>
      </c>
      <c r="U426">
        <v>0</v>
      </c>
      <c r="V426">
        <v>0</v>
      </c>
    </row>
    <row r="427" spans="1:22">
      <c r="A427" t="s">
        <v>395</v>
      </c>
      <c r="B427" s="3">
        <v>46178</v>
      </c>
      <c r="C427" t="s">
        <v>105</v>
      </c>
      <c r="D427" t="s">
        <v>116</v>
      </c>
      <c r="E427" t="s">
        <v>16</v>
      </c>
      <c r="F427" t="s">
        <v>35</v>
      </c>
      <c r="G427" t="s">
        <v>32</v>
      </c>
      <c r="H427" t="s">
        <v>19</v>
      </c>
      <c r="I427" t="s">
        <v>20</v>
      </c>
      <c r="J427">
        <v>300</v>
      </c>
      <c r="S427">
        <v>9</v>
      </c>
      <c r="T427">
        <v>0</v>
      </c>
      <c r="U427">
        <v>0</v>
      </c>
      <c r="V427">
        <v>0</v>
      </c>
    </row>
    <row r="428" spans="1:22">
      <c r="A428" t="s">
        <v>396</v>
      </c>
      <c r="B428" s="3">
        <v>46178</v>
      </c>
      <c r="C428" t="s">
        <v>105</v>
      </c>
      <c r="D428" t="s">
        <v>120</v>
      </c>
      <c r="E428" t="s">
        <v>16</v>
      </c>
      <c r="F428" t="s">
        <v>17</v>
      </c>
      <c r="G428" t="s">
        <v>32</v>
      </c>
      <c r="H428" t="s">
        <v>19</v>
      </c>
      <c r="I428" t="s">
        <v>20</v>
      </c>
      <c r="J428">
        <v>300</v>
      </c>
      <c r="S428">
        <v>36</v>
      </c>
      <c r="T428">
        <v>0</v>
      </c>
      <c r="U428">
        <v>1</v>
      </c>
      <c r="V428">
        <v>0</v>
      </c>
    </row>
    <row r="429" spans="1:22">
      <c r="A429" t="s">
        <v>397</v>
      </c>
      <c r="B429" s="3">
        <v>46178</v>
      </c>
      <c r="C429" t="s">
        <v>105</v>
      </c>
      <c r="D429" t="s">
        <v>265</v>
      </c>
      <c r="E429" t="s">
        <v>16</v>
      </c>
      <c r="F429" t="s">
        <v>17</v>
      </c>
      <c r="G429" t="s">
        <v>32</v>
      </c>
      <c r="H429" t="s">
        <v>19</v>
      </c>
      <c r="I429" t="s">
        <v>20</v>
      </c>
      <c r="J429">
        <v>300</v>
      </c>
      <c r="S429">
        <v>36</v>
      </c>
      <c r="T429">
        <v>0</v>
      </c>
      <c r="U429">
        <v>1</v>
      </c>
      <c r="V429">
        <v>0</v>
      </c>
    </row>
    <row r="430" spans="1:22">
      <c r="A430" t="s">
        <v>398</v>
      </c>
      <c r="B430" s="3">
        <v>46178</v>
      </c>
      <c r="C430" t="s">
        <v>105</v>
      </c>
      <c r="D430" t="s">
        <v>191</v>
      </c>
      <c r="E430" t="s">
        <v>16</v>
      </c>
      <c r="F430" t="s">
        <v>17</v>
      </c>
      <c r="G430" t="s">
        <v>18</v>
      </c>
      <c r="H430" t="s">
        <v>19</v>
      </c>
      <c r="I430" t="s">
        <v>20</v>
      </c>
      <c r="J430">
        <v>200</v>
      </c>
      <c r="S430">
        <v>20</v>
      </c>
      <c r="T430">
        <v>0</v>
      </c>
      <c r="U430">
        <v>1</v>
      </c>
      <c r="V430">
        <v>0</v>
      </c>
    </row>
    <row r="431" spans="1:22">
      <c r="A431" t="s">
        <v>399</v>
      </c>
      <c r="B431" s="3">
        <v>46178</v>
      </c>
      <c r="C431" t="s">
        <v>105</v>
      </c>
      <c r="D431" t="s">
        <v>112</v>
      </c>
      <c r="E431" t="s">
        <v>16</v>
      </c>
      <c r="F431" t="s">
        <v>35</v>
      </c>
      <c r="G431" t="s">
        <v>18</v>
      </c>
      <c r="H431" t="s">
        <v>19</v>
      </c>
      <c r="I431" t="s">
        <v>20</v>
      </c>
      <c r="J431">
        <v>200</v>
      </c>
      <c r="S431">
        <v>6</v>
      </c>
      <c r="T431">
        <v>0</v>
      </c>
      <c r="U431">
        <v>0</v>
      </c>
      <c r="V431">
        <v>0</v>
      </c>
    </row>
    <row r="432" spans="1:22">
      <c r="A432" t="s">
        <v>400</v>
      </c>
      <c r="B432" s="3">
        <v>46178</v>
      </c>
      <c r="C432" t="s">
        <v>105</v>
      </c>
      <c r="D432" t="s">
        <v>194</v>
      </c>
      <c r="E432" t="s">
        <v>16</v>
      </c>
      <c r="F432" t="s">
        <v>17</v>
      </c>
      <c r="G432" t="s">
        <v>32</v>
      </c>
      <c r="H432" t="s">
        <v>19</v>
      </c>
      <c r="I432" t="s">
        <v>20</v>
      </c>
      <c r="J432">
        <v>300</v>
      </c>
      <c r="S432">
        <v>36</v>
      </c>
      <c r="T432">
        <v>0</v>
      </c>
      <c r="U432">
        <v>1</v>
      </c>
      <c r="V432">
        <v>0</v>
      </c>
    </row>
    <row r="433" spans="1:22">
      <c r="A433" t="s">
        <v>403</v>
      </c>
      <c r="B433" s="3">
        <v>46179</v>
      </c>
      <c r="C433" t="s">
        <v>14</v>
      </c>
      <c r="D433" t="s">
        <v>22</v>
      </c>
      <c r="E433" t="s">
        <v>16</v>
      </c>
      <c r="F433" t="s">
        <v>17</v>
      </c>
      <c r="G433" t="s">
        <v>32</v>
      </c>
      <c r="H433" t="s">
        <v>24</v>
      </c>
      <c r="I433" t="s">
        <v>20</v>
      </c>
      <c r="J433">
        <v>300</v>
      </c>
      <c r="S433">
        <v>0</v>
      </c>
      <c r="T433">
        <v>0</v>
      </c>
      <c r="U433">
        <v>0</v>
      </c>
      <c r="V433">
        <v>0</v>
      </c>
    </row>
    <row r="434" spans="1:22">
      <c r="A434" t="s">
        <v>405</v>
      </c>
      <c r="B434" s="3">
        <v>46179</v>
      </c>
      <c r="C434" t="s">
        <v>14</v>
      </c>
      <c r="D434" t="s">
        <v>22</v>
      </c>
      <c r="E434" t="s">
        <v>16</v>
      </c>
      <c r="F434" t="s">
        <v>17</v>
      </c>
      <c r="G434" t="s">
        <v>18</v>
      </c>
      <c r="H434" t="s">
        <v>19</v>
      </c>
      <c r="I434" t="s">
        <v>20</v>
      </c>
      <c r="J434">
        <v>200</v>
      </c>
      <c r="S434">
        <v>20</v>
      </c>
      <c r="T434">
        <v>0</v>
      </c>
      <c r="U434">
        <v>1</v>
      </c>
      <c r="V434">
        <v>0</v>
      </c>
    </row>
    <row r="435" spans="1:22">
      <c r="A435" t="s">
        <v>406</v>
      </c>
      <c r="B435" s="3">
        <v>46179</v>
      </c>
      <c r="C435" t="s">
        <v>14</v>
      </c>
      <c r="D435" t="s">
        <v>210</v>
      </c>
      <c r="E435" t="s">
        <v>16</v>
      </c>
      <c r="F435" t="s">
        <v>17</v>
      </c>
      <c r="G435" t="s">
        <v>23</v>
      </c>
      <c r="H435" t="s">
        <v>19</v>
      </c>
      <c r="I435" t="s">
        <v>20</v>
      </c>
      <c r="J435">
        <v>120</v>
      </c>
      <c r="S435">
        <v>9.6</v>
      </c>
      <c r="T435">
        <v>0</v>
      </c>
      <c r="U435">
        <v>1</v>
      </c>
      <c r="V435">
        <v>0</v>
      </c>
    </row>
    <row r="436" spans="1:22">
      <c r="A436" t="s">
        <v>407</v>
      </c>
      <c r="B436" s="3">
        <v>46179</v>
      </c>
      <c r="C436" t="s">
        <v>14</v>
      </c>
      <c r="D436" t="s">
        <v>210</v>
      </c>
      <c r="E436" t="s">
        <v>16</v>
      </c>
      <c r="F436" t="s">
        <v>17</v>
      </c>
      <c r="G436" t="s">
        <v>32</v>
      </c>
      <c r="H436" t="s">
        <v>19</v>
      </c>
      <c r="I436" t="s">
        <v>20</v>
      </c>
      <c r="J436">
        <v>300</v>
      </c>
      <c r="S436">
        <v>36</v>
      </c>
      <c r="T436">
        <v>0</v>
      </c>
      <c r="U436">
        <v>1</v>
      </c>
      <c r="V436">
        <v>0</v>
      </c>
    </row>
    <row r="437" spans="1:22">
      <c r="A437" t="s">
        <v>408</v>
      </c>
      <c r="B437" s="3">
        <v>46179</v>
      </c>
      <c r="C437" t="s">
        <v>14</v>
      </c>
      <c r="D437" t="s">
        <v>210</v>
      </c>
      <c r="E437" t="s">
        <v>16</v>
      </c>
      <c r="F437" t="s">
        <v>17</v>
      </c>
      <c r="G437" t="s">
        <v>18</v>
      </c>
      <c r="H437" t="s">
        <v>19</v>
      </c>
      <c r="I437" t="s">
        <v>20</v>
      </c>
      <c r="J437">
        <v>200</v>
      </c>
      <c r="S437">
        <v>20</v>
      </c>
      <c r="T437">
        <v>0</v>
      </c>
      <c r="U437">
        <v>1</v>
      </c>
      <c r="V437">
        <v>0</v>
      </c>
    </row>
    <row r="438" spans="1:22">
      <c r="A438" t="s">
        <v>409</v>
      </c>
      <c r="B438" s="3">
        <v>46179</v>
      </c>
      <c r="C438" t="s">
        <v>14</v>
      </c>
      <c r="D438" t="s">
        <v>15</v>
      </c>
      <c r="E438" t="s">
        <v>16</v>
      </c>
      <c r="F438" t="s">
        <v>17</v>
      </c>
      <c r="G438" t="s">
        <v>18</v>
      </c>
      <c r="H438" t="s">
        <v>19</v>
      </c>
      <c r="I438" t="s">
        <v>20</v>
      </c>
      <c r="J438">
        <v>200</v>
      </c>
      <c r="S438">
        <v>20</v>
      </c>
      <c r="T438">
        <v>0</v>
      </c>
      <c r="U438">
        <v>1</v>
      </c>
      <c r="V438">
        <v>0</v>
      </c>
    </row>
    <row r="439" spans="1:22">
      <c r="A439" t="s">
        <v>410</v>
      </c>
      <c r="B439" s="3">
        <v>46179</v>
      </c>
      <c r="C439" t="s">
        <v>14</v>
      </c>
      <c r="D439" t="s">
        <v>26</v>
      </c>
      <c r="E439" t="s">
        <v>16</v>
      </c>
      <c r="F439" t="s">
        <v>17</v>
      </c>
      <c r="G439" t="s">
        <v>23</v>
      </c>
      <c r="H439" t="s">
        <v>24</v>
      </c>
      <c r="I439" t="s">
        <v>20</v>
      </c>
      <c r="J439">
        <v>120</v>
      </c>
      <c r="S439">
        <v>0</v>
      </c>
      <c r="T439">
        <v>0</v>
      </c>
      <c r="U439">
        <v>0</v>
      </c>
      <c r="V439">
        <v>0</v>
      </c>
    </row>
    <row r="440" spans="1:22">
      <c r="A440" t="s">
        <v>411</v>
      </c>
      <c r="B440" s="3">
        <v>46179</v>
      </c>
      <c r="C440" t="s">
        <v>14</v>
      </c>
      <c r="D440" t="s">
        <v>40</v>
      </c>
      <c r="E440" t="s">
        <v>16</v>
      </c>
      <c r="F440" t="s">
        <v>17</v>
      </c>
      <c r="G440" t="s">
        <v>18</v>
      </c>
      <c r="H440" t="s">
        <v>19</v>
      </c>
      <c r="I440" t="s">
        <v>20</v>
      </c>
      <c r="J440">
        <v>200</v>
      </c>
      <c r="S440">
        <v>20</v>
      </c>
      <c r="T440">
        <v>0</v>
      </c>
      <c r="U440">
        <v>1</v>
      </c>
      <c r="V440">
        <v>0</v>
      </c>
    </row>
    <row r="441" spans="1:22">
      <c r="A441" t="s">
        <v>412</v>
      </c>
      <c r="B441" s="3">
        <v>46179</v>
      </c>
      <c r="C441" t="s">
        <v>14</v>
      </c>
      <c r="D441" t="s">
        <v>15</v>
      </c>
      <c r="E441" t="s">
        <v>16</v>
      </c>
      <c r="F441" t="s">
        <v>17</v>
      </c>
      <c r="G441" t="s">
        <v>23</v>
      </c>
      <c r="H441" t="s">
        <v>19</v>
      </c>
      <c r="I441" t="s">
        <v>20</v>
      </c>
      <c r="J441">
        <v>120</v>
      </c>
      <c r="S441">
        <v>9.6</v>
      </c>
      <c r="T441">
        <v>0</v>
      </c>
      <c r="U441">
        <v>1</v>
      </c>
      <c r="V441">
        <v>0</v>
      </c>
    </row>
    <row r="442" spans="1:22">
      <c r="A442" t="s">
        <v>413</v>
      </c>
      <c r="B442" s="3">
        <v>46179</v>
      </c>
      <c r="C442" t="s">
        <v>14</v>
      </c>
      <c r="D442" t="s">
        <v>37</v>
      </c>
      <c r="E442" t="s">
        <v>16</v>
      </c>
      <c r="F442" t="s">
        <v>17</v>
      </c>
      <c r="G442" t="s">
        <v>32</v>
      </c>
      <c r="H442" t="s">
        <v>19</v>
      </c>
      <c r="I442" t="s">
        <v>20</v>
      </c>
      <c r="J442">
        <v>255</v>
      </c>
      <c r="L442" t="s">
        <v>29</v>
      </c>
      <c r="S442">
        <v>30.6</v>
      </c>
      <c r="T442">
        <v>0</v>
      </c>
      <c r="U442">
        <v>1</v>
      </c>
      <c r="V442">
        <v>0</v>
      </c>
    </row>
    <row r="443" spans="1:22">
      <c r="A443" t="s">
        <v>414</v>
      </c>
      <c r="B443" s="3">
        <v>46179</v>
      </c>
      <c r="C443" t="s">
        <v>14</v>
      </c>
      <c r="D443" t="s">
        <v>34</v>
      </c>
      <c r="E443" t="s">
        <v>16</v>
      </c>
      <c r="F443" t="s">
        <v>17</v>
      </c>
      <c r="G443" t="s">
        <v>18</v>
      </c>
      <c r="H443" t="s">
        <v>19</v>
      </c>
      <c r="I443" t="s">
        <v>20</v>
      </c>
      <c r="J443">
        <v>200</v>
      </c>
      <c r="S443">
        <v>20</v>
      </c>
      <c r="T443">
        <v>0</v>
      </c>
      <c r="U443">
        <v>1</v>
      </c>
      <c r="V443">
        <v>0</v>
      </c>
    </row>
    <row r="444" spans="1:22">
      <c r="A444" t="s">
        <v>415</v>
      </c>
      <c r="B444" s="3">
        <v>46179</v>
      </c>
      <c r="C444" t="s">
        <v>14</v>
      </c>
      <c r="D444" t="s">
        <v>31</v>
      </c>
      <c r="E444" t="s">
        <v>16</v>
      </c>
      <c r="F444" t="s">
        <v>17</v>
      </c>
      <c r="G444" t="s">
        <v>32</v>
      </c>
      <c r="H444" t="s">
        <v>19</v>
      </c>
      <c r="I444" t="s">
        <v>20</v>
      </c>
      <c r="J444">
        <v>300</v>
      </c>
      <c r="S444">
        <v>36</v>
      </c>
      <c r="T444">
        <v>0</v>
      </c>
      <c r="U444">
        <v>1</v>
      </c>
      <c r="V444">
        <v>0</v>
      </c>
    </row>
    <row r="445" spans="1:22">
      <c r="A445" t="s">
        <v>416</v>
      </c>
      <c r="B445" s="3">
        <v>46179</v>
      </c>
      <c r="C445" t="s">
        <v>14</v>
      </c>
      <c r="D445" t="s">
        <v>28</v>
      </c>
      <c r="E445" t="s">
        <v>16</v>
      </c>
      <c r="F445" t="s">
        <v>17</v>
      </c>
      <c r="G445" t="s">
        <v>23</v>
      </c>
      <c r="H445" t="s">
        <v>24</v>
      </c>
      <c r="I445" t="s">
        <v>20</v>
      </c>
      <c r="J445">
        <v>120</v>
      </c>
      <c r="S445">
        <v>0</v>
      </c>
      <c r="T445">
        <v>0</v>
      </c>
      <c r="U445">
        <v>0</v>
      </c>
      <c r="V445">
        <v>0</v>
      </c>
    </row>
    <row r="446" spans="1:22">
      <c r="A446" t="s">
        <v>417</v>
      </c>
      <c r="B446" s="3">
        <v>46179</v>
      </c>
      <c r="C446" t="s">
        <v>14</v>
      </c>
      <c r="D446" t="s">
        <v>131</v>
      </c>
      <c r="E446" t="s">
        <v>16</v>
      </c>
      <c r="F446" t="s">
        <v>17</v>
      </c>
      <c r="G446" t="s">
        <v>32</v>
      </c>
      <c r="H446" t="s">
        <v>24</v>
      </c>
      <c r="I446" t="s">
        <v>20</v>
      </c>
      <c r="J446">
        <v>300</v>
      </c>
      <c r="S446">
        <v>0</v>
      </c>
      <c r="T446">
        <v>0</v>
      </c>
      <c r="U446">
        <v>0</v>
      </c>
      <c r="V446">
        <v>0</v>
      </c>
    </row>
    <row r="447" spans="1:22">
      <c r="A447" t="s">
        <v>418</v>
      </c>
      <c r="B447" s="3">
        <v>46179</v>
      </c>
      <c r="C447" t="s">
        <v>47</v>
      </c>
      <c r="D447" t="s">
        <v>52</v>
      </c>
      <c r="E447" t="s">
        <v>16</v>
      </c>
      <c r="F447" t="s">
        <v>17</v>
      </c>
      <c r="G447" t="s">
        <v>18</v>
      </c>
      <c r="H447" t="s">
        <v>24</v>
      </c>
      <c r="I447" t="s">
        <v>20</v>
      </c>
      <c r="J447">
        <v>150</v>
      </c>
      <c r="L447" t="s">
        <v>29</v>
      </c>
      <c r="S447">
        <v>0</v>
      </c>
      <c r="T447">
        <v>0</v>
      </c>
      <c r="U447">
        <v>0</v>
      </c>
      <c r="V447">
        <v>0</v>
      </c>
    </row>
    <row r="448" spans="1:22">
      <c r="A448" t="s">
        <v>419</v>
      </c>
      <c r="B448" s="3">
        <v>46179</v>
      </c>
      <c r="C448" t="s">
        <v>47</v>
      </c>
      <c r="D448" t="s">
        <v>71</v>
      </c>
      <c r="E448" t="s">
        <v>16</v>
      </c>
      <c r="F448" t="s">
        <v>17</v>
      </c>
      <c r="G448" t="s">
        <v>23</v>
      </c>
      <c r="H448" t="s">
        <v>19</v>
      </c>
      <c r="I448" t="s">
        <v>20</v>
      </c>
      <c r="J448">
        <v>120</v>
      </c>
      <c r="S448">
        <v>9.6</v>
      </c>
      <c r="T448">
        <v>0</v>
      </c>
      <c r="U448">
        <v>1</v>
      </c>
      <c r="V448">
        <v>0</v>
      </c>
    </row>
    <row r="449" spans="1:22">
      <c r="A449" t="s">
        <v>420</v>
      </c>
      <c r="B449" s="3">
        <v>46179</v>
      </c>
      <c r="C449" t="s">
        <v>47</v>
      </c>
      <c r="D449" t="s">
        <v>50</v>
      </c>
      <c r="E449" t="s">
        <v>16</v>
      </c>
      <c r="F449" t="s">
        <v>17</v>
      </c>
      <c r="G449" t="s">
        <v>18</v>
      </c>
      <c r="H449" t="s">
        <v>19</v>
      </c>
      <c r="I449" t="s">
        <v>20</v>
      </c>
      <c r="J449">
        <v>200</v>
      </c>
      <c r="S449">
        <v>20</v>
      </c>
      <c r="T449">
        <v>0</v>
      </c>
      <c r="U449">
        <v>1</v>
      </c>
      <c r="V449">
        <v>0</v>
      </c>
    </row>
    <row r="450" spans="1:22">
      <c r="A450" t="s">
        <v>421</v>
      </c>
      <c r="B450" s="3">
        <v>46179</v>
      </c>
      <c r="C450" t="s">
        <v>47</v>
      </c>
      <c r="D450" t="s">
        <v>73</v>
      </c>
      <c r="E450" t="s">
        <v>16</v>
      </c>
      <c r="F450" t="s">
        <v>35</v>
      </c>
      <c r="G450" t="s">
        <v>32</v>
      </c>
      <c r="H450" t="s">
        <v>19</v>
      </c>
      <c r="I450" t="s">
        <v>20</v>
      </c>
      <c r="J450">
        <v>300</v>
      </c>
      <c r="S450">
        <v>9</v>
      </c>
      <c r="T450">
        <v>0</v>
      </c>
      <c r="U450">
        <v>0</v>
      </c>
      <c r="V450">
        <v>0</v>
      </c>
    </row>
    <row r="451" spans="1:22">
      <c r="A451" t="s">
        <v>422</v>
      </c>
      <c r="B451" s="3">
        <v>46179</v>
      </c>
      <c r="C451" t="s">
        <v>47</v>
      </c>
      <c r="D451" t="s">
        <v>152</v>
      </c>
      <c r="E451" t="s">
        <v>16</v>
      </c>
      <c r="F451" t="s">
        <v>35</v>
      </c>
      <c r="G451" t="s">
        <v>32</v>
      </c>
      <c r="H451" t="s">
        <v>19</v>
      </c>
      <c r="I451" t="s">
        <v>20</v>
      </c>
      <c r="J451">
        <v>300</v>
      </c>
      <c r="S451">
        <v>9</v>
      </c>
      <c r="T451">
        <v>0</v>
      </c>
      <c r="U451">
        <v>0</v>
      </c>
      <c r="V451">
        <v>0</v>
      </c>
    </row>
    <row r="452" spans="1:22">
      <c r="A452" t="s">
        <v>423</v>
      </c>
      <c r="B452" s="3">
        <v>46179</v>
      </c>
      <c r="C452" t="s">
        <v>47</v>
      </c>
      <c r="D452" t="s">
        <v>73</v>
      </c>
      <c r="E452" t="s">
        <v>16</v>
      </c>
      <c r="F452" t="s">
        <v>17</v>
      </c>
      <c r="G452" t="s">
        <v>23</v>
      </c>
      <c r="H452" t="s">
        <v>19</v>
      </c>
      <c r="I452" t="s">
        <v>20</v>
      </c>
      <c r="J452">
        <v>120</v>
      </c>
      <c r="S452">
        <v>9.6</v>
      </c>
      <c r="T452">
        <v>0</v>
      </c>
      <c r="U452">
        <v>1</v>
      </c>
      <c r="V452">
        <v>0</v>
      </c>
    </row>
    <row r="453" spans="1:22">
      <c r="A453" t="s">
        <v>424</v>
      </c>
      <c r="B453" s="3">
        <v>46179</v>
      </c>
      <c r="C453" t="s">
        <v>47</v>
      </c>
      <c r="D453" t="s">
        <v>73</v>
      </c>
      <c r="E453" t="s">
        <v>16</v>
      </c>
      <c r="F453" t="s">
        <v>17</v>
      </c>
      <c r="G453" t="s">
        <v>32</v>
      </c>
      <c r="H453" t="s">
        <v>19</v>
      </c>
      <c r="I453" t="s">
        <v>20</v>
      </c>
      <c r="J453">
        <v>300</v>
      </c>
      <c r="S453">
        <v>36</v>
      </c>
      <c r="T453">
        <v>0</v>
      </c>
      <c r="U453">
        <v>1</v>
      </c>
      <c r="V453">
        <v>0</v>
      </c>
    </row>
    <row r="454" spans="1:22">
      <c r="A454" t="s">
        <v>425</v>
      </c>
      <c r="B454" s="3">
        <v>46179</v>
      </c>
      <c r="C454" t="s">
        <v>47</v>
      </c>
      <c r="D454" t="s">
        <v>71</v>
      </c>
      <c r="E454" t="s">
        <v>16</v>
      </c>
      <c r="F454" t="s">
        <v>17</v>
      </c>
      <c r="G454" t="s">
        <v>23</v>
      </c>
      <c r="H454" t="s">
        <v>19</v>
      </c>
      <c r="I454" t="s">
        <v>20</v>
      </c>
      <c r="J454">
        <v>120</v>
      </c>
      <c r="S454">
        <v>9.6</v>
      </c>
      <c r="T454">
        <v>0</v>
      </c>
      <c r="U454">
        <v>1</v>
      </c>
      <c r="V454">
        <v>0</v>
      </c>
    </row>
    <row r="455" spans="1:22">
      <c r="A455" t="s">
        <v>426</v>
      </c>
      <c r="B455" s="3">
        <v>46179</v>
      </c>
      <c r="C455" t="s">
        <v>47</v>
      </c>
      <c r="D455" t="s">
        <v>59</v>
      </c>
      <c r="E455" t="s">
        <v>16</v>
      </c>
      <c r="F455" t="s">
        <v>17</v>
      </c>
      <c r="G455" t="s">
        <v>32</v>
      </c>
      <c r="H455" t="s">
        <v>19</v>
      </c>
      <c r="I455" t="s">
        <v>20</v>
      </c>
      <c r="J455">
        <v>300</v>
      </c>
      <c r="S455">
        <v>36</v>
      </c>
      <c r="T455">
        <v>0</v>
      </c>
      <c r="U455">
        <v>1</v>
      </c>
      <c r="V455">
        <v>0</v>
      </c>
    </row>
    <row r="456" spans="1:22">
      <c r="A456" t="s">
        <v>427</v>
      </c>
      <c r="B456" s="3">
        <v>46179</v>
      </c>
      <c r="C456" t="s">
        <v>47</v>
      </c>
      <c r="D456" t="s">
        <v>73</v>
      </c>
      <c r="E456" t="s">
        <v>16</v>
      </c>
      <c r="F456" t="s">
        <v>17</v>
      </c>
      <c r="G456" t="s">
        <v>23</v>
      </c>
      <c r="H456" t="s">
        <v>19</v>
      </c>
      <c r="I456" t="s">
        <v>20</v>
      </c>
      <c r="J456">
        <v>102</v>
      </c>
      <c r="L456" t="s">
        <v>29</v>
      </c>
      <c r="S456">
        <v>8.16</v>
      </c>
      <c r="T456">
        <v>0</v>
      </c>
      <c r="U456">
        <v>1</v>
      </c>
      <c r="V456">
        <v>0</v>
      </c>
    </row>
    <row r="457" spans="1:22">
      <c r="A457" t="s">
        <v>428</v>
      </c>
      <c r="B457" s="3">
        <v>46179</v>
      </c>
      <c r="C457" t="s">
        <v>47</v>
      </c>
      <c r="D457" t="s">
        <v>59</v>
      </c>
      <c r="E457" t="s">
        <v>16</v>
      </c>
      <c r="F457" t="s">
        <v>17</v>
      </c>
      <c r="G457" t="s">
        <v>23</v>
      </c>
      <c r="H457" t="s">
        <v>24</v>
      </c>
      <c r="I457" t="s">
        <v>20</v>
      </c>
      <c r="J457">
        <v>120</v>
      </c>
      <c r="S457">
        <v>0</v>
      </c>
      <c r="T457">
        <v>0</v>
      </c>
      <c r="U457">
        <v>0</v>
      </c>
      <c r="V457">
        <v>0</v>
      </c>
    </row>
    <row r="458" spans="1:22">
      <c r="A458" t="s">
        <v>429</v>
      </c>
      <c r="B458" s="3">
        <v>46179</v>
      </c>
      <c r="C458" t="s">
        <v>47</v>
      </c>
      <c r="D458" t="s">
        <v>50</v>
      </c>
      <c r="E458" t="s">
        <v>16</v>
      </c>
      <c r="F458" t="s">
        <v>17</v>
      </c>
      <c r="G458" t="s">
        <v>23</v>
      </c>
      <c r="H458" t="s">
        <v>19</v>
      </c>
      <c r="I458" t="s">
        <v>20</v>
      </c>
      <c r="J458">
        <v>102</v>
      </c>
      <c r="L458" t="s">
        <v>29</v>
      </c>
      <c r="S458">
        <v>8.16</v>
      </c>
      <c r="T458">
        <v>0</v>
      </c>
      <c r="U458">
        <v>1</v>
      </c>
      <c r="V458">
        <v>0</v>
      </c>
    </row>
    <row r="459" spans="1:22">
      <c r="A459" t="s">
        <v>430</v>
      </c>
      <c r="B459" s="3">
        <v>46179</v>
      </c>
      <c r="C459" t="s">
        <v>47</v>
      </c>
      <c r="D459" t="s">
        <v>52</v>
      </c>
      <c r="E459" t="s">
        <v>16</v>
      </c>
      <c r="F459" t="s">
        <v>17</v>
      </c>
      <c r="G459" t="s">
        <v>18</v>
      </c>
      <c r="H459" t="s">
        <v>19</v>
      </c>
      <c r="I459" t="s">
        <v>20</v>
      </c>
      <c r="J459">
        <v>200</v>
      </c>
      <c r="S459">
        <v>20</v>
      </c>
      <c r="T459">
        <v>0</v>
      </c>
      <c r="U459">
        <v>1</v>
      </c>
      <c r="V459">
        <v>0</v>
      </c>
    </row>
    <row r="460" spans="1:22">
      <c r="A460" t="s">
        <v>431</v>
      </c>
      <c r="B460" s="3">
        <v>46179</v>
      </c>
      <c r="C460" t="s">
        <v>78</v>
      </c>
      <c r="D460" t="s">
        <v>161</v>
      </c>
      <c r="E460" t="s">
        <v>16</v>
      </c>
      <c r="F460" t="s">
        <v>17</v>
      </c>
      <c r="G460" t="s">
        <v>18</v>
      </c>
      <c r="H460" t="s">
        <v>19</v>
      </c>
      <c r="I460" t="s">
        <v>20</v>
      </c>
      <c r="J460">
        <v>200</v>
      </c>
      <c r="S460">
        <v>20</v>
      </c>
      <c r="T460">
        <v>0</v>
      </c>
      <c r="U460">
        <v>1</v>
      </c>
      <c r="V460">
        <v>0</v>
      </c>
    </row>
    <row r="461" spans="1:22">
      <c r="A461" t="s">
        <v>432</v>
      </c>
      <c r="B461" s="3">
        <v>46179</v>
      </c>
      <c r="C461" t="s">
        <v>78</v>
      </c>
      <c r="D461" t="s">
        <v>87</v>
      </c>
      <c r="E461" t="s">
        <v>16</v>
      </c>
      <c r="F461" t="s">
        <v>35</v>
      </c>
      <c r="G461" t="s">
        <v>18</v>
      </c>
      <c r="H461" t="s">
        <v>19</v>
      </c>
      <c r="I461" t="s">
        <v>20</v>
      </c>
      <c r="J461">
        <v>200</v>
      </c>
      <c r="S461">
        <v>6</v>
      </c>
      <c r="T461">
        <v>0</v>
      </c>
      <c r="U461">
        <v>0</v>
      </c>
      <c r="V461">
        <v>0</v>
      </c>
    </row>
    <row r="462" spans="1:22">
      <c r="A462" t="s">
        <v>433</v>
      </c>
      <c r="B462" s="3">
        <v>46179</v>
      </c>
      <c r="C462" t="s">
        <v>78</v>
      </c>
      <c r="D462" t="s">
        <v>83</v>
      </c>
      <c r="E462" t="s">
        <v>16</v>
      </c>
      <c r="F462" t="s">
        <v>17</v>
      </c>
      <c r="G462" t="s">
        <v>23</v>
      </c>
      <c r="H462" t="s">
        <v>19</v>
      </c>
      <c r="I462" t="s">
        <v>20</v>
      </c>
      <c r="J462">
        <v>120</v>
      </c>
      <c r="S462">
        <v>9.6</v>
      </c>
      <c r="T462">
        <v>0</v>
      </c>
      <c r="U462">
        <v>1</v>
      </c>
      <c r="V462">
        <v>0</v>
      </c>
    </row>
    <row r="463" spans="1:22">
      <c r="A463" t="s">
        <v>434</v>
      </c>
      <c r="B463" s="3">
        <v>46179</v>
      </c>
      <c r="C463" t="s">
        <v>78</v>
      </c>
      <c r="D463" t="s">
        <v>102</v>
      </c>
      <c r="E463" t="s">
        <v>16</v>
      </c>
      <c r="F463" t="s">
        <v>17</v>
      </c>
      <c r="G463" t="s">
        <v>32</v>
      </c>
      <c r="H463" t="s">
        <v>19</v>
      </c>
      <c r="I463" t="s">
        <v>20</v>
      </c>
      <c r="J463">
        <v>300</v>
      </c>
      <c r="S463">
        <v>36</v>
      </c>
      <c r="T463">
        <v>0</v>
      </c>
      <c r="U463">
        <v>1</v>
      </c>
      <c r="V463">
        <v>0</v>
      </c>
    </row>
    <row r="464" spans="1:22">
      <c r="A464" t="s">
        <v>435</v>
      </c>
      <c r="B464" s="3">
        <v>46179</v>
      </c>
      <c r="C464" t="s">
        <v>78</v>
      </c>
      <c r="D464" t="s">
        <v>93</v>
      </c>
      <c r="E464" t="s">
        <v>16</v>
      </c>
      <c r="F464" t="s">
        <v>17</v>
      </c>
      <c r="G464" t="s">
        <v>23</v>
      </c>
      <c r="H464" t="s">
        <v>19</v>
      </c>
      <c r="I464" t="s">
        <v>20</v>
      </c>
      <c r="J464">
        <v>120</v>
      </c>
      <c r="S464">
        <v>9.6</v>
      </c>
      <c r="T464">
        <v>0</v>
      </c>
      <c r="U464">
        <v>1</v>
      </c>
      <c r="V464">
        <v>0</v>
      </c>
    </row>
    <row r="465" spans="1:22">
      <c r="A465" t="s">
        <v>436</v>
      </c>
      <c r="B465" s="3">
        <v>46179</v>
      </c>
      <c r="C465" t="s">
        <v>78</v>
      </c>
      <c r="D465" t="s">
        <v>89</v>
      </c>
      <c r="E465" t="s">
        <v>16</v>
      </c>
      <c r="F465" t="s">
        <v>17</v>
      </c>
      <c r="G465" t="s">
        <v>23</v>
      </c>
      <c r="H465" t="s">
        <v>19</v>
      </c>
      <c r="I465" t="s">
        <v>20</v>
      </c>
      <c r="J465">
        <v>120</v>
      </c>
      <c r="S465">
        <v>9.6</v>
      </c>
      <c r="T465">
        <v>0</v>
      </c>
      <c r="U465">
        <v>1</v>
      </c>
      <c r="V465">
        <v>0</v>
      </c>
    </row>
    <row r="466" spans="1:22">
      <c r="A466" t="s">
        <v>437</v>
      </c>
      <c r="B466" s="3">
        <v>46179</v>
      </c>
      <c r="C466" t="s">
        <v>78</v>
      </c>
      <c r="D466" t="s">
        <v>102</v>
      </c>
      <c r="E466" t="s">
        <v>16</v>
      </c>
      <c r="F466" t="s">
        <v>17</v>
      </c>
      <c r="G466" t="s">
        <v>32</v>
      </c>
      <c r="H466" t="s">
        <v>24</v>
      </c>
      <c r="I466" t="s">
        <v>20</v>
      </c>
      <c r="J466">
        <v>300</v>
      </c>
      <c r="S466">
        <v>0</v>
      </c>
      <c r="T466">
        <v>0</v>
      </c>
      <c r="U466">
        <v>0</v>
      </c>
      <c r="V466">
        <v>0</v>
      </c>
    </row>
    <row r="467" spans="1:22">
      <c r="A467" t="s">
        <v>438</v>
      </c>
      <c r="B467" s="3">
        <v>46179</v>
      </c>
      <c r="C467" t="s">
        <v>78</v>
      </c>
      <c r="D467" t="s">
        <v>85</v>
      </c>
      <c r="E467" t="s">
        <v>16</v>
      </c>
      <c r="F467" t="s">
        <v>17</v>
      </c>
      <c r="G467" t="s">
        <v>32</v>
      </c>
      <c r="H467" t="s">
        <v>19</v>
      </c>
      <c r="I467" t="s">
        <v>20</v>
      </c>
      <c r="J467">
        <v>300</v>
      </c>
      <c r="S467">
        <v>36</v>
      </c>
      <c r="T467">
        <v>0</v>
      </c>
      <c r="U467">
        <v>1</v>
      </c>
      <c r="V467">
        <v>0</v>
      </c>
    </row>
    <row r="468" spans="1:22">
      <c r="A468" t="s">
        <v>439</v>
      </c>
      <c r="B468" s="3">
        <v>46179</v>
      </c>
      <c r="C468" t="s">
        <v>78</v>
      </c>
      <c r="D468" t="s">
        <v>79</v>
      </c>
      <c r="E468" t="s">
        <v>16</v>
      </c>
      <c r="F468" t="s">
        <v>17</v>
      </c>
      <c r="G468" t="s">
        <v>32</v>
      </c>
      <c r="H468" t="s">
        <v>19</v>
      </c>
      <c r="I468" t="s">
        <v>20</v>
      </c>
      <c r="J468">
        <v>300</v>
      </c>
      <c r="S468">
        <v>36</v>
      </c>
      <c r="T468">
        <v>0</v>
      </c>
      <c r="U468">
        <v>1</v>
      </c>
      <c r="V468">
        <v>0</v>
      </c>
    </row>
    <row r="469" spans="1:22">
      <c r="A469" t="s">
        <v>440</v>
      </c>
      <c r="B469" s="3">
        <v>46179</v>
      </c>
      <c r="C469" t="s">
        <v>78</v>
      </c>
      <c r="D469" t="s">
        <v>89</v>
      </c>
      <c r="E469" t="s">
        <v>16</v>
      </c>
      <c r="F469" t="s">
        <v>17</v>
      </c>
      <c r="G469" t="s">
        <v>18</v>
      </c>
      <c r="H469" t="s">
        <v>19</v>
      </c>
      <c r="I469" t="s">
        <v>20</v>
      </c>
      <c r="J469">
        <v>200</v>
      </c>
      <c r="S469">
        <v>20</v>
      </c>
      <c r="T469">
        <v>0</v>
      </c>
      <c r="U469">
        <v>1</v>
      </c>
      <c r="V469">
        <v>0</v>
      </c>
    </row>
    <row r="470" spans="1:22">
      <c r="A470" t="s">
        <v>441</v>
      </c>
      <c r="B470" s="3">
        <v>46179</v>
      </c>
      <c r="C470" t="s">
        <v>78</v>
      </c>
      <c r="D470" t="s">
        <v>163</v>
      </c>
      <c r="E470" t="s">
        <v>16</v>
      </c>
      <c r="F470" t="s">
        <v>17</v>
      </c>
      <c r="G470" t="s">
        <v>32</v>
      </c>
      <c r="H470" t="s">
        <v>19</v>
      </c>
      <c r="I470" t="s">
        <v>20</v>
      </c>
      <c r="J470">
        <v>255</v>
      </c>
      <c r="L470" t="s">
        <v>29</v>
      </c>
      <c r="S470">
        <v>30.6</v>
      </c>
      <c r="T470">
        <v>0</v>
      </c>
      <c r="U470">
        <v>1</v>
      </c>
      <c r="V470">
        <v>0</v>
      </c>
    </row>
    <row r="471" spans="1:22">
      <c r="A471" t="s">
        <v>442</v>
      </c>
      <c r="B471" s="3">
        <v>46179</v>
      </c>
      <c r="C471" t="s">
        <v>78</v>
      </c>
      <c r="D471" t="s">
        <v>97</v>
      </c>
      <c r="E471" t="s">
        <v>16</v>
      </c>
      <c r="F471" t="s">
        <v>17</v>
      </c>
      <c r="G471" t="s">
        <v>18</v>
      </c>
      <c r="H471" t="s">
        <v>19</v>
      </c>
      <c r="I471" t="s">
        <v>20</v>
      </c>
      <c r="J471">
        <v>170</v>
      </c>
      <c r="L471" t="s">
        <v>29</v>
      </c>
      <c r="S471">
        <v>17</v>
      </c>
      <c r="T471">
        <v>0</v>
      </c>
      <c r="U471">
        <v>1</v>
      </c>
      <c r="V471">
        <v>0</v>
      </c>
    </row>
    <row r="472" spans="1:22">
      <c r="A472" t="s">
        <v>443</v>
      </c>
      <c r="B472" s="3">
        <v>46179</v>
      </c>
      <c r="C472" t="s">
        <v>78</v>
      </c>
      <c r="D472" t="s">
        <v>163</v>
      </c>
      <c r="E472" t="s">
        <v>16</v>
      </c>
      <c r="F472" t="s">
        <v>17</v>
      </c>
      <c r="G472" t="s">
        <v>18</v>
      </c>
      <c r="H472" t="s">
        <v>19</v>
      </c>
      <c r="I472" t="s">
        <v>20</v>
      </c>
      <c r="J472">
        <v>200</v>
      </c>
      <c r="S472">
        <v>20</v>
      </c>
      <c r="T472">
        <v>0</v>
      </c>
      <c r="U472">
        <v>1</v>
      </c>
      <c r="V472">
        <v>0</v>
      </c>
    </row>
    <row r="473" spans="1:22">
      <c r="A473" t="s">
        <v>444</v>
      </c>
      <c r="B473" s="3">
        <v>46179</v>
      </c>
      <c r="C473" t="s">
        <v>78</v>
      </c>
      <c r="D473" t="s">
        <v>163</v>
      </c>
      <c r="E473" t="s">
        <v>16</v>
      </c>
      <c r="F473" t="s">
        <v>17</v>
      </c>
      <c r="G473" t="s">
        <v>23</v>
      </c>
      <c r="H473" t="s">
        <v>19</v>
      </c>
      <c r="I473" t="s">
        <v>20</v>
      </c>
      <c r="J473">
        <v>120</v>
      </c>
      <c r="S473">
        <v>9.6</v>
      </c>
      <c r="T473">
        <v>0</v>
      </c>
      <c r="U473">
        <v>1</v>
      </c>
      <c r="V473">
        <v>0</v>
      </c>
    </row>
    <row r="474" spans="1:22">
      <c r="A474" t="s">
        <v>445</v>
      </c>
      <c r="B474" s="3">
        <v>46179</v>
      </c>
      <c r="C474" t="s">
        <v>78</v>
      </c>
      <c r="D474" t="s">
        <v>85</v>
      </c>
      <c r="E474" t="s">
        <v>16</v>
      </c>
      <c r="F474" t="s">
        <v>17</v>
      </c>
      <c r="G474" t="s">
        <v>32</v>
      </c>
      <c r="H474" t="s">
        <v>19</v>
      </c>
      <c r="I474" t="s">
        <v>20</v>
      </c>
      <c r="J474">
        <v>300</v>
      </c>
      <c r="S474">
        <v>36</v>
      </c>
      <c r="T474">
        <v>0</v>
      </c>
      <c r="U474">
        <v>1</v>
      </c>
      <c r="V474">
        <v>0</v>
      </c>
    </row>
    <row r="475" spans="1:22">
      <c r="A475" t="s">
        <v>446</v>
      </c>
      <c r="B475" s="3">
        <v>46179</v>
      </c>
      <c r="C475" t="s">
        <v>78</v>
      </c>
      <c r="D475" t="s">
        <v>83</v>
      </c>
      <c r="E475" t="s">
        <v>16</v>
      </c>
      <c r="F475" t="s">
        <v>17</v>
      </c>
      <c r="G475" t="s">
        <v>32</v>
      </c>
      <c r="H475" t="s">
        <v>19</v>
      </c>
      <c r="I475" t="s">
        <v>20</v>
      </c>
      <c r="J475">
        <v>300</v>
      </c>
      <c r="S475">
        <v>36</v>
      </c>
      <c r="T475">
        <v>0</v>
      </c>
      <c r="U475">
        <v>1</v>
      </c>
      <c r="V475">
        <v>0</v>
      </c>
    </row>
    <row r="476" spans="1:22">
      <c r="A476" t="s">
        <v>447</v>
      </c>
      <c r="B476" s="3">
        <v>46179</v>
      </c>
      <c r="C476" t="s">
        <v>78</v>
      </c>
      <c r="D476" t="s">
        <v>163</v>
      </c>
      <c r="E476" t="s">
        <v>16</v>
      </c>
      <c r="F476" t="s">
        <v>17</v>
      </c>
      <c r="G476" t="s">
        <v>32</v>
      </c>
      <c r="H476" t="s">
        <v>19</v>
      </c>
      <c r="I476" t="s">
        <v>20</v>
      </c>
      <c r="J476">
        <v>300</v>
      </c>
      <c r="S476">
        <v>36</v>
      </c>
      <c r="T476">
        <v>0</v>
      </c>
      <c r="U476">
        <v>1</v>
      </c>
      <c r="V476">
        <v>0</v>
      </c>
    </row>
    <row r="477" spans="1:22">
      <c r="A477" t="s">
        <v>448</v>
      </c>
      <c r="B477" s="3">
        <v>46179</v>
      </c>
      <c r="C477" t="s">
        <v>78</v>
      </c>
      <c r="D477" t="s">
        <v>93</v>
      </c>
      <c r="E477" t="s">
        <v>16</v>
      </c>
      <c r="F477" t="s">
        <v>17</v>
      </c>
      <c r="G477" t="s">
        <v>23</v>
      </c>
      <c r="H477" t="s">
        <v>19</v>
      </c>
      <c r="I477" t="s">
        <v>20</v>
      </c>
      <c r="J477">
        <v>120</v>
      </c>
      <c r="S477">
        <v>9.6</v>
      </c>
      <c r="T477">
        <v>0</v>
      </c>
      <c r="U477">
        <v>1</v>
      </c>
      <c r="V477">
        <v>0</v>
      </c>
    </row>
    <row r="478" spans="1:22">
      <c r="A478" t="s">
        <v>449</v>
      </c>
      <c r="B478" s="3">
        <v>46179</v>
      </c>
      <c r="C478" t="s">
        <v>78</v>
      </c>
      <c r="D478" t="s">
        <v>83</v>
      </c>
      <c r="E478" t="s">
        <v>16</v>
      </c>
      <c r="F478" t="s">
        <v>17</v>
      </c>
      <c r="G478" t="s">
        <v>23</v>
      </c>
      <c r="H478" t="s">
        <v>19</v>
      </c>
      <c r="I478" t="s">
        <v>20</v>
      </c>
      <c r="J478">
        <v>120</v>
      </c>
      <c r="S478">
        <v>9.6</v>
      </c>
      <c r="T478">
        <v>0</v>
      </c>
      <c r="U478">
        <v>1</v>
      </c>
      <c r="V478">
        <v>0</v>
      </c>
    </row>
    <row r="479" spans="1:22">
      <c r="A479" t="s">
        <v>450</v>
      </c>
      <c r="B479" s="3">
        <v>46179</v>
      </c>
      <c r="C479" t="s">
        <v>105</v>
      </c>
      <c r="D479" t="s">
        <v>191</v>
      </c>
      <c r="E479" t="s">
        <v>16</v>
      </c>
      <c r="F479" t="s">
        <v>17</v>
      </c>
      <c r="G479" t="s">
        <v>32</v>
      </c>
      <c r="H479" t="s">
        <v>24</v>
      </c>
      <c r="I479" t="s">
        <v>20</v>
      </c>
      <c r="J479">
        <v>300</v>
      </c>
      <c r="S479">
        <v>0</v>
      </c>
      <c r="T479">
        <v>0</v>
      </c>
      <c r="U479">
        <v>0</v>
      </c>
      <c r="V479">
        <v>0</v>
      </c>
    </row>
    <row r="480" spans="1:22">
      <c r="A480" t="s">
        <v>451</v>
      </c>
      <c r="B480" s="3">
        <v>46179</v>
      </c>
      <c r="C480" t="s">
        <v>105</v>
      </c>
      <c r="D480" t="s">
        <v>187</v>
      </c>
      <c r="E480" t="s">
        <v>16</v>
      </c>
      <c r="F480" t="s">
        <v>17</v>
      </c>
      <c r="G480" t="s">
        <v>23</v>
      </c>
      <c r="H480" t="s">
        <v>19</v>
      </c>
      <c r="I480" t="s">
        <v>20</v>
      </c>
      <c r="J480">
        <v>120</v>
      </c>
      <c r="S480">
        <v>9.6</v>
      </c>
      <c r="T480">
        <v>0</v>
      </c>
      <c r="U480">
        <v>1</v>
      </c>
      <c r="V480">
        <v>0</v>
      </c>
    </row>
    <row r="481" spans="1:22">
      <c r="A481" t="s">
        <v>452</v>
      </c>
      <c r="B481" s="3">
        <v>46179</v>
      </c>
      <c r="C481" t="s">
        <v>105</v>
      </c>
      <c r="D481" t="s">
        <v>120</v>
      </c>
      <c r="E481" t="s">
        <v>16</v>
      </c>
      <c r="F481" t="s">
        <v>17</v>
      </c>
      <c r="G481" t="s">
        <v>18</v>
      </c>
      <c r="H481" t="s">
        <v>19</v>
      </c>
      <c r="I481" t="s">
        <v>20</v>
      </c>
      <c r="J481">
        <v>200</v>
      </c>
      <c r="S481">
        <v>20</v>
      </c>
      <c r="T481">
        <v>0</v>
      </c>
      <c r="U481">
        <v>1</v>
      </c>
      <c r="V481">
        <v>0</v>
      </c>
    </row>
    <row r="482" spans="1:22">
      <c r="A482" t="s">
        <v>453</v>
      </c>
      <c r="B482" s="3">
        <v>46179</v>
      </c>
      <c r="C482" t="s">
        <v>105</v>
      </c>
      <c r="D482" t="s">
        <v>112</v>
      </c>
      <c r="E482" t="s">
        <v>16</v>
      </c>
      <c r="F482" t="s">
        <v>17</v>
      </c>
      <c r="G482" t="s">
        <v>32</v>
      </c>
      <c r="H482" t="s">
        <v>19</v>
      </c>
      <c r="I482" t="s">
        <v>20</v>
      </c>
      <c r="J482">
        <v>300</v>
      </c>
      <c r="S482">
        <v>36</v>
      </c>
      <c r="T482">
        <v>0</v>
      </c>
      <c r="U482">
        <v>1</v>
      </c>
      <c r="V482">
        <v>0</v>
      </c>
    </row>
    <row r="483" spans="1:22">
      <c r="A483" t="s">
        <v>454</v>
      </c>
      <c r="B483" s="3">
        <v>46179</v>
      </c>
      <c r="C483" t="s">
        <v>105</v>
      </c>
      <c r="D483" t="s">
        <v>110</v>
      </c>
      <c r="E483" t="s">
        <v>16</v>
      </c>
      <c r="F483" t="s">
        <v>17</v>
      </c>
      <c r="G483" t="s">
        <v>32</v>
      </c>
      <c r="H483" t="s">
        <v>24</v>
      </c>
      <c r="I483" t="s">
        <v>20</v>
      </c>
      <c r="J483">
        <v>300</v>
      </c>
      <c r="S483">
        <v>0</v>
      </c>
      <c r="T483">
        <v>0</v>
      </c>
      <c r="U483">
        <v>0</v>
      </c>
      <c r="V483">
        <v>0</v>
      </c>
    </row>
    <row r="484" spans="1:22">
      <c r="A484" t="s">
        <v>455</v>
      </c>
      <c r="B484" s="3">
        <v>46179</v>
      </c>
      <c r="C484" t="s">
        <v>105</v>
      </c>
      <c r="D484" t="s">
        <v>116</v>
      </c>
      <c r="E484" t="s">
        <v>16</v>
      </c>
      <c r="F484" t="s">
        <v>17</v>
      </c>
      <c r="G484" t="s">
        <v>18</v>
      </c>
      <c r="H484" t="s">
        <v>19</v>
      </c>
      <c r="I484" t="s">
        <v>20</v>
      </c>
      <c r="J484">
        <v>200</v>
      </c>
      <c r="S484">
        <v>20</v>
      </c>
      <c r="T484">
        <v>0</v>
      </c>
      <c r="U484">
        <v>1</v>
      </c>
      <c r="V484">
        <v>0</v>
      </c>
    </row>
    <row r="485" spans="1:22">
      <c r="A485" t="s">
        <v>456</v>
      </c>
      <c r="B485" s="3">
        <v>46179</v>
      </c>
      <c r="C485" t="s">
        <v>105</v>
      </c>
      <c r="D485" t="s">
        <v>110</v>
      </c>
      <c r="E485" t="s">
        <v>16</v>
      </c>
      <c r="F485" t="s">
        <v>17</v>
      </c>
      <c r="G485" t="s">
        <v>32</v>
      </c>
      <c r="H485" t="s">
        <v>19</v>
      </c>
      <c r="I485" t="s">
        <v>20</v>
      </c>
      <c r="J485">
        <v>300</v>
      </c>
      <c r="S485">
        <v>36</v>
      </c>
      <c r="T485">
        <v>0</v>
      </c>
      <c r="U485">
        <v>1</v>
      </c>
      <c r="V485">
        <v>0</v>
      </c>
    </row>
    <row r="486" spans="1:22">
      <c r="A486" t="s">
        <v>457</v>
      </c>
      <c r="B486" s="3">
        <v>46179</v>
      </c>
      <c r="C486" t="s">
        <v>105</v>
      </c>
      <c r="D486" t="s">
        <v>116</v>
      </c>
      <c r="E486" t="s">
        <v>16</v>
      </c>
      <c r="F486" t="s">
        <v>17</v>
      </c>
      <c r="G486" t="s">
        <v>32</v>
      </c>
      <c r="H486" t="s">
        <v>19</v>
      </c>
      <c r="I486" t="s">
        <v>20</v>
      </c>
      <c r="J486">
        <v>225</v>
      </c>
      <c r="L486" t="s">
        <v>29</v>
      </c>
      <c r="S486">
        <v>27</v>
      </c>
      <c r="T486">
        <v>0</v>
      </c>
      <c r="U486">
        <v>1</v>
      </c>
      <c r="V486">
        <v>0</v>
      </c>
    </row>
    <row r="487" spans="1:22">
      <c r="A487" t="s">
        <v>458</v>
      </c>
      <c r="B487" s="3">
        <v>46179</v>
      </c>
      <c r="C487" t="s">
        <v>105</v>
      </c>
      <c r="D487" t="s">
        <v>108</v>
      </c>
      <c r="E487" t="s">
        <v>16</v>
      </c>
      <c r="F487" t="s">
        <v>17</v>
      </c>
      <c r="G487" t="s">
        <v>23</v>
      </c>
      <c r="H487" t="s">
        <v>19</v>
      </c>
      <c r="I487" t="s">
        <v>74</v>
      </c>
      <c r="J487">
        <v>120</v>
      </c>
      <c r="S487">
        <v>0</v>
      </c>
      <c r="T487">
        <v>0</v>
      </c>
      <c r="U487">
        <v>0</v>
      </c>
      <c r="V487">
        <v>0</v>
      </c>
    </row>
    <row r="488" spans="1:22">
      <c r="A488" t="s">
        <v>459</v>
      </c>
      <c r="B488" s="3">
        <v>46179</v>
      </c>
      <c r="C488" t="s">
        <v>105</v>
      </c>
      <c r="D488" t="s">
        <v>116</v>
      </c>
      <c r="E488" t="s">
        <v>16</v>
      </c>
      <c r="F488" t="s">
        <v>17</v>
      </c>
      <c r="G488" t="s">
        <v>18</v>
      </c>
      <c r="H488" t="s">
        <v>19</v>
      </c>
      <c r="I488" t="s">
        <v>20</v>
      </c>
      <c r="J488">
        <v>200</v>
      </c>
      <c r="S488">
        <v>20</v>
      </c>
      <c r="T488">
        <v>0</v>
      </c>
      <c r="U488">
        <v>1</v>
      </c>
      <c r="V488">
        <v>0</v>
      </c>
    </row>
    <row r="489" spans="1:22">
      <c r="A489" t="s">
        <v>460</v>
      </c>
      <c r="B489" s="3">
        <v>46179</v>
      </c>
      <c r="C489" t="s">
        <v>105</v>
      </c>
      <c r="D489" t="s">
        <v>106</v>
      </c>
      <c r="E489" t="s">
        <v>16</v>
      </c>
      <c r="F489" t="s">
        <v>17</v>
      </c>
      <c r="G489" t="s">
        <v>32</v>
      </c>
      <c r="H489" t="s">
        <v>19</v>
      </c>
      <c r="I489" t="s">
        <v>20</v>
      </c>
      <c r="J489">
        <v>300</v>
      </c>
      <c r="S489">
        <v>36</v>
      </c>
      <c r="T489">
        <v>0</v>
      </c>
      <c r="U489">
        <v>1</v>
      </c>
      <c r="V489">
        <v>0</v>
      </c>
    </row>
    <row r="490" spans="1:22">
      <c r="A490" t="s">
        <v>461</v>
      </c>
      <c r="B490" s="3">
        <v>46179</v>
      </c>
      <c r="C490" t="s">
        <v>105</v>
      </c>
      <c r="D490" t="s">
        <v>194</v>
      </c>
      <c r="E490" t="s">
        <v>16</v>
      </c>
      <c r="F490" t="s">
        <v>17</v>
      </c>
      <c r="G490" t="s">
        <v>32</v>
      </c>
      <c r="H490" t="s">
        <v>19</v>
      </c>
      <c r="I490" t="s">
        <v>20</v>
      </c>
      <c r="J490">
        <v>300</v>
      </c>
      <c r="S490">
        <v>36</v>
      </c>
      <c r="T490">
        <v>0</v>
      </c>
      <c r="U490">
        <v>1</v>
      </c>
      <c r="V490">
        <v>0</v>
      </c>
    </row>
    <row r="491" spans="1:22">
      <c r="A491" t="s">
        <v>462</v>
      </c>
      <c r="B491" s="3">
        <v>46179</v>
      </c>
      <c r="C491" t="s">
        <v>105</v>
      </c>
      <c r="D491" t="s">
        <v>191</v>
      </c>
      <c r="E491" t="s">
        <v>16</v>
      </c>
      <c r="F491" t="s">
        <v>35</v>
      </c>
      <c r="G491" t="s">
        <v>23</v>
      </c>
      <c r="H491" t="s">
        <v>19</v>
      </c>
      <c r="I491" t="s">
        <v>20</v>
      </c>
      <c r="J491">
        <v>120</v>
      </c>
      <c r="S491">
        <v>3.6</v>
      </c>
      <c r="T491">
        <v>0</v>
      </c>
      <c r="U491">
        <v>0</v>
      </c>
      <c r="V491">
        <v>0</v>
      </c>
    </row>
    <row r="492" spans="1:22">
      <c r="A492" t="s">
        <v>468</v>
      </c>
      <c r="B492" s="3">
        <v>46180</v>
      </c>
      <c r="C492" t="s">
        <v>14</v>
      </c>
      <c r="D492" t="s">
        <v>42</v>
      </c>
      <c r="E492" t="s">
        <v>16</v>
      </c>
      <c r="F492" t="s">
        <v>17</v>
      </c>
      <c r="G492" t="s">
        <v>32</v>
      </c>
      <c r="H492" t="s">
        <v>19</v>
      </c>
      <c r="I492" t="s">
        <v>20</v>
      </c>
      <c r="J492">
        <v>300</v>
      </c>
      <c r="S492">
        <v>36</v>
      </c>
      <c r="T492">
        <v>0</v>
      </c>
      <c r="U492">
        <v>1</v>
      </c>
      <c r="V492">
        <v>0</v>
      </c>
    </row>
    <row r="493" spans="1:22">
      <c r="A493" t="s">
        <v>470</v>
      </c>
      <c r="B493" s="3">
        <v>46180</v>
      </c>
      <c r="C493" t="s">
        <v>14</v>
      </c>
      <c r="D493" t="s">
        <v>137</v>
      </c>
      <c r="E493" t="s">
        <v>16</v>
      </c>
      <c r="F493" t="s">
        <v>17</v>
      </c>
      <c r="G493" t="s">
        <v>32</v>
      </c>
      <c r="H493" t="s">
        <v>19</v>
      </c>
      <c r="I493" t="s">
        <v>20</v>
      </c>
      <c r="J493">
        <v>300</v>
      </c>
      <c r="S493">
        <v>36</v>
      </c>
      <c r="T493">
        <v>0</v>
      </c>
      <c r="U493">
        <v>1</v>
      </c>
      <c r="V493">
        <v>0</v>
      </c>
    </row>
    <row r="494" spans="1:22">
      <c r="A494" t="s">
        <v>471</v>
      </c>
      <c r="B494" s="3">
        <v>46180</v>
      </c>
      <c r="C494" t="s">
        <v>14</v>
      </c>
      <c r="D494" t="s">
        <v>37</v>
      </c>
      <c r="E494" t="s">
        <v>16</v>
      </c>
      <c r="F494" t="s">
        <v>35</v>
      </c>
      <c r="G494" t="s">
        <v>32</v>
      </c>
      <c r="H494" t="s">
        <v>19</v>
      </c>
      <c r="I494" t="s">
        <v>20</v>
      </c>
      <c r="J494">
        <v>300</v>
      </c>
      <c r="S494">
        <v>9</v>
      </c>
      <c r="T494">
        <v>0</v>
      </c>
      <c r="U494">
        <v>0</v>
      </c>
      <c r="V494">
        <v>0</v>
      </c>
    </row>
    <row r="495" spans="1:22">
      <c r="A495" t="s">
        <v>472</v>
      </c>
      <c r="B495" s="3">
        <v>46180</v>
      </c>
      <c r="C495" t="s">
        <v>14</v>
      </c>
      <c r="D495" t="s">
        <v>15</v>
      </c>
      <c r="E495" t="s">
        <v>16</v>
      </c>
      <c r="F495" t="s">
        <v>17</v>
      </c>
      <c r="G495" t="s">
        <v>18</v>
      </c>
      <c r="H495" t="s">
        <v>19</v>
      </c>
      <c r="I495" t="s">
        <v>20</v>
      </c>
      <c r="J495">
        <v>200</v>
      </c>
      <c r="S495">
        <v>20</v>
      </c>
      <c r="T495">
        <v>0</v>
      </c>
      <c r="U495">
        <v>1</v>
      </c>
      <c r="V495">
        <v>0</v>
      </c>
    </row>
    <row r="496" spans="1:22">
      <c r="A496" t="s">
        <v>473</v>
      </c>
      <c r="B496" s="3">
        <v>46180</v>
      </c>
      <c r="C496" t="s">
        <v>14</v>
      </c>
      <c r="D496" t="s">
        <v>131</v>
      </c>
      <c r="E496" t="s">
        <v>16</v>
      </c>
      <c r="F496" t="s">
        <v>17</v>
      </c>
      <c r="G496" t="s">
        <v>32</v>
      </c>
      <c r="H496" t="s">
        <v>19</v>
      </c>
      <c r="I496" t="s">
        <v>20</v>
      </c>
      <c r="J496">
        <v>300</v>
      </c>
      <c r="S496">
        <v>36</v>
      </c>
      <c r="T496">
        <v>0</v>
      </c>
      <c r="U496">
        <v>1</v>
      </c>
      <c r="V496">
        <v>0</v>
      </c>
    </row>
    <row r="497" spans="1:22">
      <c r="A497" t="s">
        <v>474</v>
      </c>
      <c r="B497" s="3">
        <v>46180</v>
      </c>
      <c r="C497" t="s">
        <v>14</v>
      </c>
      <c r="D497" t="s">
        <v>137</v>
      </c>
      <c r="E497" t="s">
        <v>16</v>
      </c>
      <c r="F497" t="s">
        <v>17</v>
      </c>
      <c r="G497" t="s">
        <v>32</v>
      </c>
      <c r="H497" t="s">
        <v>19</v>
      </c>
      <c r="I497" t="s">
        <v>20</v>
      </c>
      <c r="J497">
        <v>300</v>
      </c>
      <c r="S497">
        <v>36</v>
      </c>
      <c r="T497">
        <v>0</v>
      </c>
      <c r="U497">
        <v>1</v>
      </c>
      <c r="V497">
        <v>0</v>
      </c>
    </row>
    <row r="498" spans="1:22">
      <c r="A498" t="s">
        <v>475</v>
      </c>
      <c r="B498" s="3">
        <v>46180</v>
      </c>
      <c r="C498" t="s">
        <v>14</v>
      </c>
      <c r="D498" t="s">
        <v>137</v>
      </c>
      <c r="E498" t="s">
        <v>16</v>
      </c>
      <c r="F498" t="s">
        <v>17</v>
      </c>
      <c r="G498" t="s">
        <v>23</v>
      </c>
      <c r="H498" t="s">
        <v>19</v>
      </c>
      <c r="I498" t="s">
        <v>20</v>
      </c>
      <c r="J498">
        <v>120</v>
      </c>
      <c r="S498">
        <v>9.6</v>
      </c>
      <c r="T498">
        <v>0</v>
      </c>
      <c r="U498">
        <v>1</v>
      </c>
      <c r="V498">
        <v>0</v>
      </c>
    </row>
    <row r="499" spans="1:22">
      <c r="A499" t="s">
        <v>476</v>
      </c>
      <c r="B499" s="3">
        <v>46180</v>
      </c>
      <c r="C499" t="s">
        <v>14</v>
      </c>
      <c r="D499" t="s">
        <v>42</v>
      </c>
      <c r="E499" t="s">
        <v>16</v>
      </c>
      <c r="F499" t="s">
        <v>17</v>
      </c>
      <c r="G499" t="s">
        <v>32</v>
      </c>
      <c r="H499" t="s">
        <v>19</v>
      </c>
      <c r="I499" t="s">
        <v>20</v>
      </c>
      <c r="J499">
        <v>300</v>
      </c>
      <c r="S499">
        <v>36</v>
      </c>
      <c r="T499">
        <v>0</v>
      </c>
      <c r="U499">
        <v>1</v>
      </c>
      <c r="V499">
        <v>0</v>
      </c>
    </row>
    <row r="500" spans="1:22">
      <c r="A500" t="s">
        <v>477</v>
      </c>
      <c r="B500" s="3">
        <v>46180</v>
      </c>
      <c r="C500" t="s">
        <v>14</v>
      </c>
      <c r="D500" t="s">
        <v>28</v>
      </c>
      <c r="E500" t="s">
        <v>16</v>
      </c>
      <c r="F500" t="s">
        <v>17</v>
      </c>
      <c r="G500" t="s">
        <v>18</v>
      </c>
      <c r="H500" t="s">
        <v>19</v>
      </c>
      <c r="I500" t="s">
        <v>20</v>
      </c>
      <c r="J500">
        <v>200</v>
      </c>
      <c r="S500">
        <v>20</v>
      </c>
      <c r="T500">
        <v>0</v>
      </c>
      <c r="U500">
        <v>1</v>
      </c>
      <c r="V500">
        <v>0</v>
      </c>
    </row>
    <row r="501" spans="1:22">
      <c r="A501" t="s">
        <v>478</v>
      </c>
      <c r="B501" s="3">
        <v>46180</v>
      </c>
      <c r="C501" t="s">
        <v>14</v>
      </c>
      <c r="D501" t="s">
        <v>22</v>
      </c>
      <c r="E501" t="s">
        <v>16</v>
      </c>
      <c r="F501" t="s">
        <v>17</v>
      </c>
      <c r="G501" t="s">
        <v>18</v>
      </c>
      <c r="H501" t="s">
        <v>19</v>
      </c>
      <c r="I501" t="s">
        <v>20</v>
      </c>
      <c r="J501">
        <v>200</v>
      </c>
      <c r="S501">
        <v>20</v>
      </c>
      <c r="T501">
        <v>0</v>
      </c>
      <c r="U501">
        <v>1</v>
      </c>
      <c r="V501">
        <v>0</v>
      </c>
    </row>
    <row r="502" spans="1:22">
      <c r="A502" t="s">
        <v>479</v>
      </c>
      <c r="B502" s="3">
        <v>46180</v>
      </c>
      <c r="C502" t="s">
        <v>14</v>
      </c>
      <c r="D502" t="s">
        <v>26</v>
      </c>
      <c r="E502" t="s">
        <v>16</v>
      </c>
      <c r="F502" t="s">
        <v>35</v>
      </c>
      <c r="G502" t="s">
        <v>18</v>
      </c>
      <c r="H502" t="s">
        <v>19</v>
      </c>
      <c r="I502" t="s">
        <v>20</v>
      </c>
      <c r="J502">
        <v>170</v>
      </c>
      <c r="L502" t="s">
        <v>29</v>
      </c>
      <c r="S502">
        <v>5.0999999999999996</v>
      </c>
      <c r="T502">
        <v>0</v>
      </c>
      <c r="U502">
        <v>0</v>
      </c>
      <c r="V502">
        <v>0</v>
      </c>
    </row>
    <row r="503" spans="1:22">
      <c r="A503" t="s">
        <v>480</v>
      </c>
      <c r="B503" s="3">
        <v>46180</v>
      </c>
      <c r="C503" t="s">
        <v>14</v>
      </c>
      <c r="D503" t="s">
        <v>210</v>
      </c>
      <c r="E503" t="s">
        <v>16</v>
      </c>
      <c r="F503" t="s">
        <v>17</v>
      </c>
      <c r="G503" t="s">
        <v>18</v>
      </c>
      <c r="H503" t="s">
        <v>19</v>
      </c>
      <c r="I503" t="s">
        <v>20</v>
      </c>
      <c r="J503">
        <v>170</v>
      </c>
      <c r="L503" t="s">
        <v>29</v>
      </c>
      <c r="S503">
        <v>17</v>
      </c>
      <c r="T503">
        <v>0</v>
      </c>
      <c r="U503">
        <v>1</v>
      </c>
      <c r="V503">
        <v>0</v>
      </c>
    </row>
    <row r="504" spans="1:22">
      <c r="A504" t="s">
        <v>481</v>
      </c>
      <c r="B504" s="3">
        <v>46180</v>
      </c>
      <c r="C504" t="s">
        <v>14</v>
      </c>
      <c r="D504" t="s">
        <v>131</v>
      </c>
      <c r="E504" t="s">
        <v>16</v>
      </c>
      <c r="F504" t="s">
        <v>17</v>
      </c>
      <c r="G504" t="s">
        <v>32</v>
      </c>
      <c r="H504" t="s">
        <v>19</v>
      </c>
      <c r="I504" t="s">
        <v>20</v>
      </c>
      <c r="J504">
        <v>300</v>
      </c>
      <c r="S504">
        <v>36</v>
      </c>
      <c r="T504">
        <v>0</v>
      </c>
      <c r="U504">
        <v>1</v>
      </c>
      <c r="V504">
        <v>0</v>
      </c>
    </row>
    <row r="505" spans="1:22">
      <c r="A505" t="s">
        <v>482</v>
      </c>
      <c r="B505" s="3">
        <v>46180</v>
      </c>
      <c r="C505" t="s">
        <v>14</v>
      </c>
      <c r="D505" t="s">
        <v>22</v>
      </c>
      <c r="E505" t="s">
        <v>16</v>
      </c>
      <c r="F505" t="s">
        <v>35</v>
      </c>
      <c r="G505" t="s">
        <v>18</v>
      </c>
      <c r="H505" t="s">
        <v>19</v>
      </c>
      <c r="I505" t="s">
        <v>20</v>
      </c>
      <c r="J505">
        <v>200</v>
      </c>
      <c r="S505">
        <v>6</v>
      </c>
      <c r="T505">
        <v>0</v>
      </c>
      <c r="U505">
        <v>0</v>
      </c>
      <c r="V505">
        <v>0</v>
      </c>
    </row>
    <row r="506" spans="1:22">
      <c r="A506" t="s">
        <v>483</v>
      </c>
      <c r="B506" s="3">
        <v>46180</v>
      </c>
      <c r="C506" t="s">
        <v>14</v>
      </c>
      <c r="D506" t="s">
        <v>31</v>
      </c>
      <c r="E506" t="s">
        <v>16</v>
      </c>
      <c r="F506" t="s">
        <v>17</v>
      </c>
      <c r="G506" t="s">
        <v>23</v>
      </c>
      <c r="H506" t="s">
        <v>19</v>
      </c>
      <c r="I506" t="s">
        <v>20</v>
      </c>
      <c r="J506">
        <v>120</v>
      </c>
      <c r="S506">
        <v>9.6</v>
      </c>
      <c r="T506">
        <v>0</v>
      </c>
      <c r="U506">
        <v>1</v>
      </c>
      <c r="V506">
        <v>0</v>
      </c>
    </row>
    <row r="507" spans="1:22">
      <c r="A507" t="s">
        <v>484</v>
      </c>
      <c r="B507" s="3">
        <v>46180</v>
      </c>
      <c r="C507" t="s">
        <v>14</v>
      </c>
      <c r="D507" t="s">
        <v>137</v>
      </c>
      <c r="E507" t="s">
        <v>16</v>
      </c>
      <c r="F507" t="s">
        <v>17</v>
      </c>
      <c r="G507" t="s">
        <v>18</v>
      </c>
      <c r="H507" t="s">
        <v>19</v>
      </c>
      <c r="I507" t="s">
        <v>20</v>
      </c>
      <c r="J507">
        <v>200</v>
      </c>
      <c r="S507">
        <v>20</v>
      </c>
      <c r="T507">
        <v>0</v>
      </c>
      <c r="U507">
        <v>1</v>
      </c>
      <c r="V507">
        <v>0</v>
      </c>
    </row>
    <row r="508" spans="1:22">
      <c r="A508" t="s">
        <v>485</v>
      </c>
      <c r="B508" s="3">
        <v>46180</v>
      </c>
      <c r="C508" t="s">
        <v>47</v>
      </c>
      <c r="D508" t="s">
        <v>50</v>
      </c>
      <c r="E508" t="s">
        <v>16</v>
      </c>
      <c r="F508" t="s">
        <v>17</v>
      </c>
      <c r="G508" t="s">
        <v>32</v>
      </c>
      <c r="H508" t="s">
        <v>19</v>
      </c>
      <c r="I508" t="s">
        <v>20</v>
      </c>
      <c r="J508">
        <v>300</v>
      </c>
      <c r="S508">
        <v>36</v>
      </c>
      <c r="T508">
        <v>0</v>
      </c>
      <c r="U508">
        <v>1</v>
      </c>
      <c r="V508">
        <v>0</v>
      </c>
    </row>
    <row r="509" spans="1:22">
      <c r="A509" t="s">
        <v>486</v>
      </c>
      <c r="B509" s="3">
        <v>46180</v>
      </c>
      <c r="C509" t="s">
        <v>47</v>
      </c>
      <c r="D509" t="s">
        <v>73</v>
      </c>
      <c r="E509" t="s">
        <v>16</v>
      </c>
      <c r="F509" t="s">
        <v>17</v>
      </c>
      <c r="G509" t="s">
        <v>18</v>
      </c>
      <c r="H509" t="s">
        <v>24</v>
      </c>
      <c r="I509" t="s">
        <v>20</v>
      </c>
      <c r="J509">
        <v>200</v>
      </c>
      <c r="S509">
        <v>0</v>
      </c>
      <c r="T509">
        <v>0</v>
      </c>
      <c r="U509">
        <v>0</v>
      </c>
      <c r="V509">
        <v>0</v>
      </c>
    </row>
    <row r="510" spans="1:22">
      <c r="A510" t="s">
        <v>487</v>
      </c>
      <c r="B510" s="3">
        <v>46180</v>
      </c>
      <c r="C510" t="s">
        <v>47</v>
      </c>
      <c r="D510" t="s">
        <v>59</v>
      </c>
      <c r="E510" t="s">
        <v>16</v>
      </c>
      <c r="F510" t="s">
        <v>17</v>
      </c>
      <c r="G510" t="s">
        <v>23</v>
      </c>
      <c r="H510" t="s">
        <v>19</v>
      </c>
      <c r="I510" t="s">
        <v>20</v>
      </c>
      <c r="J510">
        <v>120</v>
      </c>
      <c r="S510">
        <v>9.6</v>
      </c>
      <c r="T510">
        <v>0</v>
      </c>
      <c r="U510">
        <v>1</v>
      </c>
      <c r="V510">
        <v>0</v>
      </c>
    </row>
    <row r="511" spans="1:22">
      <c r="A511" t="s">
        <v>488</v>
      </c>
      <c r="B511" s="3">
        <v>46180</v>
      </c>
      <c r="C511" t="s">
        <v>47</v>
      </c>
      <c r="D511" t="s">
        <v>71</v>
      </c>
      <c r="E511" t="s">
        <v>16</v>
      </c>
      <c r="F511" t="s">
        <v>17</v>
      </c>
      <c r="G511" t="s">
        <v>32</v>
      </c>
      <c r="H511" t="s">
        <v>19</v>
      </c>
      <c r="I511" t="s">
        <v>20</v>
      </c>
      <c r="J511">
        <v>255</v>
      </c>
      <c r="L511" t="s">
        <v>29</v>
      </c>
      <c r="S511">
        <v>30.6</v>
      </c>
      <c r="T511">
        <v>0</v>
      </c>
      <c r="U511">
        <v>1</v>
      </c>
      <c r="V511">
        <v>0</v>
      </c>
    </row>
    <row r="512" spans="1:22">
      <c r="A512" t="s">
        <v>489</v>
      </c>
      <c r="B512" s="3">
        <v>46180</v>
      </c>
      <c r="C512" t="s">
        <v>47</v>
      </c>
      <c r="D512" t="s">
        <v>148</v>
      </c>
      <c r="E512" t="s">
        <v>16</v>
      </c>
      <c r="F512" t="s">
        <v>17</v>
      </c>
      <c r="G512" t="s">
        <v>32</v>
      </c>
      <c r="H512" t="s">
        <v>24</v>
      </c>
      <c r="I512" t="s">
        <v>20</v>
      </c>
      <c r="J512">
        <v>300</v>
      </c>
      <c r="S512">
        <v>0</v>
      </c>
      <c r="T512">
        <v>0</v>
      </c>
      <c r="U512">
        <v>0</v>
      </c>
      <c r="V512">
        <v>0</v>
      </c>
    </row>
    <row r="513" spans="1:22">
      <c r="A513" t="s">
        <v>490</v>
      </c>
      <c r="B513" s="3">
        <v>46180</v>
      </c>
      <c r="C513" t="s">
        <v>47</v>
      </c>
      <c r="D513" t="s">
        <v>66</v>
      </c>
      <c r="E513" t="s">
        <v>16</v>
      </c>
      <c r="F513" t="s">
        <v>17</v>
      </c>
      <c r="G513" t="s">
        <v>23</v>
      </c>
      <c r="H513" t="s">
        <v>24</v>
      </c>
      <c r="I513" t="s">
        <v>20</v>
      </c>
      <c r="J513">
        <v>120</v>
      </c>
      <c r="S513">
        <v>0</v>
      </c>
      <c r="T513">
        <v>0</v>
      </c>
      <c r="U513">
        <v>0</v>
      </c>
      <c r="V513">
        <v>0</v>
      </c>
    </row>
    <row r="514" spans="1:22">
      <c r="A514" t="s">
        <v>491</v>
      </c>
      <c r="B514" s="3">
        <v>46180</v>
      </c>
      <c r="C514" t="s">
        <v>47</v>
      </c>
      <c r="D514" t="s">
        <v>64</v>
      </c>
      <c r="E514" t="s">
        <v>16</v>
      </c>
      <c r="F514" t="s">
        <v>17</v>
      </c>
      <c r="G514" t="s">
        <v>32</v>
      </c>
      <c r="H514" t="s">
        <v>19</v>
      </c>
      <c r="I514" t="s">
        <v>20</v>
      </c>
      <c r="J514">
        <v>300</v>
      </c>
      <c r="S514">
        <v>36</v>
      </c>
      <c r="T514">
        <v>0</v>
      </c>
      <c r="U514">
        <v>1</v>
      </c>
      <c r="V514">
        <v>0</v>
      </c>
    </row>
    <row r="515" spans="1:22">
      <c r="A515" t="s">
        <v>492</v>
      </c>
      <c r="B515" s="3">
        <v>46180</v>
      </c>
      <c r="C515" t="s">
        <v>47</v>
      </c>
      <c r="D515" t="s">
        <v>48</v>
      </c>
      <c r="E515" t="s">
        <v>16</v>
      </c>
      <c r="F515" t="s">
        <v>17</v>
      </c>
      <c r="G515" t="s">
        <v>23</v>
      </c>
      <c r="H515" t="s">
        <v>19</v>
      </c>
      <c r="I515" t="s">
        <v>20</v>
      </c>
      <c r="J515">
        <v>120</v>
      </c>
      <c r="S515">
        <v>9.6</v>
      </c>
      <c r="T515">
        <v>0</v>
      </c>
      <c r="U515">
        <v>1</v>
      </c>
      <c r="V515">
        <v>0</v>
      </c>
    </row>
    <row r="516" spans="1:22">
      <c r="A516" t="s">
        <v>493</v>
      </c>
      <c r="B516" s="3">
        <v>46180</v>
      </c>
      <c r="C516" t="s">
        <v>47</v>
      </c>
      <c r="D516" t="s">
        <v>62</v>
      </c>
      <c r="E516" t="s">
        <v>16</v>
      </c>
      <c r="F516" t="s">
        <v>17</v>
      </c>
      <c r="G516" t="s">
        <v>32</v>
      </c>
      <c r="H516" t="s">
        <v>19</v>
      </c>
      <c r="I516" t="s">
        <v>20</v>
      </c>
      <c r="J516">
        <v>300</v>
      </c>
      <c r="S516">
        <v>36</v>
      </c>
      <c r="T516">
        <v>0</v>
      </c>
      <c r="U516">
        <v>1</v>
      </c>
      <c r="V516">
        <v>0</v>
      </c>
    </row>
    <row r="517" spans="1:22">
      <c r="A517" t="s">
        <v>494</v>
      </c>
      <c r="B517" s="3">
        <v>46180</v>
      </c>
      <c r="C517" t="s">
        <v>47</v>
      </c>
      <c r="D517" t="s">
        <v>52</v>
      </c>
      <c r="E517" t="s">
        <v>16</v>
      </c>
      <c r="F517" t="s">
        <v>17</v>
      </c>
      <c r="G517" t="s">
        <v>32</v>
      </c>
      <c r="H517" t="s">
        <v>19</v>
      </c>
      <c r="I517" t="s">
        <v>20</v>
      </c>
      <c r="J517">
        <v>300</v>
      </c>
      <c r="S517">
        <v>36</v>
      </c>
      <c r="T517">
        <v>0</v>
      </c>
      <c r="U517">
        <v>1</v>
      </c>
      <c r="V517">
        <v>0</v>
      </c>
    </row>
    <row r="518" spans="1:22">
      <c r="A518" t="s">
        <v>495</v>
      </c>
      <c r="B518" s="3">
        <v>46180</v>
      </c>
      <c r="C518" t="s">
        <v>47</v>
      </c>
      <c r="D518" t="s">
        <v>66</v>
      </c>
      <c r="E518" t="s">
        <v>16</v>
      </c>
      <c r="F518" t="s">
        <v>17</v>
      </c>
      <c r="G518" t="s">
        <v>32</v>
      </c>
      <c r="H518" t="s">
        <v>19</v>
      </c>
      <c r="I518" t="s">
        <v>20</v>
      </c>
      <c r="J518">
        <v>300</v>
      </c>
      <c r="S518">
        <v>36</v>
      </c>
      <c r="T518">
        <v>0</v>
      </c>
      <c r="U518">
        <v>1</v>
      </c>
      <c r="V518">
        <v>0</v>
      </c>
    </row>
    <row r="519" spans="1:22">
      <c r="A519" t="s">
        <v>496</v>
      </c>
      <c r="B519" s="3">
        <v>46180</v>
      </c>
      <c r="C519" t="s">
        <v>47</v>
      </c>
      <c r="D519" t="s">
        <v>73</v>
      </c>
      <c r="E519" t="s">
        <v>16</v>
      </c>
      <c r="F519" t="s">
        <v>17</v>
      </c>
      <c r="G519" t="s">
        <v>32</v>
      </c>
      <c r="H519" t="s">
        <v>19</v>
      </c>
      <c r="I519" t="s">
        <v>20</v>
      </c>
      <c r="J519">
        <v>300</v>
      </c>
      <c r="S519">
        <v>36</v>
      </c>
      <c r="T519">
        <v>0</v>
      </c>
      <c r="U519">
        <v>1</v>
      </c>
      <c r="V519">
        <v>0</v>
      </c>
    </row>
    <row r="520" spans="1:22">
      <c r="A520" t="s">
        <v>497</v>
      </c>
      <c r="B520" s="3">
        <v>46180</v>
      </c>
      <c r="C520" t="s">
        <v>47</v>
      </c>
      <c r="D520" t="s">
        <v>50</v>
      </c>
      <c r="E520" t="s">
        <v>16</v>
      </c>
      <c r="F520" t="s">
        <v>17</v>
      </c>
      <c r="G520" t="s">
        <v>32</v>
      </c>
      <c r="H520" t="s">
        <v>19</v>
      </c>
      <c r="I520" t="s">
        <v>20</v>
      </c>
      <c r="J520">
        <v>300</v>
      </c>
      <c r="S520">
        <v>36</v>
      </c>
      <c r="T520">
        <v>0</v>
      </c>
      <c r="U520">
        <v>1</v>
      </c>
      <c r="V520">
        <v>0</v>
      </c>
    </row>
    <row r="521" spans="1:22">
      <c r="A521" t="s">
        <v>498</v>
      </c>
      <c r="B521" s="3">
        <v>46180</v>
      </c>
      <c r="C521" t="s">
        <v>47</v>
      </c>
      <c r="D521" t="s">
        <v>148</v>
      </c>
      <c r="E521" t="s">
        <v>16</v>
      </c>
      <c r="F521" t="s">
        <v>17</v>
      </c>
      <c r="G521" t="s">
        <v>18</v>
      </c>
      <c r="H521" t="s">
        <v>19</v>
      </c>
      <c r="I521" t="s">
        <v>20</v>
      </c>
      <c r="J521">
        <v>200</v>
      </c>
      <c r="S521">
        <v>20</v>
      </c>
      <c r="T521">
        <v>0</v>
      </c>
      <c r="U521">
        <v>1</v>
      </c>
      <c r="V521">
        <v>0</v>
      </c>
    </row>
    <row r="522" spans="1:22">
      <c r="A522" t="s">
        <v>499</v>
      </c>
      <c r="B522" s="3">
        <v>46180</v>
      </c>
      <c r="C522" t="s">
        <v>78</v>
      </c>
      <c r="D522" t="s">
        <v>163</v>
      </c>
      <c r="E522" t="s">
        <v>16</v>
      </c>
      <c r="F522" t="s">
        <v>17</v>
      </c>
      <c r="G522" t="s">
        <v>18</v>
      </c>
      <c r="H522" t="s">
        <v>19</v>
      </c>
      <c r="I522" t="s">
        <v>74</v>
      </c>
      <c r="J522">
        <v>200</v>
      </c>
      <c r="S522">
        <v>0</v>
      </c>
      <c r="T522">
        <v>0</v>
      </c>
      <c r="U522">
        <v>0</v>
      </c>
      <c r="V522">
        <v>0</v>
      </c>
    </row>
    <row r="523" spans="1:22">
      <c r="A523" t="s">
        <v>500</v>
      </c>
      <c r="B523" s="3">
        <v>46180</v>
      </c>
      <c r="C523" t="s">
        <v>78</v>
      </c>
      <c r="D523" t="s">
        <v>102</v>
      </c>
      <c r="E523" t="s">
        <v>16</v>
      </c>
      <c r="F523" t="s">
        <v>17</v>
      </c>
      <c r="G523" t="s">
        <v>23</v>
      </c>
      <c r="H523" t="s">
        <v>19</v>
      </c>
      <c r="I523" t="s">
        <v>20</v>
      </c>
      <c r="J523">
        <v>90</v>
      </c>
      <c r="L523" t="s">
        <v>29</v>
      </c>
      <c r="S523">
        <v>7.2</v>
      </c>
      <c r="T523">
        <v>0</v>
      </c>
      <c r="U523">
        <v>1</v>
      </c>
      <c r="V523">
        <v>0</v>
      </c>
    </row>
    <row r="524" spans="1:22">
      <c r="A524" t="s">
        <v>501</v>
      </c>
      <c r="B524" s="3">
        <v>46180</v>
      </c>
      <c r="C524" t="s">
        <v>78</v>
      </c>
      <c r="D524" t="s">
        <v>81</v>
      </c>
      <c r="E524" t="s">
        <v>16</v>
      </c>
      <c r="F524" t="s">
        <v>17</v>
      </c>
      <c r="G524" t="s">
        <v>18</v>
      </c>
      <c r="H524" t="s">
        <v>19</v>
      </c>
      <c r="I524" t="s">
        <v>20</v>
      </c>
      <c r="J524">
        <v>200</v>
      </c>
      <c r="S524">
        <v>20</v>
      </c>
      <c r="T524">
        <v>0</v>
      </c>
      <c r="U524">
        <v>1</v>
      </c>
      <c r="V524">
        <v>0</v>
      </c>
    </row>
    <row r="525" spans="1:22">
      <c r="A525" t="s">
        <v>502</v>
      </c>
      <c r="B525" s="3">
        <v>46180</v>
      </c>
      <c r="C525" t="s">
        <v>78</v>
      </c>
      <c r="D525" t="s">
        <v>97</v>
      </c>
      <c r="E525" t="s">
        <v>16</v>
      </c>
      <c r="F525" t="s">
        <v>35</v>
      </c>
      <c r="G525" t="s">
        <v>18</v>
      </c>
      <c r="H525" t="s">
        <v>19</v>
      </c>
      <c r="I525" t="s">
        <v>20</v>
      </c>
      <c r="J525">
        <v>200</v>
      </c>
      <c r="S525">
        <v>6</v>
      </c>
      <c r="T525">
        <v>0</v>
      </c>
      <c r="U525">
        <v>0</v>
      </c>
      <c r="V525">
        <v>0</v>
      </c>
    </row>
    <row r="526" spans="1:22">
      <c r="A526" t="s">
        <v>503</v>
      </c>
      <c r="B526" s="3">
        <v>46180</v>
      </c>
      <c r="C526" t="s">
        <v>78</v>
      </c>
      <c r="D526" t="s">
        <v>79</v>
      </c>
      <c r="E526" t="s">
        <v>16</v>
      </c>
      <c r="F526" t="s">
        <v>35</v>
      </c>
      <c r="G526" t="s">
        <v>18</v>
      </c>
      <c r="H526" t="s">
        <v>19</v>
      </c>
      <c r="I526" t="s">
        <v>20</v>
      </c>
      <c r="J526">
        <v>200</v>
      </c>
      <c r="S526">
        <v>6</v>
      </c>
      <c r="T526">
        <v>0</v>
      </c>
      <c r="U526">
        <v>0</v>
      </c>
      <c r="V526">
        <v>0</v>
      </c>
    </row>
    <row r="527" spans="1:22">
      <c r="A527" t="s">
        <v>504</v>
      </c>
      <c r="B527" s="3">
        <v>46180</v>
      </c>
      <c r="C527" t="s">
        <v>78</v>
      </c>
      <c r="D527" t="s">
        <v>79</v>
      </c>
      <c r="E527" t="s">
        <v>16</v>
      </c>
      <c r="F527" t="s">
        <v>35</v>
      </c>
      <c r="G527" t="s">
        <v>23</v>
      </c>
      <c r="H527" t="s">
        <v>19</v>
      </c>
      <c r="I527" t="s">
        <v>20</v>
      </c>
      <c r="J527">
        <v>120</v>
      </c>
      <c r="S527">
        <v>3.6</v>
      </c>
      <c r="T527">
        <v>0</v>
      </c>
      <c r="U527">
        <v>0</v>
      </c>
      <c r="V527">
        <v>0</v>
      </c>
    </row>
    <row r="528" spans="1:22">
      <c r="A528" t="s">
        <v>505</v>
      </c>
      <c r="B528" s="3">
        <v>46180</v>
      </c>
      <c r="C528" t="s">
        <v>78</v>
      </c>
      <c r="D528" t="s">
        <v>161</v>
      </c>
      <c r="E528" t="s">
        <v>16</v>
      </c>
      <c r="F528" t="s">
        <v>17</v>
      </c>
      <c r="G528" t="s">
        <v>32</v>
      </c>
      <c r="H528" t="s">
        <v>19</v>
      </c>
      <c r="I528" t="s">
        <v>20</v>
      </c>
      <c r="J528">
        <v>300</v>
      </c>
      <c r="S528">
        <v>36</v>
      </c>
      <c r="T528">
        <v>0</v>
      </c>
      <c r="U528">
        <v>1</v>
      </c>
      <c r="V528">
        <v>0</v>
      </c>
    </row>
    <row r="529" spans="1:22">
      <c r="A529" t="s">
        <v>506</v>
      </c>
      <c r="B529" s="3">
        <v>46180</v>
      </c>
      <c r="C529" t="s">
        <v>78</v>
      </c>
      <c r="D529" t="s">
        <v>93</v>
      </c>
      <c r="E529" t="s">
        <v>16</v>
      </c>
      <c r="F529" t="s">
        <v>17</v>
      </c>
      <c r="G529" t="s">
        <v>18</v>
      </c>
      <c r="H529" t="s">
        <v>19</v>
      </c>
      <c r="I529" t="s">
        <v>20</v>
      </c>
      <c r="J529">
        <v>150</v>
      </c>
      <c r="L529" t="s">
        <v>29</v>
      </c>
      <c r="S529">
        <v>15</v>
      </c>
      <c r="T529">
        <v>0</v>
      </c>
      <c r="U529">
        <v>1</v>
      </c>
      <c r="V529">
        <v>0</v>
      </c>
    </row>
    <row r="530" spans="1:22">
      <c r="A530" t="s">
        <v>507</v>
      </c>
      <c r="B530" s="3">
        <v>46180</v>
      </c>
      <c r="C530" t="s">
        <v>78</v>
      </c>
      <c r="D530" t="s">
        <v>242</v>
      </c>
      <c r="E530" t="s">
        <v>16</v>
      </c>
      <c r="F530" t="s">
        <v>17</v>
      </c>
      <c r="G530" t="s">
        <v>18</v>
      </c>
      <c r="H530" t="s">
        <v>19</v>
      </c>
      <c r="I530" t="s">
        <v>20</v>
      </c>
      <c r="J530">
        <v>200</v>
      </c>
      <c r="S530">
        <v>20</v>
      </c>
      <c r="T530">
        <v>0</v>
      </c>
      <c r="U530">
        <v>1</v>
      </c>
      <c r="V530">
        <v>0</v>
      </c>
    </row>
    <row r="531" spans="1:22">
      <c r="A531" t="s">
        <v>508</v>
      </c>
      <c r="B531" s="3">
        <v>46180</v>
      </c>
      <c r="C531" t="s">
        <v>78</v>
      </c>
      <c r="D531" t="s">
        <v>81</v>
      </c>
      <c r="E531" t="s">
        <v>16</v>
      </c>
      <c r="F531" t="s">
        <v>17</v>
      </c>
      <c r="G531" t="s">
        <v>18</v>
      </c>
      <c r="H531" t="s">
        <v>19</v>
      </c>
      <c r="I531" t="s">
        <v>20</v>
      </c>
      <c r="J531">
        <v>200</v>
      </c>
      <c r="S531">
        <v>20</v>
      </c>
      <c r="T531">
        <v>0</v>
      </c>
      <c r="U531">
        <v>1</v>
      </c>
      <c r="V531">
        <v>0</v>
      </c>
    </row>
    <row r="532" spans="1:22">
      <c r="A532" t="s">
        <v>509</v>
      </c>
      <c r="B532" s="3">
        <v>46180</v>
      </c>
      <c r="C532" t="s">
        <v>78</v>
      </c>
      <c r="D532" t="s">
        <v>89</v>
      </c>
      <c r="E532" t="s">
        <v>16</v>
      </c>
      <c r="F532" t="s">
        <v>35</v>
      </c>
      <c r="G532" t="s">
        <v>23</v>
      </c>
      <c r="H532" t="s">
        <v>19</v>
      </c>
      <c r="I532" t="s">
        <v>20</v>
      </c>
      <c r="J532">
        <v>120</v>
      </c>
      <c r="S532">
        <v>3.6</v>
      </c>
      <c r="T532">
        <v>0</v>
      </c>
      <c r="U532">
        <v>0</v>
      </c>
      <c r="V532">
        <v>0</v>
      </c>
    </row>
    <row r="533" spans="1:22">
      <c r="A533" t="s">
        <v>510</v>
      </c>
      <c r="B533" s="3">
        <v>46180</v>
      </c>
      <c r="C533" t="s">
        <v>78</v>
      </c>
      <c r="D533" t="s">
        <v>97</v>
      </c>
      <c r="E533" t="s">
        <v>16</v>
      </c>
      <c r="F533" t="s">
        <v>17</v>
      </c>
      <c r="G533" t="s">
        <v>18</v>
      </c>
      <c r="H533" t="s">
        <v>19</v>
      </c>
      <c r="I533" t="s">
        <v>20</v>
      </c>
      <c r="J533">
        <v>200</v>
      </c>
      <c r="S533">
        <v>20</v>
      </c>
      <c r="T533">
        <v>0</v>
      </c>
      <c r="U533">
        <v>1</v>
      </c>
      <c r="V533">
        <v>0</v>
      </c>
    </row>
    <row r="534" spans="1:22">
      <c r="A534" t="s">
        <v>511</v>
      </c>
      <c r="B534" s="3">
        <v>46180</v>
      </c>
      <c r="C534" t="s">
        <v>78</v>
      </c>
      <c r="D534" t="s">
        <v>163</v>
      </c>
      <c r="E534" t="s">
        <v>16</v>
      </c>
      <c r="F534" t="s">
        <v>35</v>
      </c>
      <c r="G534" t="s">
        <v>32</v>
      </c>
      <c r="H534" t="s">
        <v>19</v>
      </c>
      <c r="I534" t="s">
        <v>53</v>
      </c>
      <c r="J534">
        <v>300</v>
      </c>
      <c r="S534">
        <v>0</v>
      </c>
      <c r="T534">
        <v>0</v>
      </c>
      <c r="U534">
        <v>0</v>
      </c>
      <c r="V534">
        <v>0</v>
      </c>
    </row>
    <row r="535" spans="1:22">
      <c r="A535" t="s">
        <v>512</v>
      </c>
      <c r="B535" s="3">
        <v>46180</v>
      </c>
      <c r="C535" t="s">
        <v>78</v>
      </c>
      <c r="D535" t="s">
        <v>83</v>
      </c>
      <c r="E535" t="s">
        <v>16</v>
      </c>
      <c r="F535" t="s">
        <v>17</v>
      </c>
      <c r="G535" t="s">
        <v>18</v>
      </c>
      <c r="H535" t="s">
        <v>19</v>
      </c>
      <c r="I535" t="s">
        <v>20</v>
      </c>
      <c r="J535">
        <v>200</v>
      </c>
      <c r="S535">
        <v>20</v>
      </c>
      <c r="T535">
        <v>0</v>
      </c>
      <c r="U535">
        <v>1</v>
      </c>
      <c r="V535">
        <v>0</v>
      </c>
    </row>
    <row r="536" spans="1:22">
      <c r="A536" t="s">
        <v>513</v>
      </c>
      <c r="B536" s="3">
        <v>46180</v>
      </c>
      <c r="C536" t="s">
        <v>78</v>
      </c>
      <c r="D536" t="s">
        <v>242</v>
      </c>
      <c r="E536" t="s">
        <v>16</v>
      </c>
      <c r="F536" t="s">
        <v>17</v>
      </c>
      <c r="G536" t="s">
        <v>18</v>
      </c>
      <c r="H536" t="s">
        <v>19</v>
      </c>
      <c r="I536" t="s">
        <v>20</v>
      </c>
      <c r="J536">
        <v>200</v>
      </c>
      <c r="S536">
        <v>20</v>
      </c>
      <c r="T536">
        <v>0</v>
      </c>
      <c r="U536">
        <v>1</v>
      </c>
      <c r="V536">
        <v>0</v>
      </c>
    </row>
    <row r="537" spans="1:22">
      <c r="A537" t="s">
        <v>514</v>
      </c>
      <c r="B537" s="3">
        <v>46180</v>
      </c>
      <c r="C537" t="s">
        <v>78</v>
      </c>
      <c r="D537" t="s">
        <v>93</v>
      </c>
      <c r="E537" t="s">
        <v>16</v>
      </c>
      <c r="F537" t="s">
        <v>17</v>
      </c>
      <c r="G537" t="s">
        <v>23</v>
      </c>
      <c r="H537" t="s">
        <v>19</v>
      </c>
      <c r="I537" t="s">
        <v>20</v>
      </c>
      <c r="J537">
        <v>120</v>
      </c>
      <c r="S537">
        <v>9.6</v>
      </c>
      <c r="T537">
        <v>0</v>
      </c>
      <c r="U537">
        <v>1</v>
      </c>
      <c r="V537">
        <v>0</v>
      </c>
    </row>
    <row r="538" spans="1:22">
      <c r="A538" t="s">
        <v>515</v>
      </c>
      <c r="B538" s="3">
        <v>46180</v>
      </c>
      <c r="C538" t="s">
        <v>78</v>
      </c>
      <c r="D538" t="s">
        <v>102</v>
      </c>
      <c r="E538" t="s">
        <v>16</v>
      </c>
      <c r="F538" t="s">
        <v>17</v>
      </c>
      <c r="G538" t="s">
        <v>32</v>
      </c>
      <c r="H538" t="s">
        <v>19</v>
      </c>
      <c r="I538" t="s">
        <v>20</v>
      </c>
      <c r="J538">
        <v>300</v>
      </c>
      <c r="S538">
        <v>36</v>
      </c>
      <c r="T538">
        <v>0</v>
      </c>
      <c r="U538">
        <v>1</v>
      </c>
      <c r="V538">
        <v>0</v>
      </c>
    </row>
    <row r="539" spans="1:22">
      <c r="A539" t="s">
        <v>516</v>
      </c>
      <c r="B539" s="3">
        <v>46180</v>
      </c>
      <c r="C539" t="s">
        <v>105</v>
      </c>
      <c r="D539" t="s">
        <v>191</v>
      </c>
      <c r="E539" t="s">
        <v>16</v>
      </c>
      <c r="F539" t="s">
        <v>17</v>
      </c>
      <c r="G539" t="s">
        <v>32</v>
      </c>
      <c r="H539" t="s">
        <v>19</v>
      </c>
      <c r="I539" t="s">
        <v>20</v>
      </c>
      <c r="J539">
        <v>255</v>
      </c>
      <c r="L539" t="s">
        <v>29</v>
      </c>
      <c r="S539">
        <v>30.6</v>
      </c>
      <c r="T539">
        <v>0</v>
      </c>
      <c r="U539">
        <v>1</v>
      </c>
      <c r="V539">
        <v>0</v>
      </c>
    </row>
    <row r="540" spans="1:22">
      <c r="A540" t="s">
        <v>517</v>
      </c>
      <c r="B540" s="3">
        <v>46180</v>
      </c>
      <c r="C540" t="s">
        <v>105</v>
      </c>
      <c r="D540" t="s">
        <v>182</v>
      </c>
      <c r="E540" t="s">
        <v>16</v>
      </c>
      <c r="F540" t="s">
        <v>17</v>
      </c>
      <c r="G540" t="s">
        <v>32</v>
      </c>
      <c r="H540" t="s">
        <v>19</v>
      </c>
      <c r="I540" t="s">
        <v>20</v>
      </c>
      <c r="J540">
        <v>300</v>
      </c>
      <c r="S540">
        <v>36</v>
      </c>
      <c r="T540">
        <v>0</v>
      </c>
      <c r="U540">
        <v>1</v>
      </c>
      <c r="V540">
        <v>0</v>
      </c>
    </row>
    <row r="541" spans="1:22">
      <c r="A541" t="s">
        <v>518</v>
      </c>
      <c r="B541" s="3">
        <v>46180</v>
      </c>
      <c r="C541" t="s">
        <v>105</v>
      </c>
      <c r="D541" t="s">
        <v>187</v>
      </c>
      <c r="E541" t="s">
        <v>16</v>
      </c>
      <c r="F541" t="s">
        <v>17</v>
      </c>
      <c r="G541" t="s">
        <v>18</v>
      </c>
      <c r="H541" t="s">
        <v>24</v>
      </c>
      <c r="I541" t="s">
        <v>20</v>
      </c>
      <c r="J541">
        <v>200</v>
      </c>
      <c r="S541">
        <v>0</v>
      </c>
      <c r="T541">
        <v>0</v>
      </c>
      <c r="U541">
        <v>0</v>
      </c>
      <c r="V541">
        <v>0</v>
      </c>
    </row>
    <row r="542" spans="1:22">
      <c r="A542" t="s">
        <v>519</v>
      </c>
      <c r="B542" s="3">
        <v>46180</v>
      </c>
      <c r="C542" t="s">
        <v>105</v>
      </c>
      <c r="D542" t="s">
        <v>116</v>
      </c>
      <c r="E542" t="s">
        <v>16</v>
      </c>
      <c r="F542" t="s">
        <v>17</v>
      </c>
      <c r="G542" t="s">
        <v>23</v>
      </c>
      <c r="H542" t="s">
        <v>19</v>
      </c>
      <c r="I542" t="s">
        <v>53</v>
      </c>
      <c r="J542">
        <v>120</v>
      </c>
      <c r="S542">
        <v>0</v>
      </c>
      <c r="T542">
        <v>0</v>
      </c>
      <c r="U542">
        <v>0</v>
      </c>
      <c r="V542">
        <v>0</v>
      </c>
    </row>
    <row r="543" spans="1:22">
      <c r="A543" t="s">
        <v>520</v>
      </c>
      <c r="B543" s="3">
        <v>46180</v>
      </c>
      <c r="C543" t="s">
        <v>105</v>
      </c>
      <c r="D543" t="s">
        <v>187</v>
      </c>
      <c r="E543" t="s">
        <v>16</v>
      </c>
      <c r="F543" t="s">
        <v>17</v>
      </c>
      <c r="G543" t="s">
        <v>32</v>
      </c>
      <c r="H543" t="s">
        <v>19</v>
      </c>
      <c r="I543" t="s">
        <v>20</v>
      </c>
      <c r="J543">
        <v>300</v>
      </c>
      <c r="S543">
        <v>36</v>
      </c>
      <c r="T543">
        <v>0</v>
      </c>
      <c r="U543">
        <v>1</v>
      </c>
      <c r="V543">
        <v>0</v>
      </c>
    </row>
    <row r="544" spans="1:22">
      <c r="A544" t="s">
        <v>521</v>
      </c>
      <c r="B544" s="3">
        <v>46180</v>
      </c>
      <c r="C544" t="s">
        <v>105</v>
      </c>
      <c r="D544" t="s">
        <v>182</v>
      </c>
      <c r="E544" t="s">
        <v>16</v>
      </c>
      <c r="F544" t="s">
        <v>17</v>
      </c>
      <c r="G544" t="s">
        <v>32</v>
      </c>
      <c r="H544" t="s">
        <v>19</v>
      </c>
      <c r="I544" t="s">
        <v>20</v>
      </c>
      <c r="J544">
        <v>255</v>
      </c>
      <c r="L544" t="s">
        <v>29</v>
      </c>
      <c r="S544">
        <v>30.6</v>
      </c>
      <c r="T544">
        <v>0</v>
      </c>
      <c r="U544">
        <v>1</v>
      </c>
      <c r="V544">
        <v>0</v>
      </c>
    </row>
    <row r="545" spans="1:22">
      <c r="A545" t="s">
        <v>522</v>
      </c>
      <c r="B545" s="3">
        <v>46180</v>
      </c>
      <c r="C545" t="s">
        <v>105</v>
      </c>
      <c r="D545" t="s">
        <v>106</v>
      </c>
      <c r="E545" t="s">
        <v>16</v>
      </c>
      <c r="F545" t="s">
        <v>17</v>
      </c>
      <c r="G545" t="s">
        <v>18</v>
      </c>
      <c r="H545" t="s">
        <v>19</v>
      </c>
      <c r="I545" t="s">
        <v>20</v>
      </c>
      <c r="J545">
        <v>200</v>
      </c>
      <c r="S545">
        <v>20</v>
      </c>
      <c r="T545">
        <v>0</v>
      </c>
      <c r="U545">
        <v>1</v>
      </c>
      <c r="V545">
        <v>0</v>
      </c>
    </row>
    <row r="546" spans="1:22">
      <c r="A546" t="s">
        <v>523</v>
      </c>
      <c r="B546" s="3">
        <v>46180</v>
      </c>
      <c r="C546" t="s">
        <v>105</v>
      </c>
      <c r="D546" t="s">
        <v>265</v>
      </c>
      <c r="E546" t="s">
        <v>16</v>
      </c>
      <c r="F546" t="s">
        <v>17</v>
      </c>
      <c r="G546" t="s">
        <v>32</v>
      </c>
      <c r="H546" t="s">
        <v>19</v>
      </c>
      <c r="I546" t="s">
        <v>20</v>
      </c>
      <c r="J546">
        <v>300</v>
      </c>
      <c r="S546">
        <v>36</v>
      </c>
      <c r="T546">
        <v>0</v>
      </c>
      <c r="U546">
        <v>1</v>
      </c>
      <c r="V546">
        <v>0</v>
      </c>
    </row>
    <row r="547" spans="1:22">
      <c r="A547" t="s">
        <v>524</v>
      </c>
      <c r="B547" s="3">
        <v>46180</v>
      </c>
      <c r="C547" t="s">
        <v>105</v>
      </c>
      <c r="D547" t="s">
        <v>120</v>
      </c>
      <c r="E547" t="s">
        <v>16</v>
      </c>
      <c r="F547" t="s">
        <v>17</v>
      </c>
      <c r="G547" t="s">
        <v>23</v>
      </c>
      <c r="H547" t="s">
        <v>19</v>
      </c>
      <c r="I547" t="s">
        <v>20</v>
      </c>
      <c r="J547">
        <v>120</v>
      </c>
      <c r="S547">
        <v>9.6</v>
      </c>
      <c r="T547">
        <v>0</v>
      </c>
      <c r="U547">
        <v>1</v>
      </c>
      <c r="V547">
        <v>0</v>
      </c>
    </row>
    <row r="548" spans="1:22">
      <c r="A548" t="s">
        <v>525</v>
      </c>
      <c r="B548" s="3">
        <v>46180</v>
      </c>
      <c r="C548" t="s">
        <v>105</v>
      </c>
      <c r="D548" t="s">
        <v>265</v>
      </c>
      <c r="E548" t="s">
        <v>16</v>
      </c>
      <c r="F548" t="s">
        <v>17</v>
      </c>
      <c r="G548" t="s">
        <v>18</v>
      </c>
      <c r="H548" t="s">
        <v>19</v>
      </c>
      <c r="I548" t="s">
        <v>20</v>
      </c>
      <c r="J548">
        <v>200</v>
      </c>
      <c r="S548">
        <v>20</v>
      </c>
      <c r="T548">
        <v>0</v>
      </c>
      <c r="U548">
        <v>1</v>
      </c>
      <c r="V548">
        <v>0</v>
      </c>
    </row>
    <row r="549" spans="1:22">
      <c r="A549" t="s">
        <v>526</v>
      </c>
      <c r="B549" s="3">
        <v>46180</v>
      </c>
      <c r="C549" t="s">
        <v>105</v>
      </c>
      <c r="D549" t="s">
        <v>187</v>
      </c>
      <c r="E549" t="s">
        <v>16</v>
      </c>
      <c r="F549" t="s">
        <v>17</v>
      </c>
      <c r="G549" t="s">
        <v>32</v>
      </c>
      <c r="H549" t="s">
        <v>19</v>
      </c>
      <c r="I549" t="s">
        <v>53</v>
      </c>
      <c r="J549">
        <v>300</v>
      </c>
      <c r="S549">
        <v>0</v>
      </c>
      <c r="T549">
        <v>0</v>
      </c>
      <c r="U549">
        <v>0</v>
      </c>
      <c r="V549">
        <v>0</v>
      </c>
    </row>
    <row r="550" spans="1:22">
      <c r="A550" t="s">
        <v>527</v>
      </c>
      <c r="B550" s="3">
        <v>46180</v>
      </c>
      <c r="C550" t="s">
        <v>105</v>
      </c>
      <c r="D550" t="s">
        <v>182</v>
      </c>
      <c r="E550" t="s">
        <v>16</v>
      </c>
      <c r="F550" t="s">
        <v>35</v>
      </c>
      <c r="G550" t="s">
        <v>23</v>
      </c>
      <c r="H550" t="s">
        <v>19</v>
      </c>
      <c r="I550" t="s">
        <v>20</v>
      </c>
      <c r="J550">
        <v>102</v>
      </c>
      <c r="L550" t="s">
        <v>29</v>
      </c>
      <c r="S550">
        <v>3.06</v>
      </c>
      <c r="T550">
        <v>0</v>
      </c>
      <c r="U550">
        <v>0</v>
      </c>
      <c r="V550">
        <v>0</v>
      </c>
    </row>
    <row r="551" spans="1:22">
      <c r="A551" t="s">
        <v>528</v>
      </c>
      <c r="B551" s="3">
        <v>46180</v>
      </c>
      <c r="C551" t="s">
        <v>105</v>
      </c>
      <c r="D551" t="s">
        <v>112</v>
      </c>
      <c r="E551" t="s">
        <v>16</v>
      </c>
      <c r="F551" t="s">
        <v>17</v>
      </c>
      <c r="G551" t="s">
        <v>23</v>
      </c>
      <c r="H551" t="s">
        <v>19</v>
      </c>
      <c r="I551" t="s">
        <v>20</v>
      </c>
      <c r="J551">
        <v>120</v>
      </c>
      <c r="S551">
        <v>9.6</v>
      </c>
      <c r="T551">
        <v>0</v>
      </c>
      <c r="U551">
        <v>1</v>
      </c>
      <c r="V551">
        <v>0</v>
      </c>
    </row>
    <row r="552" spans="1:22">
      <c r="A552" t="s">
        <v>529</v>
      </c>
      <c r="B552" s="3">
        <v>46180</v>
      </c>
      <c r="C552" t="s">
        <v>105</v>
      </c>
      <c r="D552" t="s">
        <v>120</v>
      </c>
      <c r="E552" t="s">
        <v>16</v>
      </c>
      <c r="F552" t="s">
        <v>17</v>
      </c>
      <c r="G552" t="s">
        <v>18</v>
      </c>
      <c r="H552" t="s">
        <v>24</v>
      </c>
      <c r="I552" t="s">
        <v>20</v>
      </c>
      <c r="J552">
        <v>150</v>
      </c>
      <c r="L552" t="s">
        <v>29</v>
      </c>
      <c r="S552">
        <v>0</v>
      </c>
      <c r="T552">
        <v>0</v>
      </c>
      <c r="U552">
        <v>0</v>
      </c>
      <c r="V552">
        <v>0</v>
      </c>
    </row>
    <row r="553" spans="1:22">
      <c r="A553" t="s">
        <v>530</v>
      </c>
      <c r="B553" s="3">
        <v>46180</v>
      </c>
      <c r="C553" t="s">
        <v>105</v>
      </c>
      <c r="D553" t="s">
        <v>120</v>
      </c>
      <c r="E553" t="s">
        <v>16</v>
      </c>
      <c r="F553" t="s">
        <v>17</v>
      </c>
      <c r="G553" t="s">
        <v>32</v>
      </c>
      <c r="H553" t="s">
        <v>19</v>
      </c>
      <c r="I553" t="s">
        <v>20</v>
      </c>
      <c r="J553">
        <v>300</v>
      </c>
      <c r="S553">
        <v>36</v>
      </c>
      <c r="T553">
        <v>0</v>
      </c>
      <c r="U553">
        <v>1</v>
      </c>
      <c r="V553">
        <v>0</v>
      </c>
    </row>
    <row r="554" spans="1:22">
      <c r="A554" t="s">
        <v>531</v>
      </c>
      <c r="B554" s="3">
        <v>46180</v>
      </c>
      <c r="C554" t="s">
        <v>105</v>
      </c>
      <c r="D554" t="s">
        <v>112</v>
      </c>
      <c r="E554" t="s">
        <v>16</v>
      </c>
      <c r="F554" t="s">
        <v>17</v>
      </c>
      <c r="G554" t="s">
        <v>32</v>
      </c>
      <c r="H554" t="s">
        <v>19</v>
      </c>
      <c r="I554" t="s">
        <v>20</v>
      </c>
      <c r="J554">
        <v>300</v>
      </c>
      <c r="S554">
        <v>36</v>
      </c>
      <c r="T554">
        <v>0</v>
      </c>
      <c r="U554">
        <v>1</v>
      </c>
      <c r="V554">
        <v>0</v>
      </c>
    </row>
    <row r="555" spans="1:22">
      <c r="A555" t="s">
        <v>532</v>
      </c>
      <c r="B555" s="3">
        <v>46180</v>
      </c>
      <c r="C555" t="s">
        <v>105</v>
      </c>
      <c r="D555" t="s">
        <v>191</v>
      </c>
      <c r="E555" t="s">
        <v>16</v>
      </c>
      <c r="F555" t="s">
        <v>35</v>
      </c>
      <c r="G555" t="s">
        <v>18</v>
      </c>
      <c r="H555" t="s">
        <v>19</v>
      </c>
      <c r="I555" t="s">
        <v>20</v>
      </c>
      <c r="J555">
        <v>200</v>
      </c>
      <c r="S555">
        <v>6</v>
      </c>
      <c r="T555">
        <v>0</v>
      </c>
      <c r="U555">
        <v>0</v>
      </c>
      <c r="V555">
        <v>0</v>
      </c>
    </row>
    <row r="556" spans="1:22">
      <c r="A556" t="s">
        <v>533</v>
      </c>
      <c r="B556" s="3">
        <v>46180</v>
      </c>
      <c r="C556" t="s">
        <v>105</v>
      </c>
      <c r="D556" t="s">
        <v>187</v>
      </c>
      <c r="E556" t="s">
        <v>16</v>
      </c>
      <c r="F556" t="s">
        <v>35</v>
      </c>
      <c r="G556" t="s">
        <v>32</v>
      </c>
      <c r="H556" t="s">
        <v>19</v>
      </c>
      <c r="I556" t="s">
        <v>20</v>
      </c>
      <c r="J556">
        <v>300</v>
      </c>
      <c r="S556">
        <v>9</v>
      </c>
      <c r="T556">
        <v>0</v>
      </c>
      <c r="U556">
        <v>0</v>
      </c>
      <c r="V556">
        <v>0</v>
      </c>
    </row>
    <row r="557" spans="1:22">
      <c r="A557" t="s">
        <v>537</v>
      </c>
      <c r="B557" s="3">
        <v>46181</v>
      </c>
      <c r="C557" t="s">
        <v>14</v>
      </c>
      <c r="D557" t="s">
        <v>31</v>
      </c>
      <c r="E557" t="s">
        <v>16</v>
      </c>
      <c r="F557" t="s">
        <v>35</v>
      </c>
      <c r="G557" t="s">
        <v>32</v>
      </c>
      <c r="H557" t="s">
        <v>19</v>
      </c>
      <c r="I557" t="s">
        <v>20</v>
      </c>
      <c r="J557">
        <v>225</v>
      </c>
      <c r="L557" t="s">
        <v>29</v>
      </c>
      <c r="S557">
        <v>6.75</v>
      </c>
      <c r="T557">
        <v>0</v>
      </c>
      <c r="U557">
        <v>0</v>
      </c>
      <c r="V557">
        <v>0</v>
      </c>
    </row>
    <row r="558" spans="1:22">
      <c r="A558" t="s">
        <v>539</v>
      </c>
      <c r="B558" s="3">
        <v>46181</v>
      </c>
      <c r="C558" t="s">
        <v>14</v>
      </c>
      <c r="D558" t="s">
        <v>28</v>
      </c>
      <c r="E558" t="s">
        <v>16</v>
      </c>
      <c r="F558" t="s">
        <v>17</v>
      </c>
      <c r="G558" t="s">
        <v>32</v>
      </c>
      <c r="H558" t="s">
        <v>19</v>
      </c>
      <c r="I558" t="s">
        <v>20</v>
      </c>
      <c r="J558">
        <v>300</v>
      </c>
      <c r="S558">
        <v>36</v>
      </c>
      <c r="T558">
        <v>0</v>
      </c>
      <c r="U558">
        <v>1</v>
      </c>
      <c r="V558">
        <v>0</v>
      </c>
    </row>
    <row r="559" spans="1:22">
      <c r="A559" t="s">
        <v>540</v>
      </c>
      <c r="B559" s="3">
        <v>46181</v>
      </c>
      <c r="C559" t="s">
        <v>14</v>
      </c>
      <c r="D559" t="s">
        <v>40</v>
      </c>
      <c r="E559" t="s">
        <v>16</v>
      </c>
      <c r="F559" t="s">
        <v>17</v>
      </c>
      <c r="G559" t="s">
        <v>23</v>
      </c>
      <c r="H559" t="s">
        <v>19</v>
      </c>
      <c r="I559" t="s">
        <v>20</v>
      </c>
      <c r="J559">
        <v>120</v>
      </c>
      <c r="S559">
        <v>9.6</v>
      </c>
      <c r="T559">
        <v>0</v>
      </c>
      <c r="U559">
        <v>1</v>
      </c>
      <c r="V559">
        <v>0</v>
      </c>
    </row>
    <row r="560" spans="1:22">
      <c r="A560" t="s">
        <v>541</v>
      </c>
      <c r="B560" s="3">
        <v>46181</v>
      </c>
      <c r="C560" t="s">
        <v>14</v>
      </c>
      <c r="D560" t="s">
        <v>15</v>
      </c>
      <c r="E560" t="s">
        <v>16</v>
      </c>
      <c r="F560" t="s">
        <v>17</v>
      </c>
      <c r="G560" t="s">
        <v>23</v>
      </c>
      <c r="H560" t="s">
        <v>24</v>
      </c>
      <c r="I560" t="s">
        <v>20</v>
      </c>
      <c r="J560">
        <v>120</v>
      </c>
      <c r="S560">
        <v>0</v>
      </c>
      <c r="T560">
        <v>0</v>
      </c>
      <c r="U560">
        <v>0</v>
      </c>
      <c r="V560">
        <v>0</v>
      </c>
    </row>
    <row r="561" spans="1:22">
      <c r="A561" t="s">
        <v>542</v>
      </c>
      <c r="B561" s="3">
        <v>46181</v>
      </c>
      <c r="C561" t="s">
        <v>14</v>
      </c>
      <c r="D561" t="s">
        <v>137</v>
      </c>
      <c r="E561" t="s">
        <v>16</v>
      </c>
      <c r="F561" t="s">
        <v>35</v>
      </c>
      <c r="G561" t="s">
        <v>18</v>
      </c>
      <c r="H561" t="s">
        <v>19</v>
      </c>
      <c r="I561" t="s">
        <v>20</v>
      </c>
      <c r="J561">
        <v>200</v>
      </c>
      <c r="S561">
        <v>6</v>
      </c>
      <c r="T561">
        <v>0</v>
      </c>
      <c r="U561">
        <v>0</v>
      </c>
      <c r="V561">
        <v>0</v>
      </c>
    </row>
    <row r="562" spans="1:22">
      <c r="A562" t="s">
        <v>543</v>
      </c>
      <c r="B562" s="3">
        <v>46181</v>
      </c>
      <c r="C562" t="s">
        <v>14</v>
      </c>
      <c r="D562" t="s">
        <v>42</v>
      </c>
      <c r="E562" t="s">
        <v>16</v>
      </c>
      <c r="F562" t="s">
        <v>17</v>
      </c>
      <c r="G562" t="s">
        <v>18</v>
      </c>
      <c r="H562" t="s">
        <v>24</v>
      </c>
      <c r="I562" t="s">
        <v>20</v>
      </c>
      <c r="J562">
        <v>200</v>
      </c>
      <c r="S562">
        <v>0</v>
      </c>
      <c r="T562">
        <v>0</v>
      </c>
      <c r="U562">
        <v>0</v>
      </c>
      <c r="V562">
        <v>0</v>
      </c>
    </row>
    <row r="563" spans="1:22">
      <c r="A563" t="s">
        <v>544</v>
      </c>
      <c r="B563" s="3">
        <v>46181</v>
      </c>
      <c r="C563" t="s">
        <v>14</v>
      </c>
      <c r="D563" t="s">
        <v>42</v>
      </c>
      <c r="E563" t="s">
        <v>16</v>
      </c>
      <c r="F563" t="s">
        <v>17</v>
      </c>
      <c r="G563" t="s">
        <v>23</v>
      </c>
      <c r="H563" t="s">
        <v>19</v>
      </c>
      <c r="I563" t="s">
        <v>20</v>
      </c>
      <c r="J563">
        <v>120</v>
      </c>
      <c r="S563">
        <v>9.6</v>
      </c>
      <c r="T563">
        <v>0</v>
      </c>
      <c r="U563">
        <v>1</v>
      </c>
      <c r="V563">
        <v>0</v>
      </c>
    </row>
    <row r="564" spans="1:22">
      <c r="A564" t="s">
        <v>545</v>
      </c>
      <c r="B564" s="3">
        <v>46181</v>
      </c>
      <c r="C564" t="s">
        <v>14</v>
      </c>
      <c r="D564" t="s">
        <v>22</v>
      </c>
      <c r="E564" t="s">
        <v>16</v>
      </c>
      <c r="F564" t="s">
        <v>17</v>
      </c>
      <c r="G564" t="s">
        <v>23</v>
      </c>
      <c r="H564" t="s">
        <v>19</v>
      </c>
      <c r="I564" t="s">
        <v>20</v>
      </c>
      <c r="J564">
        <v>120</v>
      </c>
      <c r="S564">
        <v>9.6</v>
      </c>
      <c r="T564">
        <v>0</v>
      </c>
      <c r="U564">
        <v>1</v>
      </c>
      <c r="V564">
        <v>0</v>
      </c>
    </row>
    <row r="565" spans="1:22">
      <c r="A565" t="s">
        <v>546</v>
      </c>
      <c r="B565" s="3">
        <v>46181</v>
      </c>
      <c r="C565" t="s">
        <v>14</v>
      </c>
      <c r="D565" t="s">
        <v>26</v>
      </c>
      <c r="E565" t="s">
        <v>16</v>
      </c>
      <c r="F565" t="s">
        <v>17</v>
      </c>
      <c r="G565" t="s">
        <v>23</v>
      </c>
      <c r="H565" t="s">
        <v>19</v>
      </c>
      <c r="I565" t="s">
        <v>20</v>
      </c>
      <c r="J565">
        <v>120</v>
      </c>
      <c r="S565">
        <v>9.6</v>
      </c>
      <c r="T565">
        <v>0</v>
      </c>
      <c r="U565">
        <v>1</v>
      </c>
      <c r="V565">
        <v>0</v>
      </c>
    </row>
    <row r="566" spans="1:22">
      <c r="A566" t="s">
        <v>547</v>
      </c>
      <c r="B566" s="3">
        <v>46181</v>
      </c>
      <c r="C566" t="s">
        <v>14</v>
      </c>
      <c r="D566" t="s">
        <v>28</v>
      </c>
      <c r="E566" t="s">
        <v>16</v>
      </c>
      <c r="F566" t="s">
        <v>17</v>
      </c>
      <c r="G566" t="s">
        <v>18</v>
      </c>
      <c r="H566" t="s">
        <v>19</v>
      </c>
      <c r="I566" t="s">
        <v>53</v>
      </c>
      <c r="J566">
        <v>200</v>
      </c>
      <c r="S566">
        <v>0</v>
      </c>
      <c r="T566">
        <v>0</v>
      </c>
      <c r="U566">
        <v>0</v>
      </c>
      <c r="V566">
        <v>0</v>
      </c>
    </row>
    <row r="567" spans="1:22">
      <c r="A567" t="s">
        <v>548</v>
      </c>
      <c r="B567" s="3">
        <v>46181</v>
      </c>
      <c r="C567" t="s">
        <v>14</v>
      </c>
      <c r="D567" t="s">
        <v>210</v>
      </c>
      <c r="E567" t="s">
        <v>16</v>
      </c>
      <c r="F567" t="s">
        <v>17</v>
      </c>
      <c r="G567" t="s">
        <v>18</v>
      </c>
      <c r="H567" t="s">
        <v>19</v>
      </c>
      <c r="I567" t="s">
        <v>20</v>
      </c>
      <c r="J567">
        <v>200</v>
      </c>
      <c r="S567">
        <v>20</v>
      </c>
      <c r="T567">
        <v>0</v>
      </c>
      <c r="U567">
        <v>1</v>
      </c>
      <c r="V567">
        <v>0</v>
      </c>
    </row>
    <row r="568" spans="1:22">
      <c r="A568" t="s">
        <v>549</v>
      </c>
      <c r="B568" s="3">
        <v>46181</v>
      </c>
      <c r="C568" t="s">
        <v>14</v>
      </c>
      <c r="D568" t="s">
        <v>42</v>
      </c>
      <c r="E568" t="s">
        <v>16</v>
      </c>
      <c r="F568" t="s">
        <v>17</v>
      </c>
      <c r="G568" t="s">
        <v>32</v>
      </c>
      <c r="H568" t="s">
        <v>19</v>
      </c>
      <c r="I568" t="s">
        <v>20</v>
      </c>
      <c r="J568">
        <v>300</v>
      </c>
      <c r="S568">
        <v>36</v>
      </c>
      <c r="T568">
        <v>0</v>
      </c>
      <c r="U568">
        <v>1</v>
      </c>
      <c r="V568">
        <v>0</v>
      </c>
    </row>
    <row r="569" spans="1:22">
      <c r="A569" t="s">
        <v>550</v>
      </c>
      <c r="B569" s="3">
        <v>46181</v>
      </c>
      <c r="C569" t="s">
        <v>14</v>
      </c>
      <c r="D569" t="s">
        <v>22</v>
      </c>
      <c r="E569" t="s">
        <v>16</v>
      </c>
      <c r="F569" t="s">
        <v>35</v>
      </c>
      <c r="G569" t="s">
        <v>23</v>
      </c>
      <c r="H569" t="s">
        <v>19</v>
      </c>
      <c r="I569" t="s">
        <v>20</v>
      </c>
      <c r="J569">
        <v>120</v>
      </c>
      <c r="S569">
        <v>3.6</v>
      </c>
      <c r="T569">
        <v>0</v>
      </c>
      <c r="U569">
        <v>0</v>
      </c>
      <c r="V569">
        <v>0</v>
      </c>
    </row>
    <row r="570" spans="1:22">
      <c r="A570" t="s">
        <v>551</v>
      </c>
      <c r="B570" s="3">
        <v>46181</v>
      </c>
      <c r="C570" t="s">
        <v>14</v>
      </c>
      <c r="D570" t="s">
        <v>26</v>
      </c>
      <c r="E570" t="s">
        <v>16</v>
      </c>
      <c r="F570" t="s">
        <v>35</v>
      </c>
      <c r="G570" t="s">
        <v>18</v>
      </c>
      <c r="H570" t="s">
        <v>19</v>
      </c>
      <c r="I570" t="s">
        <v>20</v>
      </c>
      <c r="J570">
        <v>200</v>
      </c>
      <c r="S570">
        <v>6</v>
      </c>
      <c r="T570">
        <v>0</v>
      </c>
      <c r="U570">
        <v>0</v>
      </c>
      <c r="V570">
        <v>0</v>
      </c>
    </row>
    <row r="571" spans="1:22">
      <c r="A571" t="s">
        <v>552</v>
      </c>
      <c r="B571" s="3">
        <v>46181</v>
      </c>
      <c r="C571" t="s">
        <v>14</v>
      </c>
      <c r="D571" t="s">
        <v>40</v>
      </c>
      <c r="E571" t="s">
        <v>16</v>
      </c>
      <c r="F571" t="s">
        <v>17</v>
      </c>
      <c r="G571" t="s">
        <v>23</v>
      </c>
      <c r="H571" t="s">
        <v>19</v>
      </c>
      <c r="I571" t="s">
        <v>20</v>
      </c>
      <c r="J571">
        <v>120</v>
      </c>
      <c r="S571">
        <v>9.6</v>
      </c>
      <c r="T571">
        <v>0</v>
      </c>
      <c r="U571">
        <v>1</v>
      </c>
      <c r="V571">
        <v>0</v>
      </c>
    </row>
    <row r="572" spans="1:22">
      <c r="A572" t="s">
        <v>553</v>
      </c>
      <c r="B572" s="3">
        <v>46181</v>
      </c>
      <c r="C572" t="s">
        <v>47</v>
      </c>
      <c r="D572" t="s">
        <v>48</v>
      </c>
      <c r="E572" t="s">
        <v>16</v>
      </c>
      <c r="F572" t="s">
        <v>17</v>
      </c>
      <c r="G572" t="s">
        <v>18</v>
      </c>
      <c r="H572" t="s">
        <v>19</v>
      </c>
      <c r="I572" t="s">
        <v>20</v>
      </c>
      <c r="J572">
        <v>200</v>
      </c>
      <c r="S572">
        <v>20</v>
      </c>
      <c r="T572">
        <v>0</v>
      </c>
      <c r="U572">
        <v>1</v>
      </c>
      <c r="V572">
        <v>0</v>
      </c>
    </row>
    <row r="573" spans="1:22">
      <c r="A573" t="s">
        <v>554</v>
      </c>
      <c r="B573" s="3">
        <v>46181</v>
      </c>
      <c r="C573" t="s">
        <v>47</v>
      </c>
      <c r="D573" t="s">
        <v>52</v>
      </c>
      <c r="E573" t="s">
        <v>16</v>
      </c>
      <c r="F573" t="s">
        <v>35</v>
      </c>
      <c r="G573" t="s">
        <v>32</v>
      </c>
      <c r="H573" t="s">
        <v>19</v>
      </c>
      <c r="I573" t="s">
        <v>20</v>
      </c>
      <c r="J573">
        <v>300</v>
      </c>
      <c r="S573">
        <v>9</v>
      </c>
      <c r="T573">
        <v>0</v>
      </c>
      <c r="U573">
        <v>0</v>
      </c>
      <c r="V573">
        <v>0</v>
      </c>
    </row>
    <row r="574" spans="1:22">
      <c r="A574" t="s">
        <v>555</v>
      </c>
      <c r="B574" s="3">
        <v>46181</v>
      </c>
      <c r="C574" t="s">
        <v>47</v>
      </c>
      <c r="D574" t="s">
        <v>66</v>
      </c>
      <c r="E574" t="s">
        <v>16</v>
      </c>
      <c r="F574" t="s">
        <v>17</v>
      </c>
      <c r="G574" t="s">
        <v>32</v>
      </c>
      <c r="H574" t="s">
        <v>19</v>
      </c>
      <c r="I574" t="s">
        <v>20</v>
      </c>
      <c r="J574">
        <v>300</v>
      </c>
      <c r="S574">
        <v>36</v>
      </c>
      <c r="T574">
        <v>0</v>
      </c>
      <c r="U574">
        <v>1</v>
      </c>
      <c r="V574">
        <v>0</v>
      </c>
    </row>
    <row r="575" spans="1:22">
      <c r="A575" t="s">
        <v>556</v>
      </c>
      <c r="B575" s="3">
        <v>46181</v>
      </c>
      <c r="C575" t="s">
        <v>47</v>
      </c>
      <c r="D575" t="s">
        <v>73</v>
      </c>
      <c r="E575" t="s">
        <v>16</v>
      </c>
      <c r="F575" t="s">
        <v>17</v>
      </c>
      <c r="G575" t="s">
        <v>23</v>
      </c>
      <c r="H575" t="s">
        <v>19</v>
      </c>
      <c r="I575" t="s">
        <v>20</v>
      </c>
      <c r="J575">
        <v>120</v>
      </c>
      <c r="S575">
        <v>9.6</v>
      </c>
      <c r="T575">
        <v>0</v>
      </c>
      <c r="U575">
        <v>1</v>
      </c>
      <c r="V575">
        <v>0</v>
      </c>
    </row>
    <row r="576" spans="1:22">
      <c r="A576" t="s">
        <v>557</v>
      </c>
      <c r="B576" s="3">
        <v>46181</v>
      </c>
      <c r="C576" t="s">
        <v>47</v>
      </c>
      <c r="D576" t="s">
        <v>73</v>
      </c>
      <c r="E576" t="s">
        <v>16</v>
      </c>
      <c r="F576" t="s">
        <v>35</v>
      </c>
      <c r="G576" t="s">
        <v>18</v>
      </c>
      <c r="H576" t="s">
        <v>24</v>
      </c>
      <c r="I576" t="s">
        <v>20</v>
      </c>
      <c r="J576">
        <v>200</v>
      </c>
      <c r="S576">
        <v>0</v>
      </c>
      <c r="T576">
        <v>0</v>
      </c>
      <c r="U576">
        <v>0</v>
      </c>
      <c r="V576">
        <v>0</v>
      </c>
    </row>
    <row r="577" spans="1:22">
      <c r="A577" t="s">
        <v>558</v>
      </c>
      <c r="B577" s="3">
        <v>46181</v>
      </c>
      <c r="C577" t="s">
        <v>47</v>
      </c>
      <c r="D577" t="s">
        <v>59</v>
      </c>
      <c r="E577" t="s">
        <v>16</v>
      </c>
      <c r="F577" t="s">
        <v>35</v>
      </c>
      <c r="G577" t="s">
        <v>18</v>
      </c>
      <c r="H577" t="s">
        <v>19</v>
      </c>
      <c r="I577" t="s">
        <v>20</v>
      </c>
      <c r="J577">
        <v>200</v>
      </c>
      <c r="S577">
        <v>6</v>
      </c>
      <c r="T577">
        <v>0</v>
      </c>
      <c r="U577">
        <v>0</v>
      </c>
      <c r="V577">
        <v>0</v>
      </c>
    </row>
    <row r="578" spans="1:22">
      <c r="A578" t="s">
        <v>559</v>
      </c>
      <c r="B578" s="3">
        <v>46181</v>
      </c>
      <c r="C578" t="s">
        <v>47</v>
      </c>
      <c r="D578" t="s">
        <v>66</v>
      </c>
      <c r="E578" t="s">
        <v>16</v>
      </c>
      <c r="F578" t="s">
        <v>17</v>
      </c>
      <c r="G578" t="s">
        <v>18</v>
      </c>
      <c r="H578" t="s">
        <v>19</v>
      </c>
      <c r="I578" t="s">
        <v>20</v>
      </c>
      <c r="J578">
        <v>200</v>
      </c>
      <c r="S578">
        <v>20</v>
      </c>
      <c r="T578">
        <v>0</v>
      </c>
      <c r="U578">
        <v>1</v>
      </c>
      <c r="V578">
        <v>0</v>
      </c>
    </row>
    <row r="579" spans="1:22">
      <c r="A579" t="s">
        <v>560</v>
      </c>
      <c r="B579" s="3">
        <v>46181</v>
      </c>
      <c r="C579" t="s">
        <v>47</v>
      </c>
      <c r="D579" t="s">
        <v>64</v>
      </c>
      <c r="E579" t="s">
        <v>16</v>
      </c>
      <c r="F579" t="s">
        <v>17</v>
      </c>
      <c r="G579" t="s">
        <v>18</v>
      </c>
      <c r="H579" t="s">
        <v>19</v>
      </c>
      <c r="I579" t="s">
        <v>20</v>
      </c>
      <c r="J579">
        <v>170</v>
      </c>
      <c r="L579" t="s">
        <v>29</v>
      </c>
      <c r="S579">
        <v>17</v>
      </c>
      <c r="T579">
        <v>0</v>
      </c>
      <c r="U579">
        <v>1</v>
      </c>
      <c r="V579">
        <v>0</v>
      </c>
    </row>
    <row r="580" spans="1:22">
      <c r="A580" t="s">
        <v>561</v>
      </c>
      <c r="B580" s="3">
        <v>46181</v>
      </c>
      <c r="C580" t="s">
        <v>47</v>
      </c>
      <c r="D580" t="s">
        <v>148</v>
      </c>
      <c r="E580" t="s">
        <v>16</v>
      </c>
      <c r="F580" t="s">
        <v>17</v>
      </c>
      <c r="G580" t="s">
        <v>32</v>
      </c>
      <c r="H580" t="s">
        <v>19</v>
      </c>
      <c r="I580" t="s">
        <v>20</v>
      </c>
      <c r="J580">
        <v>300</v>
      </c>
      <c r="S580">
        <v>36</v>
      </c>
      <c r="T580">
        <v>0</v>
      </c>
      <c r="U580">
        <v>1</v>
      </c>
      <c r="V580">
        <v>0</v>
      </c>
    </row>
    <row r="581" spans="1:22">
      <c r="A581" t="s">
        <v>562</v>
      </c>
      <c r="B581" s="3">
        <v>46181</v>
      </c>
      <c r="C581" t="s">
        <v>47</v>
      </c>
      <c r="D581" t="s">
        <v>73</v>
      </c>
      <c r="E581" t="s">
        <v>16</v>
      </c>
      <c r="F581" t="s">
        <v>17</v>
      </c>
      <c r="G581" t="s">
        <v>18</v>
      </c>
      <c r="H581" t="s">
        <v>19</v>
      </c>
      <c r="I581" t="s">
        <v>20</v>
      </c>
      <c r="J581">
        <v>200</v>
      </c>
      <c r="S581">
        <v>20</v>
      </c>
      <c r="T581">
        <v>0</v>
      </c>
      <c r="U581">
        <v>1</v>
      </c>
      <c r="V581">
        <v>0</v>
      </c>
    </row>
    <row r="582" spans="1:22">
      <c r="A582" t="s">
        <v>563</v>
      </c>
      <c r="B582" s="3">
        <v>46181</v>
      </c>
      <c r="C582" t="s">
        <v>47</v>
      </c>
      <c r="D582" t="s">
        <v>148</v>
      </c>
      <c r="E582" t="s">
        <v>16</v>
      </c>
      <c r="F582" t="s">
        <v>35</v>
      </c>
      <c r="G582" t="s">
        <v>32</v>
      </c>
      <c r="H582" t="s">
        <v>19</v>
      </c>
      <c r="I582" t="s">
        <v>20</v>
      </c>
      <c r="J582">
        <v>300</v>
      </c>
      <c r="S582">
        <v>9</v>
      </c>
      <c r="T582">
        <v>0</v>
      </c>
      <c r="U582">
        <v>0</v>
      </c>
      <c r="V582">
        <v>0</v>
      </c>
    </row>
    <row r="583" spans="1:22">
      <c r="A583" t="s">
        <v>564</v>
      </c>
      <c r="B583" s="3">
        <v>46181</v>
      </c>
      <c r="C583" t="s">
        <v>47</v>
      </c>
      <c r="D583" t="s">
        <v>62</v>
      </c>
      <c r="E583" t="s">
        <v>16</v>
      </c>
      <c r="F583" t="s">
        <v>17</v>
      </c>
      <c r="G583" t="s">
        <v>23</v>
      </c>
      <c r="H583" t="s">
        <v>19</v>
      </c>
      <c r="I583" t="s">
        <v>20</v>
      </c>
      <c r="J583">
        <v>120</v>
      </c>
      <c r="S583">
        <v>9.6</v>
      </c>
      <c r="T583">
        <v>0</v>
      </c>
      <c r="U583">
        <v>1</v>
      </c>
      <c r="V583">
        <v>0</v>
      </c>
    </row>
    <row r="584" spans="1:22">
      <c r="A584" t="s">
        <v>565</v>
      </c>
      <c r="B584" s="3">
        <v>46181</v>
      </c>
      <c r="C584" t="s">
        <v>47</v>
      </c>
      <c r="D584" t="s">
        <v>64</v>
      </c>
      <c r="E584" t="s">
        <v>16</v>
      </c>
      <c r="F584" t="s">
        <v>17</v>
      </c>
      <c r="G584" t="s">
        <v>18</v>
      </c>
      <c r="H584" t="s">
        <v>19</v>
      </c>
      <c r="I584" t="s">
        <v>20</v>
      </c>
      <c r="J584">
        <v>200</v>
      </c>
      <c r="S584">
        <v>20</v>
      </c>
      <c r="T584">
        <v>0</v>
      </c>
      <c r="U584">
        <v>1</v>
      </c>
      <c r="V584">
        <v>0</v>
      </c>
    </row>
    <row r="585" spans="1:22">
      <c r="A585" t="s">
        <v>566</v>
      </c>
      <c r="B585" s="3">
        <v>46181</v>
      </c>
      <c r="C585" t="s">
        <v>47</v>
      </c>
      <c r="D585" t="s">
        <v>64</v>
      </c>
      <c r="E585" t="s">
        <v>16</v>
      </c>
      <c r="F585" t="s">
        <v>17</v>
      </c>
      <c r="G585" t="s">
        <v>18</v>
      </c>
      <c r="H585" t="s">
        <v>19</v>
      </c>
      <c r="I585" t="s">
        <v>20</v>
      </c>
      <c r="J585">
        <v>200</v>
      </c>
      <c r="S585">
        <v>20</v>
      </c>
      <c r="T585">
        <v>0</v>
      </c>
      <c r="U585">
        <v>1</v>
      </c>
      <c r="V585">
        <v>0</v>
      </c>
    </row>
    <row r="586" spans="1:22">
      <c r="A586" t="s">
        <v>567</v>
      </c>
      <c r="B586" s="3">
        <v>46181</v>
      </c>
      <c r="C586" t="s">
        <v>47</v>
      </c>
      <c r="D586" t="s">
        <v>152</v>
      </c>
      <c r="E586" t="s">
        <v>16</v>
      </c>
      <c r="F586" t="s">
        <v>17</v>
      </c>
      <c r="G586" t="s">
        <v>23</v>
      </c>
      <c r="H586" t="s">
        <v>19</v>
      </c>
      <c r="I586" t="s">
        <v>20</v>
      </c>
      <c r="J586">
        <v>120</v>
      </c>
      <c r="S586">
        <v>9.6</v>
      </c>
      <c r="T586">
        <v>0</v>
      </c>
      <c r="U586">
        <v>1</v>
      </c>
      <c r="V586">
        <v>0</v>
      </c>
    </row>
    <row r="587" spans="1:22">
      <c r="A587" t="s">
        <v>568</v>
      </c>
      <c r="B587" s="3">
        <v>46181</v>
      </c>
      <c r="C587" t="s">
        <v>47</v>
      </c>
      <c r="D587" t="s">
        <v>73</v>
      </c>
      <c r="E587" t="s">
        <v>16</v>
      </c>
      <c r="F587" t="s">
        <v>17</v>
      </c>
      <c r="G587" t="s">
        <v>18</v>
      </c>
      <c r="H587" t="s">
        <v>19</v>
      </c>
      <c r="I587" t="s">
        <v>20</v>
      </c>
      <c r="J587">
        <v>200</v>
      </c>
      <c r="S587">
        <v>20</v>
      </c>
      <c r="T587">
        <v>0</v>
      </c>
      <c r="U587">
        <v>1</v>
      </c>
      <c r="V587">
        <v>0</v>
      </c>
    </row>
    <row r="588" spans="1:22">
      <c r="A588" t="s">
        <v>569</v>
      </c>
      <c r="B588" s="3">
        <v>46181</v>
      </c>
      <c r="C588" t="s">
        <v>47</v>
      </c>
      <c r="D588" t="s">
        <v>148</v>
      </c>
      <c r="E588" t="s">
        <v>16</v>
      </c>
      <c r="F588" t="s">
        <v>17</v>
      </c>
      <c r="G588" t="s">
        <v>18</v>
      </c>
      <c r="H588" t="s">
        <v>24</v>
      </c>
      <c r="I588" t="s">
        <v>20</v>
      </c>
      <c r="J588">
        <v>200</v>
      </c>
      <c r="S588">
        <v>0</v>
      </c>
      <c r="T588">
        <v>0</v>
      </c>
      <c r="U588">
        <v>0</v>
      </c>
      <c r="V588">
        <v>0</v>
      </c>
    </row>
    <row r="589" spans="1:22">
      <c r="A589" t="s">
        <v>570</v>
      </c>
      <c r="B589" s="3">
        <v>46181</v>
      </c>
      <c r="C589" t="s">
        <v>47</v>
      </c>
      <c r="D589" t="s">
        <v>64</v>
      </c>
      <c r="E589" t="s">
        <v>16</v>
      </c>
      <c r="F589" t="s">
        <v>17</v>
      </c>
      <c r="G589" t="s">
        <v>32</v>
      </c>
      <c r="H589" t="s">
        <v>19</v>
      </c>
      <c r="I589" t="s">
        <v>20</v>
      </c>
      <c r="J589">
        <v>300</v>
      </c>
      <c r="S589">
        <v>36</v>
      </c>
      <c r="T589">
        <v>0</v>
      </c>
      <c r="U589">
        <v>1</v>
      </c>
      <c r="V589">
        <v>0</v>
      </c>
    </row>
    <row r="590" spans="1:22">
      <c r="A590" t="s">
        <v>571</v>
      </c>
      <c r="B590" s="3">
        <v>46181</v>
      </c>
      <c r="C590" t="s">
        <v>78</v>
      </c>
      <c r="D590" t="s">
        <v>81</v>
      </c>
      <c r="E590" t="s">
        <v>16</v>
      </c>
      <c r="F590" t="s">
        <v>17</v>
      </c>
      <c r="G590" t="s">
        <v>32</v>
      </c>
      <c r="H590" t="s">
        <v>19</v>
      </c>
      <c r="I590" t="s">
        <v>20</v>
      </c>
      <c r="J590">
        <v>225</v>
      </c>
      <c r="L590" t="s">
        <v>29</v>
      </c>
      <c r="S590">
        <v>27</v>
      </c>
      <c r="T590">
        <v>0</v>
      </c>
      <c r="U590">
        <v>1</v>
      </c>
      <c r="V590">
        <v>0</v>
      </c>
    </row>
    <row r="591" spans="1:22">
      <c r="A591" t="s">
        <v>572</v>
      </c>
      <c r="B591" s="3">
        <v>46181</v>
      </c>
      <c r="C591" t="s">
        <v>78</v>
      </c>
      <c r="D591" t="s">
        <v>85</v>
      </c>
      <c r="E591" t="s">
        <v>16</v>
      </c>
      <c r="F591" t="s">
        <v>17</v>
      </c>
      <c r="G591" t="s">
        <v>23</v>
      </c>
      <c r="H591" t="s">
        <v>19</v>
      </c>
      <c r="I591" t="s">
        <v>20</v>
      </c>
      <c r="J591">
        <v>120</v>
      </c>
      <c r="S591">
        <v>9.6</v>
      </c>
      <c r="T591">
        <v>0</v>
      </c>
      <c r="U591">
        <v>1</v>
      </c>
      <c r="V591">
        <v>0</v>
      </c>
    </row>
    <row r="592" spans="1:22">
      <c r="A592" t="s">
        <v>573</v>
      </c>
      <c r="B592" s="3">
        <v>46181</v>
      </c>
      <c r="C592" t="s">
        <v>78</v>
      </c>
      <c r="D592" t="s">
        <v>85</v>
      </c>
      <c r="E592" t="s">
        <v>16</v>
      </c>
      <c r="F592" t="s">
        <v>17</v>
      </c>
      <c r="G592" t="s">
        <v>32</v>
      </c>
      <c r="H592" t="s">
        <v>19</v>
      </c>
      <c r="I592" t="s">
        <v>20</v>
      </c>
      <c r="J592">
        <v>255</v>
      </c>
      <c r="L592" t="s">
        <v>29</v>
      </c>
      <c r="S592">
        <v>30.6</v>
      </c>
      <c r="T592">
        <v>0</v>
      </c>
      <c r="U592">
        <v>1</v>
      </c>
      <c r="V592">
        <v>0</v>
      </c>
    </row>
    <row r="593" spans="1:22">
      <c r="A593" t="s">
        <v>574</v>
      </c>
      <c r="B593" s="3">
        <v>46181</v>
      </c>
      <c r="C593" t="s">
        <v>78</v>
      </c>
      <c r="D593" t="s">
        <v>83</v>
      </c>
      <c r="E593" t="s">
        <v>16</v>
      </c>
      <c r="F593" t="s">
        <v>35</v>
      </c>
      <c r="G593" t="s">
        <v>23</v>
      </c>
      <c r="H593" t="s">
        <v>19</v>
      </c>
      <c r="I593" t="s">
        <v>20</v>
      </c>
      <c r="J593">
        <v>120</v>
      </c>
      <c r="S593">
        <v>3.6</v>
      </c>
      <c r="T593">
        <v>0</v>
      </c>
      <c r="U593">
        <v>0</v>
      </c>
      <c r="V593">
        <v>0</v>
      </c>
    </row>
    <row r="594" spans="1:22">
      <c r="A594" t="s">
        <v>575</v>
      </c>
      <c r="B594" s="3">
        <v>46181</v>
      </c>
      <c r="C594" t="s">
        <v>78</v>
      </c>
      <c r="D594" t="s">
        <v>163</v>
      </c>
      <c r="E594" t="s">
        <v>16</v>
      </c>
      <c r="F594" t="s">
        <v>17</v>
      </c>
      <c r="G594" t="s">
        <v>32</v>
      </c>
      <c r="H594" t="s">
        <v>19</v>
      </c>
      <c r="I594" t="s">
        <v>20</v>
      </c>
      <c r="J594">
        <v>300</v>
      </c>
      <c r="S594">
        <v>36</v>
      </c>
      <c r="T594">
        <v>0</v>
      </c>
      <c r="U594">
        <v>1</v>
      </c>
      <c r="V594">
        <v>0</v>
      </c>
    </row>
    <row r="595" spans="1:22">
      <c r="A595" t="s">
        <v>576</v>
      </c>
      <c r="B595" s="3">
        <v>46181</v>
      </c>
      <c r="C595" t="s">
        <v>78</v>
      </c>
      <c r="D595" t="s">
        <v>83</v>
      </c>
      <c r="E595" t="s">
        <v>16</v>
      </c>
      <c r="F595" t="s">
        <v>17</v>
      </c>
      <c r="G595" t="s">
        <v>23</v>
      </c>
      <c r="H595" t="s">
        <v>19</v>
      </c>
      <c r="I595" t="s">
        <v>20</v>
      </c>
      <c r="J595">
        <v>120</v>
      </c>
      <c r="S595">
        <v>9.6</v>
      </c>
      <c r="T595">
        <v>0</v>
      </c>
      <c r="U595">
        <v>1</v>
      </c>
      <c r="V595">
        <v>0</v>
      </c>
    </row>
    <row r="596" spans="1:22">
      <c r="A596" t="s">
        <v>577</v>
      </c>
      <c r="B596" s="3">
        <v>46181</v>
      </c>
      <c r="C596" t="s">
        <v>78</v>
      </c>
      <c r="D596" t="s">
        <v>93</v>
      </c>
      <c r="E596" t="s">
        <v>16</v>
      </c>
      <c r="F596" t="s">
        <v>17</v>
      </c>
      <c r="G596" t="s">
        <v>32</v>
      </c>
      <c r="H596" t="s">
        <v>19</v>
      </c>
      <c r="I596" t="s">
        <v>53</v>
      </c>
      <c r="J596">
        <v>225</v>
      </c>
      <c r="L596" t="s">
        <v>29</v>
      </c>
      <c r="S596">
        <v>0</v>
      </c>
      <c r="T596">
        <v>0</v>
      </c>
      <c r="U596">
        <v>0</v>
      </c>
      <c r="V596">
        <v>0</v>
      </c>
    </row>
    <row r="597" spans="1:22">
      <c r="A597" t="s">
        <v>578</v>
      </c>
      <c r="B597" s="3">
        <v>46181</v>
      </c>
      <c r="C597" t="s">
        <v>78</v>
      </c>
      <c r="D597" t="s">
        <v>97</v>
      </c>
      <c r="E597" t="s">
        <v>16</v>
      </c>
      <c r="F597" t="s">
        <v>17</v>
      </c>
      <c r="G597" t="s">
        <v>23</v>
      </c>
      <c r="H597" t="s">
        <v>19</v>
      </c>
      <c r="I597" t="s">
        <v>20</v>
      </c>
      <c r="J597">
        <v>120</v>
      </c>
      <c r="S597">
        <v>9.6</v>
      </c>
      <c r="T597">
        <v>0</v>
      </c>
      <c r="U597">
        <v>1</v>
      </c>
      <c r="V597">
        <v>0</v>
      </c>
    </row>
    <row r="598" spans="1:22">
      <c r="A598" t="s">
        <v>579</v>
      </c>
      <c r="B598" s="3">
        <v>46181</v>
      </c>
      <c r="C598" t="s">
        <v>78</v>
      </c>
      <c r="D598" t="s">
        <v>89</v>
      </c>
      <c r="E598" t="s">
        <v>16</v>
      </c>
      <c r="F598" t="s">
        <v>17</v>
      </c>
      <c r="G598" t="s">
        <v>23</v>
      </c>
      <c r="H598" t="s">
        <v>19</v>
      </c>
      <c r="I598" t="s">
        <v>20</v>
      </c>
      <c r="J598">
        <v>120</v>
      </c>
      <c r="S598">
        <v>9.6</v>
      </c>
      <c r="T598">
        <v>0</v>
      </c>
      <c r="U598">
        <v>1</v>
      </c>
      <c r="V598">
        <v>0</v>
      </c>
    </row>
    <row r="599" spans="1:22">
      <c r="A599" t="s">
        <v>580</v>
      </c>
      <c r="B599" s="3">
        <v>46181</v>
      </c>
      <c r="C599" t="s">
        <v>78</v>
      </c>
      <c r="D599" t="s">
        <v>89</v>
      </c>
      <c r="E599" t="s">
        <v>16</v>
      </c>
      <c r="F599" t="s">
        <v>17</v>
      </c>
      <c r="G599" t="s">
        <v>18</v>
      </c>
      <c r="H599" t="s">
        <v>19</v>
      </c>
      <c r="I599" t="s">
        <v>53</v>
      </c>
      <c r="J599">
        <v>200</v>
      </c>
      <c r="S599">
        <v>0</v>
      </c>
      <c r="T599">
        <v>0</v>
      </c>
      <c r="U599">
        <v>0</v>
      </c>
      <c r="V599">
        <v>0</v>
      </c>
    </row>
    <row r="600" spans="1:22">
      <c r="A600" t="s">
        <v>581</v>
      </c>
      <c r="B600" s="3">
        <v>46181</v>
      </c>
      <c r="C600" t="s">
        <v>78</v>
      </c>
      <c r="D600" t="s">
        <v>79</v>
      </c>
      <c r="E600" t="s">
        <v>16</v>
      </c>
      <c r="F600" t="s">
        <v>17</v>
      </c>
      <c r="G600" t="s">
        <v>32</v>
      </c>
      <c r="H600" t="s">
        <v>19</v>
      </c>
      <c r="I600" t="s">
        <v>20</v>
      </c>
      <c r="J600">
        <v>300</v>
      </c>
      <c r="S600">
        <v>36</v>
      </c>
      <c r="T600">
        <v>0</v>
      </c>
      <c r="U600">
        <v>1</v>
      </c>
      <c r="V600">
        <v>0</v>
      </c>
    </row>
    <row r="601" spans="1:22">
      <c r="A601" t="s">
        <v>582</v>
      </c>
      <c r="B601" s="3">
        <v>46181</v>
      </c>
      <c r="C601" t="s">
        <v>78</v>
      </c>
      <c r="D601" t="s">
        <v>87</v>
      </c>
      <c r="E601" t="s">
        <v>16</v>
      </c>
      <c r="F601" t="s">
        <v>35</v>
      </c>
      <c r="G601" t="s">
        <v>18</v>
      </c>
      <c r="H601" t="s">
        <v>24</v>
      </c>
      <c r="I601" t="s">
        <v>20</v>
      </c>
      <c r="J601">
        <v>200</v>
      </c>
      <c r="S601">
        <v>0</v>
      </c>
      <c r="T601">
        <v>0</v>
      </c>
      <c r="U601">
        <v>0</v>
      </c>
      <c r="V601">
        <v>0</v>
      </c>
    </row>
    <row r="602" spans="1:22">
      <c r="A602" t="s">
        <v>583</v>
      </c>
      <c r="B602" s="3">
        <v>46181</v>
      </c>
      <c r="C602" t="s">
        <v>78</v>
      </c>
      <c r="D602" t="s">
        <v>81</v>
      </c>
      <c r="E602" t="s">
        <v>16</v>
      </c>
      <c r="F602" t="s">
        <v>17</v>
      </c>
      <c r="G602" t="s">
        <v>32</v>
      </c>
      <c r="H602" t="s">
        <v>19</v>
      </c>
      <c r="I602" t="s">
        <v>20</v>
      </c>
      <c r="J602">
        <v>300</v>
      </c>
      <c r="S602">
        <v>36</v>
      </c>
      <c r="T602">
        <v>0</v>
      </c>
      <c r="U602">
        <v>1</v>
      </c>
      <c r="V602">
        <v>0</v>
      </c>
    </row>
    <row r="603" spans="1:22">
      <c r="A603" t="s">
        <v>584</v>
      </c>
      <c r="B603" s="3">
        <v>46181</v>
      </c>
      <c r="C603" t="s">
        <v>78</v>
      </c>
      <c r="D603" t="s">
        <v>81</v>
      </c>
      <c r="E603" t="s">
        <v>16</v>
      </c>
      <c r="F603" t="s">
        <v>17</v>
      </c>
      <c r="G603" t="s">
        <v>23</v>
      </c>
      <c r="H603" t="s">
        <v>19</v>
      </c>
      <c r="I603" t="s">
        <v>20</v>
      </c>
      <c r="J603">
        <v>120</v>
      </c>
      <c r="S603">
        <v>9.6</v>
      </c>
      <c r="T603">
        <v>0</v>
      </c>
      <c r="U603">
        <v>1</v>
      </c>
      <c r="V603">
        <v>0</v>
      </c>
    </row>
    <row r="604" spans="1:22">
      <c r="A604" t="s">
        <v>585</v>
      </c>
      <c r="B604" s="3">
        <v>46181</v>
      </c>
      <c r="C604" t="s">
        <v>78</v>
      </c>
      <c r="D604" t="s">
        <v>79</v>
      </c>
      <c r="E604" t="s">
        <v>16</v>
      </c>
      <c r="F604" t="s">
        <v>17</v>
      </c>
      <c r="G604" t="s">
        <v>23</v>
      </c>
      <c r="H604" t="s">
        <v>19</v>
      </c>
      <c r="I604" t="s">
        <v>20</v>
      </c>
      <c r="J604">
        <v>120</v>
      </c>
      <c r="S604">
        <v>9.6</v>
      </c>
      <c r="T604">
        <v>0</v>
      </c>
      <c r="U604">
        <v>1</v>
      </c>
      <c r="V604">
        <v>0</v>
      </c>
    </row>
    <row r="605" spans="1:22">
      <c r="A605" t="s">
        <v>586</v>
      </c>
      <c r="B605" s="3">
        <v>46181</v>
      </c>
      <c r="C605" t="s">
        <v>78</v>
      </c>
      <c r="D605" t="s">
        <v>102</v>
      </c>
      <c r="E605" t="s">
        <v>16</v>
      </c>
      <c r="F605" t="s">
        <v>17</v>
      </c>
      <c r="G605" t="s">
        <v>32</v>
      </c>
      <c r="H605" t="s">
        <v>19</v>
      </c>
      <c r="I605" t="s">
        <v>20</v>
      </c>
      <c r="J605">
        <v>300</v>
      </c>
      <c r="S605">
        <v>36</v>
      </c>
      <c r="T605">
        <v>0</v>
      </c>
      <c r="U605">
        <v>1</v>
      </c>
      <c r="V605">
        <v>0</v>
      </c>
    </row>
    <row r="606" spans="1:22">
      <c r="A606" t="s">
        <v>587</v>
      </c>
      <c r="B606" s="3">
        <v>46181</v>
      </c>
      <c r="C606" t="s">
        <v>105</v>
      </c>
      <c r="D606" t="s">
        <v>194</v>
      </c>
      <c r="E606" t="s">
        <v>16</v>
      </c>
      <c r="F606" t="s">
        <v>17</v>
      </c>
      <c r="G606" t="s">
        <v>18</v>
      </c>
      <c r="H606" t="s">
        <v>19</v>
      </c>
      <c r="I606" t="s">
        <v>20</v>
      </c>
      <c r="J606">
        <v>200</v>
      </c>
      <c r="S606">
        <v>20</v>
      </c>
      <c r="T606">
        <v>0</v>
      </c>
      <c r="U606">
        <v>1</v>
      </c>
      <c r="V606">
        <v>0</v>
      </c>
    </row>
    <row r="607" spans="1:22">
      <c r="A607" t="s">
        <v>588</v>
      </c>
      <c r="B607" s="3">
        <v>46181</v>
      </c>
      <c r="C607" t="s">
        <v>105</v>
      </c>
      <c r="D607" t="s">
        <v>194</v>
      </c>
      <c r="E607" t="s">
        <v>16</v>
      </c>
      <c r="F607" t="s">
        <v>17</v>
      </c>
      <c r="G607" t="s">
        <v>32</v>
      </c>
      <c r="H607" t="s">
        <v>19</v>
      </c>
      <c r="I607" t="s">
        <v>20</v>
      </c>
      <c r="J607">
        <v>225</v>
      </c>
      <c r="L607" t="s">
        <v>29</v>
      </c>
      <c r="S607">
        <v>27</v>
      </c>
      <c r="T607">
        <v>0</v>
      </c>
      <c r="U607">
        <v>1</v>
      </c>
      <c r="V607">
        <v>0</v>
      </c>
    </row>
    <row r="608" spans="1:22">
      <c r="A608" t="s">
        <v>589</v>
      </c>
      <c r="B608" s="3">
        <v>46181</v>
      </c>
      <c r="C608" t="s">
        <v>105</v>
      </c>
      <c r="D608" t="s">
        <v>265</v>
      </c>
      <c r="E608" t="s">
        <v>16</v>
      </c>
      <c r="F608" t="s">
        <v>17</v>
      </c>
      <c r="G608" t="s">
        <v>32</v>
      </c>
      <c r="H608" t="s">
        <v>19</v>
      </c>
      <c r="I608" t="s">
        <v>20</v>
      </c>
      <c r="J608">
        <v>300</v>
      </c>
      <c r="S608">
        <v>36</v>
      </c>
      <c r="T608">
        <v>0</v>
      </c>
      <c r="U608">
        <v>1</v>
      </c>
      <c r="V608">
        <v>0</v>
      </c>
    </row>
    <row r="609" spans="1:22">
      <c r="A609" t="s">
        <v>590</v>
      </c>
      <c r="B609" s="3">
        <v>46181</v>
      </c>
      <c r="C609" t="s">
        <v>105</v>
      </c>
      <c r="D609" t="s">
        <v>116</v>
      </c>
      <c r="E609" t="s">
        <v>16</v>
      </c>
      <c r="F609" t="s">
        <v>17</v>
      </c>
      <c r="G609" t="s">
        <v>32</v>
      </c>
      <c r="H609" t="s">
        <v>24</v>
      </c>
      <c r="I609" t="s">
        <v>20</v>
      </c>
      <c r="J609">
        <v>300</v>
      </c>
      <c r="S609">
        <v>0</v>
      </c>
      <c r="T609">
        <v>0</v>
      </c>
      <c r="U609">
        <v>0</v>
      </c>
      <c r="V609">
        <v>0</v>
      </c>
    </row>
    <row r="610" spans="1:22">
      <c r="A610" t="s">
        <v>591</v>
      </c>
      <c r="B610" s="3">
        <v>46181</v>
      </c>
      <c r="C610" t="s">
        <v>105</v>
      </c>
      <c r="D610" t="s">
        <v>120</v>
      </c>
      <c r="E610" t="s">
        <v>16</v>
      </c>
      <c r="F610" t="s">
        <v>17</v>
      </c>
      <c r="G610" t="s">
        <v>18</v>
      </c>
      <c r="H610" t="s">
        <v>19</v>
      </c>
      <c r="I610" t="s">
        <v>20</v>
      </c>
      <c r="J610">
        <v>200</v>
      </c>
      <c r="S610">
        <v>20</v>
      </c>
      <c r="T610">
        <v>0</v>
      </c>
      <c r="U610">
        <v>1</v>
      </c>
      <c r="V610">
        <v>0</v>
      </c>
    </row>
    <row r="611" spans="1:22">
      <c r="A611" t="s">
        <v>592</v>
      </c>
      <c r="B611" s="3">
        <v>46181</v>
      </c>
      <c r="C611" t="s">
        <v>105</v>
      </c>
      <c r="D611" t="s">
        <v>265</v>
      </c>
      <c r="E611" t="s">
        <v>16</v>
      </c>
      <c r="F611" t="s">
        <v>17</v>
      </c>
      <c r="G611" t="s">
        <v>23</v>
      </c>
      <c r="H611" t="s">
        <v>19</v>
      </c>
      <c r="I611" t="s">
        <v>20</v>
      </c>
      <c r="J611">
        <v>120</v>
      </c>
      <c r="S611">
        <v>9.6</v>
      </c>
      <c r="T611">
        <v>0</v>
      </c>
      <c r="U611">
        <v>1</v>
      </c>
      <c r="V611">
        <v>0</v>
      </c>
    </row>
    <row r="612" spans="1:22">
      <c r="A612" t="s">
        <v>593</v>
      </c>
      <c r="B612" s="3">
        <v>46181</v>
      </c>
      <c r="C612" t="s">
        <v>105</v>
      </c>
      <c r="D612" t="s">
        <v>118</v>
      </c>
      <c r="E612" t="s">
        <v>16</v>
      </c>
      <c r="F612" t="s">
        <v>17</v>
      </c>
      <c r="G612" t="s">
        <v>18</v>
      </c>
      <c r="H612" t="s">
        <v>19</v>
      </c>
      <c r="I612" t="s">
        <v>20</v>
      </c>
      <c r="J612">
        <v>200</v>
      </c>
      <c r="S612">
        <v>20</v>
      </c>
      <c r="T612">
        <v>0</v>
      </c>
      <c r="U612">
        <v>1</v>
      </c>
      <c r="V612">
        <v>0</v>
      </c>
    </row>
    <row r="613" spans="1:22">
      <c r="A613" t="s">
        <v>594</v>
      </c>
      <c r="B613" s="3">
        <v>46181</v>
      </c>
      <c r="C613" t="s">
        <v>105</v>
      </c>
      <c r="D613" t="s">
        <v>106</v>
      </c>
      <c r="E613" t="s">
        <v>16</v>
      </c>
      <c r="F613" t="s">
        <v>17</v>
      </c>
      <c r="G613" t="s">
        <v>23</v>
      </c>
      <c r="H613" t="s">
        <v>19</v>
      </c>
      <c r="I613" t="s">
        <v>20</v>
      </c>
      <c r="J613">
        <v>120</v>
      </c>
      <c r="S613">
        <v>9.6</v>
      </c>
      <c r="T613">
        <v>0</v>
      </c>
      <c r="U613">
        <v>1</v>
      </c>
      <c r="V613">
        <v>0</v>
      </c>
    </row>
    <row r="614" spans="1:22">
      <c r="A614" t="s">
        <v>595</v>
      </c>
      <c r="B614" s="3">
        <v>46181</v>
      </c>
      <c r="C614" t="s">
        <v>105</v>
      </c>
      <c r="D614" t="s">
        <v>110</v>
      </c>
      <c r="E614" t="s">
        <v>16</v>
      </c>
      <c r="F614" t="s">
        <v>17</v>
      </c>
      <c r="G614" t="s">
        <v>23</v>
      </c>
      <c r="H614" t="s">
        <v>24</v>
      </c>
      <c r="I614" t="s">
        <v>20</v>
      </c>
      <c r="J614">
        <v>120</v>
      </c>
      <c r="S614">
        <v>0</v>
      </c>
      <c r="T614">
        <v>0</v>
      </c>
      <c r="U614">
        <v>0</v>
      </c>
      <c r="V614">
        <v>0</v>
      </c>
    </row>
    <row r="615" spans="1:22">
      <c r="A615" t="s">
        <v>596</v>
      </c>
      <c r="B615" s="3">
        <v>46181</v>
      </c>
      <c r="C615" t="s">
        <v>105</v>
      </c>
      <c r="D615" t="s">
        <v>116</v>
      </c>
      <c r="E615" t="s">
        <v>16</v>
      </c>
      <c r="F615" t="s">
        <v>17</v>
      </c>
      <c r="G615" t="s">
        <v>23</v>
      </c>
      <c r="H615" t="s">
        <v>19</v>
      </c>
      <c r="I615" t="s">
        <v>20</v>
      </c>
      <c r="J615">
        <v>120</v>
      </c>
      <c r="S615">
        <v>9.6</v>
      </c>
      <c r="T615">
        <v>0</v>
      </c>
      <c r="U615">
        <v>1</v>
      </c>
      <c r="V615">
        <v>0</v>
      </c>
    </row>
    <row r="616" spans="1:22">
      <c r="A616" t="s">
        <v>597</v>
      </c>
      <c r="B616" s="3">
        <v>46181</v>
      </c>
      <c r="C616" t="s">
        <v>105</v>
      </c>
      <c r="D616" t="s">
        <v>191</v>
      </c>
      <c r="E616" t="s">
        <v>16</v>
      </c>
      <c r="F616" t="s">
        <v>17</v>
      </c>
      <c r="G616" t="s">
        <v>32</v>
      </c>
      <c r="H616" t="s">
        <v>19</v>
      </c>
      <c r="I616" t="s">
        <v>20</v>
      </c>
      <c r="J616">
        <v>300</v>
      </c>
      <c r="S616">
        <v>36</v>
      </c>
      <c r="T616">
        <v>0</v>
      </c>
      <c r="U616">
        <v>1</v>
      </c>
      <c r="V616">
        <v>0</v>
      </c>
    </row>
    <row r="617" spans="1:22">
      <c r="A617" t="s">
        <v>598</v>
      </c>
      <c r="B617" s="3">
        <v>46181</v>
      </c>
      <c r="C617" t="s">
        <v>105</v>
      </c>
      <c r="D617" t="s">
        <v>187</v>
      </c>
      <c r="E617" t="s">
        <v>16</v>
      </c>
      <c r="F617" t="s">
        <v>17</v>
      </c>
      <c r="G617" t="s">
        <v>23</v>
      </c>
      <c r="H617" t="s">
        <v>19</v>
      </c>
      <c r="I617" t="s">
        <v>20</v>
      </c>
      <c r="J617">
        <v>120</v>
      </c>
      <c r="S617">
        <v>9.6</v>
      </c>
      <c r="T617">
        <v>0</v>
      </c>
      <c r="U617">
        <v>1</v>
      </c>
      <c r="V617">
        <v>0</v>
      </c>
    </row>
    <row r="618" spans="1:22">
      <c r="A618" t="s">
        <v>599</v>
      </c>
      <c r="B618" s="3">
        <v>46181</v>
      </c>
      <c r="C618" t="s">
        <v>105</v>
      </c>
      <c r="D618" t="s">
        <v>110</v>
      </c>
      <c r="E618" t="s">
        <v>16</v>
      </c>
      <c r="F618" t="s">
        <v>17</v>
      </c>
      <c r="G618" t="s">
        <v>23</v>
      </c>
      <c r="H618" t="s">
        <v>19</v>
      </c>
      <c r="I618" t="s">
        <v>74</v>
      </c>
      <c r="J618">
        <v>102</v>
      </c>
      <c r="L618" t="s">
        <v>29</v>
      </c>
      <c r="S618">
        <v>0</v>
      </c>
      <c r="T618">
        <v>0</v>
      </c>
      <c r="U618">
        <v>0</v>
      </c>
      <c r="V618">
        <v>0</v>
      </c>
    </row>
    <row r="619" spans="1:22">
      <c r="A619" t="s">
        <v>601</v>
      </c>
      <c r="B619" s="3">
        <v>46182</v>
      </c>
      <c r="C619" t="s">
        <v>14</v>
      </c>
      <c r="D619" t="s">
        <v>28</v>
      </c>
      <c r="E619" t="s">
        <v>16</v>
      </c>
      <c r="F619" t="s">
        <v>17</v>
      </c>
      <c r="G619" t="s">
        <v>23</v>
      </c>
      <c r="H619" t="s">
        <v>19</v>
      </c>
      <c r="I619" t="s">
        <v>20</v>
      </c>
      <c r="J619">
        <v>120</v>
      </c>
      <c r="S619">
        <v>9.6</v>
      </c>
      <c r="T619">
        <v>0</v>
      </c>
      <c r="U619">
        <v>1</v>
      </c>
      <c r="V619">
        <v>0</v>
      </c>
    </row>
    <row r="620" spans="1:22">
      <c r="A620" t="s">
        <v>603</v>
      </c>
      <c r="B620" s="3">
        <v>46182</v>
      </c>
      <c r="C620" t="s">
        <v>14</v>
      </c>
      <c r="D620" t="s">
        <v>34</v>
      </c>
      <c r="E620" t="s">
        <v>16</v>
      </c>
      <c r="F620" t="s">
        <v>17</v>
      </c>
      <c r="G620" t="s">
        <v>18</v>
      </c>
      <c r="H620" t="s">
        <v>19</v>
      </c>
      <c r="I620" t="s">
        <v>20</v>
      </c>
      <c r="J620">
        <v>200</v>
      </c>
      <c r="S620">
        <v>20</v>
      </c>
      <c r="T620">
        <v>0</v>
      </c>
      <c r="U620">
        <v>1</v>
      </c>
      <c r="V620">
        <v>0</v>
      </c>
    </row>
    <row r="621" spans="1:22">
      <c r="A621" t="s">
        <v>604</v>
      </c>
      <c r="B621" s="3">
        <v>46182</v>
      </c>
      <c r="C621" t="s">
        <v>14</v>
      </c>
      <c r="D621" t="s">
        <v>15</v>
      </c>
      <c r="E621" t="s">
        <v>16</v>
      </c>
      <c r="F621" t="s">
        <v>17</v>
      </c>
      <c r="G621" t="s">
        <v>23</v>
      </c>
      <c r="H621" t="s">
        <v>19</v>
      </c>
      <c r="I621" t="s">
        <v>20</v>
      </c>
      <c r="J621">
        <v>102</v>
      </c>
      <c r="L621" t="s">
        <v>29</v>
      </c>
      <c r="S621">
        <v>8.16</v>
      </c>
      <c r="T621">
        <v>0</v>
      </c>
      <c r="U621">
        <v>1</v>
      </c>
      <c r="V621">
        <v>0</v>
      </c>
    </row>
    <row r="622" spans="1:22">
      <c r="A622" t="s">
        <v>605</v>
      </c>
      <c r="B622" s="3">
        <v>46182</v>
      </c>
      <c r="C622" t="s">
        <v>14</v>
      </c>
      <c r="D622" t="s">
        <v>31</v>
      </c>
      <c r="E622" t="s">
        <v>16</v>
      </c>
      <c r="F622" t="s">
        <v>17</v>
      </c>
      <c r="G622" t="s">
        <v>23</v>
      </c>
      <c r="H622" t="s">
        <v>19</v>
      </c>
      <c r="I622" t="s">
        <v>20</v>
      </c>
      <c r="J622">
        <v>120</v>
      </c>
      <c r="S622">
        <v>9.6</v>
      </c>
      <c r="T622">
        <v>0</v>
      </c>
      <c r="U622">
        <v>1</v>
      </c>
      <c r="V622">
        <v>0</v>
      </c>
    </row>
    <row r="623" spans="1:22">
      <c r="A623" t="s">
        <v>606</v>
      </c>
      <c r="B623" s="3">
        <v>46182</v>
      </c>
      <c r="C623" t="s">
        <v>14</v>
      </c>
      <c r="D623" t="s">
        <v>28</v>
      </c>
      <c r="E623" t="s">
        <v>16</v>
      </c>
      <c r="F623" t="s">
        <v>17</v>
      </c>
      <c r="G623" t="s">
        <v>32</v>
      </c>
      <c r="H623" t="s">
        <v>19</v>
      </c>
      <c r="I623" t="s">
        <v>20</v>
      </c>
      <c r="J623">
        <v>300</v>
      </c>
      <c r="S623">
        <v>36</v>
      </c>
      <c r="T623">
        <v>0</v>
      </c>
      <c r="U623">
        <v>1</v>
      </c>
      <c r="V623">
        <v>0</v>
      </c>
    </row>
    <row r="624" spans="1:22">
      <c r="A624" t="s">
        <v>607</v>
      </c>
      <c r="B624" s="3">
        <v>46182</v>
      </c>
      <c r="C624" t="s">
        <v>14</v>
      </c>
      <c r="D624" t="s">
        <v>210</v>
      </c>
      <c r="E624" t="s">
        <v>16</v>
      </c>
      <c r="F624" t="s">
        <v>35</v>
      </c>
      <c r="G624" t="s">
        <v>32</v>
      </c>
      <c r="H624" t="s">
        <v>19</v>
      </c>
      <c r="I624" t="s">
        <v>20</v>
      </c>
      <c r="J624">
        <v>225</v>
      </c>
      <c r="L624" t="s">
        <v>29</v>
      </c>
      <c r="S624">
        <v>6.75</v>
      </c>
      <c r="T624">
        <v>0</v>
      </c>
      <c r="U624">
        <v>0</v>
      </c>
      <c r="V624">
        <v>0</v>
      </c>
    </row>
    <row r="625" spans="1:22">
      <c r="A625" t="s">
        <v>608</v>
      </c>
      <c r="B625" s="3">
        <v>46182</v>
      </c>
      <c r="C625" t="s">
        <v>14</v>
      </c>
      <c r="D625" t="s">
        <v>42</v>
      </c>
      <c r="E625" t="s">
        <v>16</v>
      </c>
      <c r="F625" t="s">
        <v>35</v>
      </c>
      <c r="G625" t="s">
        <v>18</v>
      </c>
      <c r="H625" t="s">
        <v>24</v>
      </c>
      <c r="I625" t="s">
        <v>20</v>
      </c>
      <c r="J625">
        <v>200</v>
      </c>
      <c r="S625">
        <v>0</v>
      </c>
      <c r="T625">
        <v>0</v>
      </c>
      <c r="U625">
        <v>0</v>
      </c>
      <c r="V625">
        <v>0</v>
      </c>
    </row>
    <row r="626" spans="1:22">
      <c r="A626" t="s">
        <v>609</v>
      </c>
      <c r="B626" s="3">
        <v>46182</v>
      </c>
      <c r="C626" t="s">
        <v>14</v>
      </c>
      <c r="D626" t="s">
        <v>137</v>
      </c>
      <c r="E626" t="s">
        <v>16</v>
      </c>
      <c r="F626" t="s">
        <v>35</v>
      </c>
      <c r="G626" t="s">
        <v>32</v>
      </c>
      <c r="H626" t="s">
        <v>19</v>
      </c>
      <c r="I626" t="s">
        <v>20</v>
      </c>
      <c r="J626">
        <v>300</v>
      </c>
      <c r="S626">
        <v>9</v>
      </c>
      <c r="T626">
        <v>0</v>
      </c>
      <c r="U626">
        <v>0</v>
      </c>
      <c r="V626">
        <v>0</v>
      </c>
    </row>
    <row r="627" spans="1:22">
      <c r="A627" t="s">
        <v>610</v>
      </c>
      <c r="B627" s="3">
        <v>46182</v>
      </c>
      <c r="C627" t="s">
        <v>14</v>
      </c>
      <c r="D627" t="s">
        <v>26</v>
      </c>
      <c r="E627" t="s">
        <v>16</v>
      </c>
      <c r="F627" t="s">
        <v>17</v>
      </c>
      <c r="G627" t="s">
        <v>18</v>
      </c>
      <c r="H627" t="s">
        <v>24</v>
      </c>
      <c r="I627" t="s">
        <v>20</v>
      </c>
      <c r="J627">
        <v>200</v>
      </c>
      <c r="S627">
        <v>0</v>
      </c>
      <c r="T627">
        <v>0</v>
      </c>
      <c r="U627">
        <v>0</v>
      </c>
      <c r="V627">
        <v>0</v>
      </c>
    </row>
    <row r="628" spans="1:22">
      <c r="A628" t="s">
        <v>611</v>
      </c>
      <c r="B628" s="3">
        <v>46182</v>
      </c>
      <c r="C628" t="s">
        <v>14</v>
      </c>
      <c r="D628" t="s">
        <v>131</v>
      </c>
      <c r="E628" t="s">
        <v>16</v>
      </c>
      <c r="F628" t="s">
        <v>17</v>
      </c>
      <c r="G628" t="s">
        <v>23</v>
      </c>
      <c r="H628" t="s">
        <v>19</v>
      </c>
      <c r="I628" t="s">
        <v>20</v>
      </c>
      <c r="J628">
        <v>120</v>
      </c>
      <c r="S628">
        <v>9.6</v>
      </c>
      <c r="T628">
        <v>0</v>
      </c>
      <c r="U628">
        <v>1</v>
      </c>
      <c r="V628">
        <v>0</v>
      </c>
    </row>
    <row r="629" spans="1:22">
      <c r="A629" t="s">
        <v>612</v>
      </c>
      <c r="B629" s="3">
        <v>46182</v>
      </c>
      <c r="C629" t="s">
        <v>14</v>
      </c>
      <c r="D629" t="s">
        <v>210</v>
      </c>
      <c r="E629" t="s">
        <v>16</v>
      </c>
      <c r="F629" t="s">
        <v>17</v>
      </c>
      <c r="G629" t="s">
        <v>32</v>
      </c>
      <c r="H629" t="s">
        <v>19</v>
      </c>
      <c r="I629" t="s">
        <v>20</v>
      </c>
      <c r="J629">
        <v>300</v>
      </c>
      <c r="S629">
        <v>36</v>
      </c>
      <c r="T629">
        <v>0</v>
      </c>
      <c r="U629">
        <v>1</v>
      </c>
      <c r="V629">
        <v>0</v>
      </c>
    </row>
    <row r="630" spans="1:22">
      <c r="A630" t="s">
        <v>613</v>
      </c>
      <c r="B630" s="3">
        <v>46182</v>
      </c>
      <c r="C630" t="s">
        <v>14</v>
      </c>
      <c r="D630" t="s">
        <v>37</v>
      </c>
      <c r="E630" t="s">
        <v>16</v>
      </c>
      <c r="F630" t="s">
        <v>17</v>
      </c>
      <c r="G630" t="s">
        <v>32</v>
      </c>
      <c r="H630" t="s">
        <v>19</v>
      </c>
      <c r="I630" t="s">
        <v>20</v>
      </c>
      <c r="J630">
        <v>300</v>
      </c>
      <c r="S630">
        <v>36</v>
      </c>
      <c r="T630">
        <v>0</v>
      </c>
      <c r="U630">
        <v>1</v>
      </c>
      <c r="V630">
        <v>0</v>
      </c>
    </row>
    <row r="631" spans="1:22">
      <c r="A631" t="s">
        <v>614</v>
      </c>
      <c r="B631" s="3">
        <v>46182</v>
      </c>
      <c r="C631" t="s">
        <v>14</v>
      </c>
      <c r="D631" t="s">
        <v>31</v>
      </c>
      <c r="E631" t="s">
        <v>16</v>
      </c>
      <c r="F631" t="s">
        <v>35</v>
      </c>
      <c r="G631" t="s">
        <v>23</v>
      </c>
      <c r="H631" t="s">
        <v>19</v>
      </c>
      <c r="I631" t="s">
        <v>20</v>
      </c>
      <c r="J631">
        <v>120</v>
      </c>
      <c r="S631">
        <v>3.6</v>
      </c>
      <c r="T631">
        <v>0</v>
      </c>
      <c r="U631">
        <v>0</v>
      </c>
      <c r="V631">
        <v>0</v>
      </c>
    </row>
    <row r="632" spans="1:22">
      <c r="A632" t="s">
        <v>615</v>
      </c>
      <c r="B632" s="3">
        <v>46182</v>
      </c>
      <c r="C632" t="s">
        <v>14</v>
      </c>
      <c r="D632" t="s">
        <v>28</v>
      </c>
      <c r="E632" t="s">
        <v>16</v>
      </c>
      <c r="F632" t="s">
        <v>17</v>
      </c>
      <c r="G632" t="s">
        <v>23</v>
      </c>
      <c r="H632" t="s">
        <v>19</v>
      </c>
      <c r="I632" t="s">
        <v>20</v>
      </c>
      <c r="J632">
        <v>120</v>
      </c>
      <c r="S632">
        <v>9.6</v>
      </c>
      <c r="T632">
        <v>0</v>
      </c>
      <c r="U632">
        <v>1</v>
      </c>
      <c r="V632">
        <v>0</v>
      </c>
    </row>
    <row r="633" spans="1:22">
      <c r="A633" t="s">
        <v>616</v>
      </c>
      <c r="B633" s="3">
        <v>46182</v>
      </c>
      <c r="C633" t="s">
        <v>14</v>
      </c>
      <c r="D633" t="s">
        <v>210</v>
      </c>
      <c r="E633" t="s">
        <v>16</v>
      </c>
      <c r="F633" t="s">
        <v>17</v>
      </c>
      <c r="G633" t="s">
        <v>23</v>
      </c>
      <c r="H633" t="s">
        <v>19</v>
      </c>
      <c r="I633" t="s">
        <v>20</v>
      </c>
      <c r="J633">
        <v>120</v>
      </c>
      <c r="S633">
        <v>9.6</v>
      </c>
      <c r="T633">
        <v>0</v>
      </c>
      <c r="U633">
        <v>1</v>
      </c>
      <c r="V633">
        <v>0</v>
      </c>
    </row>
    <row r="634" spans="1:22">
      <c r="A634" t="s">
        <v>617</v>
      </c>
      <c r="B634" s="3">
        <v>46182</v>
      </c>
      <c r="C634" t="s">
        <v>47</v>
      </c>
      <c r="D634" t="s">
        <v>73</v>
      </c>
      <c r="E634" t="s">
        <v>16</v>
      </c>
      <c r="F634" t="s">
        <v>17</v>
      </c>
      <c r="G634" t="s">
        <v>18</v>
      </c>
      <c r="H634" t="s">
        <v>19</v>
      </c>
      <c r="I634" t="s">
        <v>20</v>
      </c>
      <c r="J634">
        <v>150</v>
      </c>
      <c r="L634" t="s">
        <v>29</v>
      </c>
      <c r="S634">
        <v>15</v>
      </c>
      <c r="T634">
        <v>0</v>
      </c>
      <c r="U634">
        <v>1</v>
      </c>
      <c r="V634">
        <v>0</v>
      </c>
    </row>
    <row r="635" spans="1:22">
      <c r="A635" t="s">
        <v>618</v>
      </c>
      <c r="B635" s="3">
        <v>46182</v>
      </c>
      <c r="C635" t="s">
        <v>47</v>
      </c>
      <c r="D635" t="s">
        <v>148</v>
      </c>
      <c r="E635" t="s">
        <v>16</v>
      </c>
      <c r="F635" t="s">
        <v>17</v>
      </c>
      <c r="G635" t="s">
        <v>23</v>
      </c>
      <c r="H635" t="s">
        <v>19</v>
      </c>
      <c r="I635" t="s">
        <v>20</v>
      </c>
      <c r="J635">
        <v>120</v>
      </c>
      <c r="S635">
        <v>9.6</v>
      </c>
      <c r="T635">
        <v>0</v>
      </c>
      <c r="U635">
        <v>1</v>
      </c>
      <c r="V635">
        <v>0</v>
      </c>
    </row>
    <row r="636" spans="1:22">
      <c r="A636" t="s">
        <v>619</v>
      </c>
      <c r="B636" s="3">
        <v>46182</v>
      </c>
      <c r="C636" t="s">
        <v>47</v>
      </c>
      <c r="D636" t="s">
        <v>71</v>
      </c>
      <c r="E636" t="s">
        <v>16</v>
      </c>
      <c r="F636" t="s">
        <v>35</v>
      </c>
      <c r="G636" t="s">
        <v>23</v>
      </c>
      <c r="H636" t="s">
        <v>19</v>
      </c>
      <c r="I636" t="s">
        <v>53</v>
      </c>
      <c r="J636">
        <v>90</v>
      </c>
      <c r="L636" t="s">
        <v>29</v>
      </c>
      <c r="S636">
        <v>0</v>
      </c>
      <c r="T636">
        <v>0</v>
      </c>
      <c r="U636">
        <v>0</v>
      </c>
      <c r="V636">
        <v>0</v>
      </c>
    </row>
    <row r="637" spans="1:22">
      <c r="A637" t="s">
        <v>620</v>
      </c>
      <c r="B637" s="3">
        <v>46182</v>
      </c>
      <c r="C637" t="s">
        <v>47</v>
      </c>
      <c r="D637" t="s">
        <v>71</v>
      </c>
      <c r="E637" t="s">
        <v>16</v>
      </c>
      <c r="F637" t="s">
        <v>35</v>
      </c>
      <c r="G637" t="s">
        <v>32</v>
      </c>
      <c r="H637" t="s">
        <v>19</v>
      </c>
      <c r="I637" t="s">
        <v>20</v>
      </c>
      <c r="J637">
        <v>300</v>
      </c>
      <c r="S637">
        <v>9</v>
      </c>
      <c r="T637">
        <v>0</v>
      </c>
      <c r="U637">
        <v>0</v>
      </c>
      <c r="V637">
        <v>0</v>
      </c>
    </row>
    <row r="638" spans="1:22">
      <c r="A638" t="s">
        <v>621</v>
      </c>
      <c r="B638" s="3">
        <v>46182</v>
      </c>
      <c r="C638" t="s">
        <v>47</v>
      </c>
      <c r="D638" t="s">
        <v>152</v>
      </c>
      <c r="E638" t="s">
        <v>16</v>
      </c>
      <c r="F638" t="s">
        <v>17</v>
      </c>
      <c r="G638" t="s">
        <v>18</v>
      </c>
      <c r="H638" t="s">
        <v>19</v>
      </c>
      <c r="I638" t="s">
        <v>20</v>
      </c>
      <c r="J638">
        <v>200</v>
      </c>
      <c r="S638">
        <v>20</v>
      </c>
      <c r="T638">
        <v>0</v>
      </c>
      <c r="U638">
        <v>1</v>
      </c>
      <c r="V638">
        <v>0</v>
      </c>
    </row>
    <row r="639" spans="1:22">
      <c r="A639" t="s">
        <v>622</v>
      </c>
      <c r="B639" s="3">
        <v>46182</v>
      </c>
      <c r="C639" t="s">
        <v>47</v>
      </c>
      <c r="D639" t="s">
        <v>55</v>
      </c>
      <c r="E639" t="s">
        <v>16</v>
      </c>
      <c r="F639" t="s">
        <v>17</v>
      </c>
      <c r="G639" t="s">
        <v>23</v>
      </c>
      <c r="H639" t="s">
        <v>19</v>
      </c>
      <c r="I639" t="s">
        <v>20</v>
      </c>
      <c r="J639">
        <v>120</v>
      </c>
      <c r="S639">
        <v>9.6</v>
      </c>
      <c r="T639">
        <v>0</v>
      </c>
      <c r="U639">
        <v>1</v>
      </c>
      <c r="V639">
        <v>0</v>
      </c>
    </row>
    <row r="640" spans="1:22">
      <c r="A640" t="s">
        <v>623</v>
      </c>
      <c r="B640" s="3">
        <v>46182</v>
      </c>
      <c r="C640" t="s">
        <v>47</v>
      </c>
      <c r="D640" t="s">
        <v>71</v>
      </c>
      <c r="E640" t="s">
        <v>16</v>
      </c>
      <c r="F640" t="s">
        <v>17</v>
      </c>
      <c r="G640" t="s">
        <v>32</v>
      </c>
      <c r="H640" t="s">
        <v>19</v>
      </c>
      <c r="I640" t="s">
        <v>20</v>
      </c>
      <c r="J640">
        <v>300</v>
      </c>
      <c r="S640">
        <v>36</v>
      </c>
      <c r="T640">
        <v>0</v>
      </c>
      <c r="U640">
        <v>1</v>
      </c>
      <c r="V640">
        <v>0</v>
      </c>
    </row>
    <row r="641" spans="1:22">
      <c r="A641" t="s">
        <v>624</v>
      </c>
      <c r="B641" s="3">
        <v>46182</v>
      </c>
      <c r="C641" t="s">
        <v>47</v>
      </c>
      <c r="D641" t="s">
        <v>148</v>
      </c>
      <c r="E641" t="s">
        <v>16</v>
      </c>
      <c r="F641" t="s">
        <v>17</v>
      </c>
      <c r="G641" t="s">
        <v>23</v>
      </c>
      <c r="H641" t="s">
        <v>19</v>
      </c>
      <c r="I641" t="s">
        <v>20</v>
      </c>
      <c r="J641">
        <v>120</v>
      </c>
      <c r="S641">
        <v>9.6</v>
      </c>
      <c r="T641">
        <v>0</v>
      </c>
      <c r="U641">
        <v>1</v>
      </c>
      <c r="V641">
        <v>0</v>
      </c>
    </row>
    <row r="642" spans="1:22">
      <c r="A642" t="s">
        <v>625</v>
      </c>
      <c r="B642" s="3">
        <v>46182</v>
      </c>
      <c r="C642" t="s">
        <v>47</v>
      </c>
      <c r="D642" t="s">
        <v>50</v>
      </c>
      <c r="E642" t="s">
        <v>16</v>
      </c>
      <c r="F642" t="s">
        <v>17</v>
      </c>
      <c r="G642" t="s">
        <v>23</v>
      </c>
      <c r="H642" t="s">
        <v>19</v>
      </c>
      <c r="I642" t="s">
        <v>20</v>
      </c>
      <c r="J642">
        <v>120</v>
      </c>
      <c r="S642">
        <v>9.6</v>
      </c>
      <c r="T642">
        <v>0</v>
      </c>
      <c r="U642">
        <v>1</v>
      </c>
      <c r="V642">
        <v>0</v>
      </c>
    </row>
    <row r="643" spans="1:22">
      <c r="A643" t="s">
        <v>626</v>
      </c>
      <c r="B643" s="3">
        <v>46182</v>
      </c>
      <c r="C643" t="s">
        <v>47</v>
      </c>
      <c r="D643" t="s">
        <v>148</v>
      </c>
      <c r="E643" t="s">
        <v>16</v>
      </c>
      <c r="F643" t="s">
        <v>17</v>
      </c>
      <c r="G643" t="s">
        <v>23</v>
      </c>
      <c r="H643" t="s">
        <v>19</v>
      </c>
      <c r="I643" t="s">
        <v>74</v>
      </c>
      <c r="J643">
        <v>90</v>
      </c>
      <c r="L643" t="s">
        <v>29</v>
      </c>
      <c r="S643">
        <v>0</v>
      </c>
      <c r="T643">
        <v>0</v>
      </c>
      <c r="U643">
        <v>0</v>
      </c>
      <c r="V643">
        <v>0</v>
      </c>
    </row>
    <row r="644" spans="1:22">
      <c r="A644" t="s">
        <v>627</v>
      </c>
      <c r="B644" s="3">
        <v>46182</v>
      </c>
      <c r="C644" t="s">
        <v>47</v>
      </c>
      <c r="D644" t="s">
        <v>148</v>
      </c>
      <c r="E644" t="s">
        <v>16</v>
      </c>
      <c r="F644" t="s">
        <v>35</v>
      </c>
      <c r="G644" t="s">
        <v>18</v>
      </c>
      <c r="H644" t="s">
        <v>24</v>
      </c>
      <c r="I644" t="s">
        <v>20</v>
      </c>
      <c r="J644">
        <v>200</v>
      </c>
      <c r="S644">
        <v>0</v>
      </c>
      <c r="T644">
        <v>0</v>
      </c>
      <c r="U644">
        <v>0</v>
      </c>
      <c r="V644">
        <v>0</v>
      </c>
    </row>
    <row r="645" spans="1:22">
      <c r="A645" t="s">
        <v>628</v>
      </c>
      <c r="B645" s="3">
        <v>46182</v>
      </c>
      <c r="C645" t="s">
        <v>47</v>
      </c>
      <c r="D645" t="s">
        <v>50</v>
      </c>
      <c r="E645" t="s">
        <v>16</v>
      </c>
      <c r="F645" t="s">
        <v>17</v>
      </c>
      <c r="G645" t="s">
        <v>32</v>
      </c>
      <c r="H645" t="s">
        <v>19</v>
      </c>
      <c r="I645" t="s">
        <v>20</v>
      </c>
      <c r="J645">
        <v>300</v>
      </c>
      <c r="S645">
        <v>36</v>
      </c>
      <c r="T645">
        <v>0</v>
      </c>
      <c r="U645">
        <v>1</v>
      </c>
      <c r="V645">
        <v>0</v>
      </c>
    </row>
    <row r="646" spans="1:22">
      <c r="A646" t="s">
        <v>629</v>
      </c>
      <c r="B646" s="3">
        <v>46182</v>
      </c>
      <c r="C646" t="s">
        <v>47</v>
      </c>
      <c r="D646" t="s">
        <v>62</v>
      </c>
      <c r="E646" t="s">
        <v>16</v>
      </c>
      <c r="F646" t="s">
        <v>17</v>
      </c>
      <c r="G646" t="s">
        <v>32</v>
      </c>
      <c r="H646" t="s">
        <v>19</v>
      </c>
      <c r="I646" t="s">
        <v>74</v>
      </c>
      <c r="J646">
        <v>300</v>
      </c>
      <c r="S646">
        <v>0</v>
      </c>
      <c r="T646">
        <v>0</v>
      </c>
      <c r="U646">
        <v>0</v>
      </c>
      <c r="V646">
        <v>0</v>
      </c>
    </row>
    <row r="647" spans="1:22">
      <c r="A647" t="s">
        <v>630</v>
      </c>
      <c r="B647" s="3">
        <v>46182</v>
      </c>
      <c r="C647" t="s">
        <v>47</v>
      </c>
      <c r="D647" t="s">
        <v>148</v>
      </c>
      <c r="E647" t="s">
        <v>16</v>
      </c>
      <c r="F647" t="s">
        <v>17</v>
      </c>
      <c r="G647" t="s">
        <v>32</v>
      </c>
      <c r="H647" t="s">
        <v>19</v>
      </c>
      <c r="I647" t="s">
        <v>20</v>
      </c>
      <c r="J647">
        <v>300</v>
      </c>
      <c r="S647">
        <v>36</v>
      </c>
      <c r="T647">
        <v>0</v>
      </c>
      <c r="U647">
        <v>1</v>
      </c>
      <c r="V647">
        <v>0</v>
      </c>
    </row>
    <row r="648" spans="1:22">
      <c r="A648" t="s">
        <v>631</v>
      </c>
      <c r="B648" s="3">
        <v>46182</v>
      </c>
      <c r="C648" t="s">
        <v>47</v>
      </c>
      <c r="D648" t="s">
        <v>52</v>
      </c>
      <c r="E648" t="s">
        <v>16</v>
      </c>
      <c r="F648" t="s">
        <v>17</v>
      </c>
      <c r="G648" t="s">
        <v>23</v>
      </c>
      <c r="H648" t="s">
        <v>19</v>
      </c>
      <c r="I648" t="s">
        <v>20</v>
      </c>
      <c r="J648">
        <v>120</v>
      </c>
      <c r="S648">
        <v>9.6</v>
      </c>
      <c r="T648">
        <v>0</v>
      </c>
      <c r="U648">
        <v>1</v>
      </c>
      <c r="V648">
        <v>0</v>
      </c>
    </row>
    <row r="649" spans="1:22">
      <c r="A649" t="s">
        <v>632</v>
      </c>
      <c r="B649" s="3">
        <v>46182</v>
      </c>
      <c r="C649" t="s">
        <v>47</v>
      </c>
      <c r="D649" t="s">
        <v>59</v>
      </c>
      <c r="E649" t="s">
        <v>16</v>
      </c>
      <c r="F649" t="s">
        <v>17</v>
      </c>
      <c r="G649" t="s">
        <v>18</v>
      </c>
      <c r="H649" t="s">
        <v>19</v>
      </c>
      <c r="I649" t="s">
        <v>20</v>
      </c>
      <c r="J649">
        <v>200</v>
      </c>
      <c r="S649">
        <v>20</v>
      </c>
      <c r="T649">
        <v>0</v>
      </c>
      <c r="U649">
        <v>1</v>
      </c>
      <c r="V649">
        <v>0</v>
      </c>
    </row>
    <row r="650" spans="1:22">
      <c r="A650" t="s">
        <v>633</v>
      </c>
      <c r="B650" s="3">
        <v>46182</v>
      </c>
      <c r="C650" t="s">
        <v>47</v>
      </c>
      <c r="D650" t="s">
        <v>73</v>
      </c>
      <c r="E650" t="s">
        <v>16</v>
      </c>
      <c r="F650" t="s">
        <v>17</v>
      </c>
      <c r="G650" t="s">
        <v>23</v>
      </c>
      <c r="H650" t="s">
        <v>19</v>
      </c>
      <c r="I650" t="s">
        <v>74</v>
      </c>
      <c r="J650">
        <v>120</v>
      </c>
      <c r="S650">
        <v>0</v>
      </c>
      <c r="T650">
        <v>0</v>
      </c>
      <c r="U650">
        <v>0</v>
      </c>
      <c r="V650">
        <v>0</v>
      </c>
    </row>
    <row r="651" spans="1:22">
      <c r="A651" t="s">
        <v>634</v>
      </c>
      <c r="B651" s="3">
        <v>46182</v>
      </c>
      <c r="C651" t="s">
        <v>47</v>
      </c>
      <c r="D651" t="s">
        <v>152</v>
      </c>
      <c r="E651" t="s">
        <v>16</v>
      </c>
      <c r="F651" t="s">
        <v>17</v>
      </c>
      <c r="G651" t="s">
        <v>23</v>
      </c>
      <c r="H651" t="s">
        <v>19</v>
      </c>
      <c r="I651" t="s">
        <v>20</v>
      </c>
      <c r="J651">
        <v>120</v>
      </c>
      <c r="S651">
        <v>9.6</v>
      </c>
      <c r="T651">
        <v>0</v>
      </c>
      <c r="U651">
        <v>1</v>
      </c>
      <c r="V651">
        <v>0</v>
      </c>
    </row>
    <row r="652" spans="1:22">
      <c r="A652" t="s">
        <v>635</v>
      </c>
      <c r="B652" s="3">
        <v>46182</v>
      </c>
      <c r="C652" t="s">
        <v>78</v>
      </c>
      <c r="D652" t="s">
        <v>85</v>
      </c>
      <c r="E652" t="s">
        <v>16</v>
      </c>
      <c r="F652" t="s">
        <v>17</v>
      </c>
      <c r="G652" t="s">
        <v>32</v>
      </c>
      <c r="H652" t="s">
        <v>19</v>
      </c>
      <c r="I652" t="s">
        <v>20</v>
      </c>
      <c r="J652">
        <v>300</v>
      </c>
      <c r="S652">
        <v>36</v>
      </c>
      <c r="T652">
        <v>0</v>
      </c>
      <c r="U652">
        <v>1</v>
      </c>
      <c r="V652">
        <v>0</v>
      </c>
    </row>
    <row r="653" spans="1:22">
      <c r="A653" t="s">
        <v>636</v>
      </c>
      <c r="B653" s="3">
        <v>46182</v>
      </c>
      <c r="C653" t="s">
        <v>78</v>
      </c>
      <c r="D653" t="s">
        <v>242</v>
      </c>
      <c r="E653" t="s">
        <v>16</v>
      </c>
      <c r="F653" t="s">
        <v>35</v>
      </c>
      <c r="G653" t="s">
        <v>18</v>
      </c>
      <c r="H653" t="s">
        <v>19</v>
      </c>
      <c r="I653" t="s">
        <v>20</v>
      </c>
      <c r="J653">
        <v>170</v>
      </c>
      <c r="L653" t="s">
        <v>29</v>
      </c>
      <c r="S653">
        <v>5.0999999999999996</v>
      </c>
      <c r="T653">
        <v>0</v>
      </c>
      <c r="U653">
        <v>0</v>
      </c>
      <c r="V653">
        <v>0</v>
      </c>
    </row>
    <row r="654" spans="1:22">
      <c r="A654" t="s">
        <v>637</v>
      </c>
      <c r="B654" s="3">
        <v>46182</v>
      </c>
      <c r="C654" t="s">
        <v>78</v>
      </c>
      <c r="D654" t="s">
        <v>79</v>
      </c>
      <c r="E654" t="s">
        <v>16</v>
      </c>
      <c r="F654" t="s">
        <v>17</v>
      </c>
      <c r="G654" t="s">
        <v>32</v>
      </c>
      <c r="H654" t="s">
        <v>19</v>
      </c>
      <c r="I654" t="s">
        <v>20</v>
      </c>
      <c r="J654">
        <v>300</v>
      </c>
      <c r="S654">
        <v>36</v>
      </c>
      <c r="T654">
        <v>0</v>
      </c>
      <c r="U654">
        <v>1</v>
      </c>
      <c r="V654">
        <v>0</v>
      </c>
    </row>
    <row r="655" spans="1:22">
      <c r="A655" t="s">
        <v>638</v>
      </c>
      <c r="B655" s="3">
        <v>46182</v>
      </c>
      <c r="C655" t="s">
        <v>78</v>
      </c>
      <c r="D655" t="s">
        <v>85</v>
      </c>
      <c r="E655" t="s">
        <v>16</v>
      </c>
      <c r="F655" t="s">
        <v>17</v>
      </c>
      <c r="G655" t="s">
        <v>32</v>
      </c>
      <c r="H655" t="s">
        <v>19</v>
      </c>
      <c r="I655" t="s">
        <v>20</v>
      </c>
      <c r="J655">
        <v>300</v>
      </c>
      <c r="S655">
        <v>36</v>
      </c>
      <c r="T655">
        <v>0</v>
      </c>
      <c r="U655">
        <v>1</v>
      </c>
      <c r="V655">
        <v>0</v>
      </c>
    </row>
    <row r="656" spans="1:22">
      <c r="A656" t="s">
        <v>639</v>
      </c>
      <c r="B656" s="3">
        <v>46182</v>
      </c>
      <c r="C656" t="s">
        <v>78</v>
      </c>
      <c r="D656" t="s">
        <v>85</v>
      </c>
      <c r="E656" t="s">
        <v>16</v>
      </c>
      <c r="F656" t="s">
        <v>17</v>
      </c>
      <c r="G656" t="s">
        <v>18</v>
      </c>
      <c r="H656" t="s">
        <v>19</v>
      </c>
      <c r="I656" t="s">
        <v>20</v>
      </c>
      <c r="J656">
        <v>200</v>
      </c>
      <c r="S656">
        <v>20</v>
      </c>
      <c r="T656">
        <v>0</v>
      </c>
      <c r="U656">
        <v>1</v>
      </c>
      <c r="V656">
        <v>0</v>
      </c>
    </row>
    <row r="657" spans="1:22">
      <c r="A657" t="s">
        <v>640</v>
      </c>
      <c r="B657" s="3">
        <v>46182</v>
      </c>
      <c r="C657" t="s">
        <v>78</v>
      </c>
      <c r="D657" t="s">
        <v>87</v>
      </c>
      <c r="E657" t="s">
        <v>16</v>
      </c>
      <c r="F657" t="s">
        <v>17</v>
      </c>
      <c r="G657" t="s">
        <v>23</v>
      </c>
      <c r="H657" t="s">
        <v>24</v>
      </c>
      <c r="I657" t="s">
        <v>20</v>
      </c>
      <c r="J657">
        <v>120</v>
      </c>
      <c r="S657">
        <v>0</v>
      </c>
      <c r="T657">
        <v>0</v>
      </c>
      <c r="U657">
        <v>0</v>
      </c>
      <c r="V657">
        <v>0</v>
      </c>
    </row>
    <row r="658" spans="1:22">
      <c r="A658" t="s">
        <v>641</v>
      </c>
      <c r="B658" s="3">
        <v>46182</v>
      </c>
      <c r="C658" t="s">
        <v>78</v>
      </c>
      <c r="D658" t="s">
        <v>83</v>
      </c>
      <c r="E658" t="s">
        <v>16</v>
      </c>
      <c r="F658" t="s">
        <v>17</v>
      </c>
      <c r="G658" t="s">
        <v>18</v>
      </c>
      <c r="H658" t="s">
        <v>19</v>
      </c>
      <c r="I658" t="s">
        <v>20</v>
      </c>
      <c r="J658">
        <v>170</v>
      </c>
      <c r="L658" t="s">
        <v>29</v>
      </c>
      <c r="S658">
        <v>17</v>
      </c>
      <c r="T658">
        <v>0</v>
      </c>
      <c r="U658">
        <v>1</v>
      </c>
      <c r="V658">
        <v>0</v>
      </c>
    </row>
    <row r="659" spans="1:22">
      <c r="A659" t="s">
        <v>642</v>
      </c>
      <c r="B659" s="3">
        <v>46182</v>
      </c>
      <c r="C659" t="s">
        <v>78</v>
      </c>
      <c r="D659" t="s">
        <v>93</v>
      </c>
      <c r="E659" t="s">
        <v>16</v>
      </c>
      <c r="F659" t="s">
        <v>17</v>
      </c>
      <c r="G659" t="s">
        <v>23</v>
      </c>
      <c r="H659" t="s">
        <v>19</v>
      </c>
      <c r="I659" t="s">
        <v>20</v>
      </c>
      <c r="J659">
        <v>102</v>
      </c>
      <c r="L659" t="s">
        <v>29</v>
      </c>
      <c r="S659">
        <v>8.16</v>
      </c>
      <c r="T659">
        <v>0</v>
      </c>
      <c r="U659">
        <v>1</v>
      </c>
      <c r="V659">
        <v>0</v>
      </c>
    </row>
    <row r="660" spans="1:22">
      <c r="A660" t="s">
        <v>643</v>
      </c>
      <c r="B660" s="3">
        <v>46182</v>
      </c>
      <c r="C660" t="s">
        <v>78</v>
      </c>
      <c r="D660" t="s">
        <v>93</v>
      </c>
      <c r="E660" t="s">
        <v>16</v>
      </c>
      <c r="F660" t="s">
        <v>17</v>
      </c>
      <c r="G660" t="s">
        <v>23</v>
      </c>
      <c r="H660" t="s">
        <v>19</v>
      </c>
      <c r="I660" t="s">
        <v>20</v>
      </c>
      <c r="J660">
        <v>120</v>
      </c>
      <c r="S660">
        <v>9.6</v>
      </c>
      <c r="T660">
        <v>0</v>
      </c>
      <c r="U660">
        <v>1</v>
      </c>
      <c r="V660">
        <v>0</v>
      </c>
    </row>
    <row r="661" spans="1:22">
      <c r="A661" t="s">
        <v>644</v>
      </c>
      <c r="B661" s="3">
        <v>46182</v>
      </c>
      <c r="C661" t="s">
        <v>78</v>
      </c>
      <c r="D661" t="s">
        <v>83</v>
      </c>
      <c r="E661" t="s">
        <v>16</v>
      </c>
      <c r="F661" t="s">
        <v>17</v>
      </c>
      <c r="G661" t="s">
        <v>18</v>
      </c>
      <c r="H661" t="s">
        <v>19</v>
      </c>
      <c r="I661" t="s">
        <v>20</v>
      </c>
      <c r="J661">
        <v>200</v>
      </c>
      <c r="S661">
        <v>20</v>
      </c>
      <c r="T661">
        <v>0</v>
      </c>
      <c r="U661">
        <v>1</v>
      </c>
      <c r="V661">
        <v>0</v>
      </c>
    </row>
    <row r="662" spans="1:22">
      <c r="A662" t="s">
        <v>645</v>
      </c>
      <c r="B662" s="3">
        <v>46182</v>
      </c>
      <c r="C662" t="s">
        <v>78</v>
      </c>
      <c r="D662" t="s">
        <v>163</v>
      </c>
      <c r="E662" t="s">
        <v>16</v>
      </c>
      <c r="F662" t="s">
        <v>35</v>
      </c>
      <c r="G662" t="s">
        <v>18</v>
      </c>
      <c r="H662" t="s">
        <v>19</v>
      </c>
      <c r="I662" t="s">
        <v>20</v>
      </c>
      <c r="J662">
        <v>200</v>
      </c>
      <c r="S662">
        <v>6</v>
      </c>
      <c r="T662">
        <v>0</v>
      </c>
      <c r="U662">
        <v>0</v>
      </c>
      <c r="V662">
        <v>0</v>
      </c>
    </row>
    <row r="663" spans="1:22">
      <c r="A663" t="s">
        <v>646</v>
      </c>
      <c r="B663" s="3">
        <v>46182</v>
      </c>
      <c r="C663" t="s">
        <v>78</v>
      </c>
      <c r="D663" t="s">
        <v>242</v>
      </c>
      <c r="E663" t="s">
        <v>16</v>
      </c>
      <c r="F663" t="s">
        <v>35</v>
      </c>
      <c r="G663" t="s">
        <v>32</v>
      </c>
      <c r="H663" t="s">
        <v>19</v>
      </c>
      <c r="I663" t="s">
        <v>20</v>
      </c>
      <c r="J663">
        <v>300</v>
      </c>
      <c r="S663">
        <v>9</v>
      </c>
      <c r="T663">
        <v>0</v>
      </c>
      <c r="U663">
        <v>0</v>
      </c>
      <c r="V663">
        <v>0</v>
      </c>
    </row>
    <row r="664" spans="1:22">
      <c r="A664" t="s">
        <v>647</v>
      </c>
      <c r="B664" s="3">
        <v>46182</v>
      </c>
      <c r="C664" t="s">
        <v>78</v>
      </c>
      <c r="D664" t="s">
        <v>79</v>
      </c>
      <c r="E664" t="s">
        <v>16</v>
      </c>
      <c r="F664" t="s">
        <v>17</v>
      </c>
      <c r="G664" t="s">
        <v>18</v>
      </c>
      <c r="H664" t="s">
        <v>19</v>
      </c>
      <c r="I664" t="s">
        <v>20</v>
      </c>
      <c r="J664">
        <v>150</v>
      </c>
      <c r="L664" t="s">
        <v>29</v>
      </c>
      <c r="S664">
        <v>15</v>
      </c>
      <c r="T664">
        <v>0</v>
      </c>
      <c r="U664">
        <v>1</v>
      </c>
      <c r="V664">
        <v>0</v>
      </c>
    </row>
    <row r="665" spans="1:22">
      <c r="A665" t="s">
        <v>648</v>
      </c>
      <c r="B665" s="3">
        <v>46182</v>
      </c>
      <c r="C665" t="s">
        <v>78</v>
      </c>
      <c r="D665" t="s">
        <v>85</v>
      </c>
      <c r="E665" t="s">
        <v>16</v>
      </c>
      <c r="F665" t="s">
        <v>17</v>
      </c>
      <c r="G665" t="s">
        <v>23</v>
      </c>
      <c r="H665" t="s">
        <v>19</v>
      </c>
      <c r="I665" t="s">
        <v>20</v>
      </c>
      <c r="J665">
        <v>120</v>
      </c>
      <c r="S665">
        <v>9.6</v>
      </c>
      <c r="T665">
        <v>0</v>
      </c>
      <c r="U665">
        <v>1</v>
      </c>
      <c r="V665">
        <v>0</v>
      </c>
    </row>
    <row r="666" spans="1:22">
      <c r="A666" t="s">
        <v>649</v>
      </c>
      <c r="B666" s="3">
        <v>46182</v>
      </c>
      <c r="C666" t="s">
        <v>78</v>
      </c>
      <c r="D666" t="s">
        <v>89</v>
      </c>
      <c r="E666" t="s">
        <v>16</v>
      </c>
      <c r="F666" t="s">
        <v>17</v>
      </c>
      <c r="G666" t="s">
        <v>18</v>
      </c>
      <c r="H666" t="s">
        <v>19</v>
      </c>
      <c r="I666" t="s">
        <v>20</v>
      </c>
      <c r="J666">
        <v>200</v>
      </c>
      <c r="S666">
        <v>20</v>
      </c>
      <c r="T666">
        <v>0</v>
      </c>
      <c r="U666">
        <v>1</v>
      </c>
      <c r="V666">
        <v>0</v>
      </c>
    </row>
    <row r="667" spans="1:22">
      <c r="A667" t="s">
        <v>650</v>
      </c>
      <c r="B667" s="3">
        <v>46182</v>
      </c>
      <c r="C667" t="s">
        <v>78</v>
      </c>
      <c r="D667" t="s">
        <v>87</v>
      </c>
      <c r="E667" t="s">
        <v>16</v>
      </c>
      <c r="F667" t="s">
        <v>35</v>
      </c>
      <c r="G667" t="s">
        <v>32</v>
      </c>
      <c r="H667" t="s">
        <v>19</v>
      </c>
      <c r="I667" t="s">
        <v>20</v>
      </c>
      <c r="J667">
        <v>300</v>
      </c>
      <c r="S667">
        <v>9</v>
      </c>
      <c r="T667">
        <v>0</v>
      </c>
      <c r="U667">
        <v>0</v>
      </c>
      <c r="V667">
        <v>0</v>
      </c>
    </row>
    <row r="668" spans="1:22">
      <c r="A668" t="s">
        <v>651</v>
      </c>
      <c r="B668" s="3">
        <v>46182</v>
      </c>
      <c r="C668" t="s">
        <v>78</v>
      </c>
      <c r="D668" t="s">
        <v>85</v>
      </c>
      <c r="E668" t="s">
        <v>16</v>
      </c>
      <c r="F668" t="s">
        <v>17</v>
      </c>
      <c r="G668" t="s">
        <v>32</v>
      </c>
      <c r="H668" t="s">
        <v>19</v>
      </c>
      <c r="I668" t="s">
        <v>20</v>
      </c>
      <c r="J668">
        <v>300</v>
      </c>
      <c r="S668">
        <v>36</v>
      </c>
      <c r="T668">
        <v>0</v>
      </c>
      <c r="U668">
        <v>1</v>
      </c>
      <c r="V668">
        <v>0</v>
      </c>
    </row>
    <row r="669" spans="1:22">
      <c r="A669" t="s">
        <v>652</v>
      </c>
      <c r="B669" s="3">
        <v>46182</v>
      </c>
      <c r="C669" t="s">
        <v>78</v>
      </c>
      <c r="D669" t="s">
        <v>81</v>
      </c>
      <c r="E669" t="s">
        <v>16</v>
      </c>
      <c r="F669" t="s">
        <v>17</v>
      </c>
      <c r="G669" t="s">
        <v>18</v>
      </c>
      <c r="H669" t="s">
        <v>19</v>
      </c>
      <c r="I669" t="s">
        <v>20</v>
      </c>
      <c r="J669">
        <v>200</v>
      </c>
      <c r="S669">
        <v>20</v>
      </c>
      <c r="T669">
        <v>0</v>
      </c>
      <c r="U669">
        <v>1</v>
      </c>
      <c r="V669">
        <v>0</v>
      </c>
    </row>
    <row r="670" spans="1:22">
      <c r="A670" t="s">
        <v>653</v>
      </c>
      <c r="B670" s="3">
        <v>46182</v>
      </c>
      <c r="C670" t="s">
        <v>78</v>
      </c>
      <c r="D670" t="s">
        <v>161</v>
      </c>
      <c r="E670" t="s">
        <v>16</v>
      </c>
      <c r="F670" t="s">
        <v>17</v>
      </c>
      <c r="G670" t="s">
        <v>18</v>
      </c>
      <c r="H670" t="s">
        <v>19</v>
      </c>
      <c r="I670" t="s">
        <v>20</v>
      </c>
      <c r="J670">
        <v>150</v>
      </c>
      <c r="L670" t="s">
        <v>29</v>
      </c>
      <c r="S670">
        <v>15</v>
      </c>
      <c r="T670">
        <v>0</v>
      </c>
      <c r="U670">
        <v>1</v>
      </c>
      <c r="V670">
        <v>0</v>
      </c>
    </row>
    <row r="671" spans="1:22">
      <c r="A671" t="s">
        <v>654</v>
      </c>
      <c r="B671" s="3">
        <v>46182</v>
      </c>
      <c r="C671" t="s">
        <v>105</v>
      </c>
      <c r="D671" t="s">
        <v>191</v>
      </c>
      <c r="E671" t="s">
        <v>16</v>
      </c>
      <c r="F671" t="s">
        <v>35</v>
      </c>
      <c r="G671" t="s">
        <v>32</v>
      </c>
      <c r="H671" t="s">
        <v>19</v>
      </c>
      <c r="I671" t="s">
        <v>20</v>
      </c>
      <c r="J671">
        <v>300</v>
      </c>
      <c r="S671">
        <v>9</v>
      </c>
      <c r="T671">
        <v>0</v>
      </c>
      <c r="U671">
        <v>0</v>
      </c>
      <c r="V671">
        <v>0</v>
      </c>
    </row>
    <row r="672" spans="1:22">
      <c r="A672" t="s">
        <v>655</v>
      </c>
      <c r="B672" s="3">
        <v>46182</v>
      </c>
      <c r="C672" t="s">
        <v>105</v>
      </c>
      <c r="D672" t="s">
        <v>116</v>
      </c>
      <c r="E672" t="s">
        <v>16</v>
      </c>
      <c r="F672" t="s">
        <v>17</v>
      </c>
      <c r="G672" t="s">
        <v>18</v>
      </c>
      <c r="H672" t="s">
        <v>19</v>
      </c>
      <c r="I672" t="s">
        <v>20</v>
      </c>
      <c r="J672">
        <v>150</v>
      </c>
      <c r="L672" t="s">
        <v>29</v>
      </c>
      <c r="S672">
        <v>15</v>
      </c>
      <c r="T672">
        <v>0</v>
      </c>
      <c r="U672">
        <v>1</v>
      </c>
      <c r="V672">
        <v>0</v>
      </c>
    </row>
    <row r="673" spans="1:22">
      <c r="A673" t="s">
        <v>656</v>
      </c>
      <c r="B673" s="3">
        <v>46182</v>
      </c>
      <c r="C673" t="s">
        <v>105</v>
      </c>
      <c r="D673" t="s">
        <v>108</v>
      </c>
      <c r="E673" t="s">
        <v>16</v>
      </c>
      <c r="F673" t="s">
        <v>17</v>
      </c>
      <c r="G673" t="s">
        <v>23</v>
      </c>
      <c r="H673" t="s">
        <v>19</v>
      </c>
      <c r="I673" t="s">
        <v>20</v>
      </c>
      <c r="J673">
        <v>120</v>
      </c>
      <c r="S673">
        <v>9.6</v>
      </c>
      <c r="T673">
        <v>0</v>
      </c>
      <c r="U673">
        <v>1</v>
      </c>
      <c r="V673">
        <v>0</v>
      </c>
    </row>
    <row r="674" spans="1:22">
      <c r="A674" t="s">
        <v>657</v>
      </c>
      <c r="B674" s="3">
        <v>46182</v>
      </c>
      <c r="C674" t="s">
        <v>105</v>
      </c>
      <c r="D674" t="s">
        <v>120</v>
      </c>
      <c r="E674" t="s">
        <v>16</v>
      </c>
      <c r="F674" t="s">
        <v>17</v>
      </c>
      <c r="G674" t="s">
        <v>23</v>
      </c>
      <c r="H674" t="s">
        <v>19</v>
      </c>
      <c r="I674" t="s">
        <v>20</v>
      </c>
      <c r="J674">
        <v>120</v>
      </c>
      <c r="S674">
        <v>9.6</v>
      </c>
      <c r="T674">
        <v>0</v>
      </c>
      <c r="U674">
        <v>1</v>
      </c>
      <c r="V674">
        <v>0</v>
      </c>
    </row>
    <row r="675" spans="1:22">
      <c r="A675" t="s">
        <v>658</v>
      </c>
      <c r="B675" s="3">
        <v>46182</v>
      </c>
      <c r="C675" t="s">
        <v>105</v>
      </c>
      <c r="D675" t="s">
        <v>187</v>
      </c>
      <c r="E675" t="s">
        <v>16</v>
      </c>
      <c r="F675" t="s">
        <v>35</v>
      </c>
      <c r="G675" t="s">
        <v>23</v>
      </c>
      <c r="H675" t="s">
        <v>19</v>
      </c>
      <c r="I675" t="s">
        <v>20</v>
      </c>
      <c r="J675">
        <v>120</v>
      </c>
      <c r="S675">
        <v>3.6</v>
      </c>
      <c r="T675">
        <v>0</v>
      </c>
      <c r="U675">
        <v>0</v>
      </c>
      <c r="V675">
        <v>0</v>
      </c>
    </row>
    <row r="676" spans="1:22">
      <c r="A676" t="s">
        <v>659</v>
      </c>
      <c r="B676" s="3">
        <v>46182</v>
      </c>
      <c r="C676" t="s">
        <v>105</v>
      </c>
      <c r="D676" t="s">
        <v>110</v>
      </c>
      <c r="E676" t="s">
        <v>16</v>
      </c>
      <c r="F676" t="s">
        <v>17</v>
      </c>
      <c r="G676" t="s">
        <v>32</v>
      </c>
      <c r="H676" t="s">
        <v>19</v>
      </c>
      <c r="I676" t="s">
        <v>20</v>
      </c>
      <c r="J676">
        <v>300</v>
      </c>
      <c r="S676">
        <v>36</v>
      </c>
      <c r="T676">
        <v>0</v>
      </c>
      <c r="U676">
        <v>1</v>
      </c>
      <c r="V676">
        <v>0</v>
      </c>
    </row>
    <row r="677" spans="1:22">
      <c r="A677" t="s">
        <v>660</v>
      </c>
      <c r="B677" s="3">
        <v>46182</v>
      </c>
      <c r="C677" t="s">
        <v>105</v>
      </c>
      <c r="D677" t="s">
        <v>112</v>
      </c>
      <c r="E677" t="s">
        <v>16</v>
      </c>
      <c r="F677" t="s">
        <v>17</v>
      </c>
      <c r="G677" t="s">
        <v>23</v>
      </c>
      <c r="H677" t="s">
        <v>19</v>
      </c>
      <c r="I677" t="s">
        <v>20</v>
      </c>
      <c r="J677">
        <v>120</v>
      </c>
      <c r="S677">
        <v>9.6</v>
      </c>
      <c r="T677">
        <v>0</v>
      </c>
      <c r="U677">
        <v>1</v>
      </c>
      <c r="V677">
        <v>0</v>
      </c>
    </row>
    <row r="678" spans="1:22">
      <c r="A678" t="s">
        <v>661</v>
      </c>
      <c r="B678" s="3">
        <v>46182</v>
      </c>
      <c r="C678" t="s">
        <v>105</v>
      </c>
      <c r="D678" t="s">
        <v>194</v>
      </c>
      <c r="E678" t="s">
        <v>16</v>
      </c>
      <c r="F678" t="s">
        <v>17</v>
      </c>
      <c r="G678" t="s">
        <v>32</v>
      </c>
      <c r="H678" t="s">
        <v>24</v>
      </c>
      <c r="I678" t="s">
        <v>20</v>
      </c>
      <c r="J678">
        <v>300</v>
      </c>
      <c r="S678">
        <v>0</v>
      </c>
      <c r="T678">
        <v>0</v>
      </c>
      <c r="U678">
        <v>0</v>
      </c>
      <c r="V678">
        <v>0</v>
      </c>
    </row>
    <row r="679" spans="1:22">
      <c r="A679" t="s">
        <v>662</v>
      </c>
      <c r="B679" s="3">
        <v>46182</v>
      </c>
      <c r="C679" t="s">
        <v>105</v>
      </c>
      <c r="D679" t="s">
        <v>182</v>
      </c>
      <c r="E679" t="s">
        <v>16</v>
      </c>
      <c r="F679" t="s">
        <v>35</v>
      </c>
      <c r="G679" t="s">
        <v>23</v>
      </c>
      <c r="H679" t="s">
        <v>24</v>
      </c>
      <c r="I679" t="s">
        <v>20</v>
      </c>
      <c r="J679">
        <v>120</v>
      </c>
      <c r="S679">
        <v>0</v>
      </c>
      <c r="T679">
        <v>0</v>
      </c>
      <c r="U679">
        <v>0</v>
      </c>
      <c r="V679">
        <v>0</v>
      </c>
    </row>
    <row r="680" spans="1:22">
      <c r="A680" t="s">
        <v>663</v>
      </c>
      <c r="B680" s="3">
        <v>46182</v>
      </c>
      <c r="C680" t="s">
        <v>105</v>
      </c>
      <c r="D680" t="s">
        <v>265</v>
      </c>
      <c r="E680" t="s">
        <v>16</v>
      </c>
      <c r="F680" t="s">
        <v>35</v>
      </c>
      <c r="G680" t="s">
        <v>23</v>
      </c>
      <c r="H680" t="s">
        <v>19</v>
      </c>
      <c r="I680" t="s">
        <v>20</v>
      </c>
      <c r="J680">
        <v>120</v>
      </c>
      <c r="S680">
        <v>3.6</v>
      </c>
      <c r="T680">
        <v>0</v>
      </c>
      <c r="U680">
        <v>0</v>
      </c>
      <c r="V680">
        <v>0</v>
      </c>
    </row>
    <row r="681" spans="1:22">
      <c r="A681" t="s">
        <v>664</v>
      </c>
      <c r="B681" s="3">
        <v>46182</v>
      </c>
      <c r="C681" t="s">
        <v>105</v>
      </c>
      <c r="D681" t="s">
        <v>118</v>
      </c>
      <c r="E681" t="s">
        <v>16</v>
      </c>
      <c r="F681" t="s">
        <v>17</v>
      </c>
      <c r="G681" t="s">
        <v>18</v>
      </c>
      <c r="H681" t="s">
        <v>19</v>
      </c>
      <c r="I681" t="s">
        <v>53</v>
      </c>
      <c r="J681">
        <v>200</v>
      </c>
      <c r="S681">
        <v>0</v>
      </c>
      <c r="T681">
        <v>0</v>
      </c>
      <c r="U681">
        <v>0</v>
      </c>
      <c r="V681">
        <v>0</v>
      </c>
    </row>
    <row r="682" spans="1:22">
      <c r="A682" t="s">
        <v>665</v>
      </c>
      <c r="B682" s="3">
        <v>46182</v>
      </c>
      <c r="C682" t="s">
        <v>105</v>
      </c>
      <c r="D682" t="s">
        <v>120</v>
      </c>
      <c r="E682" t="s">
        <v>16</v>
      </c>
      <c r="F682" t="s">
        <v>17</v>
      </c>
      <c r="G682" t="s">
        <v>32</v>
      </c>
      <c r="H682" t="s">
        <v>24</v>
      </c>
      <c r="I682" t="s">
        <v>20</v>
      </c>
      <c r="J682">
        <v>300</v>
      </c>
      <c r="S682">
        <v>0</v>
      </c>
      <c r="T682">
        <v>0</v>
      </c>
      <c r="U682">
        <v>0</v>
      </c>
      <c r="V682">
        <v>0</v>
      </c>
    </row>
    <row r="683" spans="1:22">
      <c r="A683" t="s">
        <v>666</v>
      </c>
      <c r="B683" s="3">
        <v>46182</v>
      </c>
      <c r="C683" t="s">
        <v>105</v>
      </c>
      <c r="D683" t="s">
        <v>187</v>
      </c>
      <c r="E683" t="s">
        <v>16</v>
      </c>
      <c r="F683" t="s">
        <v>17</v>
      </c>
      <c r="G683" t="s">
        <v>23</v>
      </c>
      <c r="H683" t="s">
        <v>19</v>
      </c>
      <c r="I683" t="s">
        <v>20</v>
      </c>
      <c r="J683">
        <v>120</v>
      </c>
      <c r="S683">
        <v>9.6</v>
      </c>
      <c r="T683">
        <v>0</v>
      </c>
      <c r="U683">
        <v>1</v>
      </c>
      <c r="V683">
        <v>0</v>
      </c>
    </row>
    <row r="684" spans="1:22">
      <c r="A684" t="s">
        <v>667</v>
      </c>
      <c r="B684" s="3">
        <v>46182</v>
      </c>
      <c r="C684" t="s">
        <v>105</v>
      </c>
      <c r="D684" t="s">
        <v>194</v>
      </c>
      <c r="E684" t="s">
        <v>16</v>
      </c>
      <c r="F684" t="s">
        <v>17</v>
      </c>
      <c r="G684" t="s">
        <v>32</v>
      </c>
      <c r="H684" t="s">
        <v>19</v>
      </c>
      <c r="I684" t="s">
        <v>20</v>
      </c>
      <c r="J684">
        <v>300</v>
      </c>
      <c r="S684">
        <v>36</v>
      </c>
      <c r="T684">
        <v>0</v>
      </c>
      <c r="U684">
        <v>1</v>
      </c>
      <c r="V684">
        <v>0</v>
      </c>
    </row>
    <row r="685" spans="1:22">
      <c r="A685" t="s">
        <v>668</v>
      </c>
      <c r="B685" s="3">
        <v>46182</v>
      </c>
      <c r="C685" t="s">
        <v>105</v>
      </c>
      <c r="D685" t="s">
        <v>120</v>
      </c>
      <c r="E685" t="s">
        <v>16</v>
      </c>
      <c r="F685" t="s">
        <v>17</v>
      </c>
      <c r="G685" t="s">
        <v>18</v>
      </c>
      <c r="H685" t="s">
        <v>19</v>
      </c>
      <c r="I685" t="s">
        <v>20</v>
      </c>
      <c r="J685">
        <v>200</v>
      </c>
      <c r="S685">
        <v>20</v>
      </c>
      <c r="T685">
        <v>0</v>
      </c>
      <c r="U685">
        <v>1</v>
      </c>
      <c r="V685">
        <v>0</v>
      </c>
    </row>
    <row r="686" spans="1:22">
      <c r="A686" t="s">
        <v>669</v>
      </c>
      <c r="B686" s="3">
        <v>46182</v>
      </c>
      <c r="C686" t="s">
        <v>105</v>
      </c>
      <c r="D686" t="s">
        <v>108</v>
      </c>
      <c r="E686" t="s">
        <v>16</v>
      </c>
      <c r="F686" t="s">
        <v>17</v>
      </c>
      <c r="G686" t="s">
        <v>23</v>
      </c>
      <c r="H686" t="s">
        <v>19</v>
      </c>
      <c r="I686" t="s">
        <v>20</v>
      </c>
      <c r="J686">
        <v>120</v>
      </c>
      <c r="S686">
        <v>9.6</v>
      </c>
      <c r="T686">
        <v>0</v>
      </c>
      <c r="U686">
        <v>1</v>
      </c>
      <c r="V686">
        <v>0</v>
      </c>
    </row>
    <row r="687" spans="1:22">
      <c r="A687" t="s">
        <v>670</v>
      </c>
      <c r="B687" s="3">
        <v>46182</v>
      </c>
      <c r="C687" t="s">
        <v>105</v>
      </c>
      <c r="D687" t="s">
        <v>191</v>
      </c>
      <c r="E687" t="s">
        <v>16</v>
      </c>
      <c r="F687" t="s">
        <v>17</v>
      </c>
      <c r="G687" t="s">
        <v>18</v>
      </c>
      <c r="H687" t="s">
        <v>19</v>
      </c>
      <c r="I687" t="s">
        <v>20</v>
      </c>
      <c r="J687">
        <v>200</v>
      </c>
      <c r="S687">
        <v>20</v>
      </c>
      <c r="T687">
        <v>0</v>
      </c>
      <c r="U687">
        <v>1</v>
      </c>
      <c r="V687">
        <v>0</v>
      </c>
    </row>
    <row r="688" spans="1:22">
      <c r="A688" t="s">
        <v>675</v>
      </c>
      <c r="B688" s="3">
        <v>46183</v>
      </c>
      <c r="C688" t="s">
        <v>14</v>
      </c>
      <c r="D688" t="s">
        <v>15</v>
      </c>
      <c r="E688" t="s">
        <v>16</v>
      </c>
      <c r="F688" t="s">
        <v>17</v>
      </c>
      <c r="G688" t="s">
        <v>18</v>
      </c>
      <c r="H688" t="s">
        <v>19</v>
      </c>
      <c r="I688" t="s">
        <v>20</v>
      </c>
      <c r="J688">
        <v>200</v>
      </c>
      <c r="S688">
        <v>20</v>
      </c>
      <c r="T688">
        <v>0</v>
      </c>
      <c r="U688">
        <v>1</v>
      </c>
      <c r="V688">
        <v>0</v>
      </c>
    </row>
    <row r="689" spans="1:22">
      <c r="A689" t="s">
        <v>677</v>
      </c>
      <c r="B689" s="3">
        <v>46183</v>
      </c>
      <c r="C689" t="s">
        <v>14</v>
      </c>
      <c r="D689" t="s">
        <v>210</v>
      </c>
      <c r="E689" t="s">
        <v>16</v>
      </c>
      <c r="F689" t="s">
        <v>35</v>
      </c>
      <c r="G689" t="s">
        <v>18</v>
      </c>
      <c r="H689" t="s">
        <v>19</v>
      </c>
      <c r="I689" t="s">
        <v>20</v>
      </c>
      <c r="J689">
        <v>200</v>
      </c>
      <c r="S689">
        <v>6</v>
      </c>
      <c r="T689">
        <v>0</v>
      </c>
      <c r="U689">
        <v>0</v>
      </c>
      <c r="V689">
        <v>0</v>
      </c>
    </row>
    <row r="690" spans="1:22">
      <c r="A690" t="s">
        <v>678</v>
      </c>
      <c r="B690" s="3">
        <v>46183</v>
      </c>
      <c r="C690" t="s">
        <v>14</v>
      </c>
      <c r="D690" t="s">
        <v>28</v>
      </c>
      <c r="E690" t="s">
        <v>16</v>
      </c>
      <c r="F690" t="s">
        <v>35</v>
      </c>
      <c r="G690" t="s">
        <v>18</v>
      </c>
      <c r="H690" t="s">
        <v>19</v>
      </c>
      <c r="I690" t="s">
        <v>20</v>
      </c>
      <c r="J690">
        <v>150</v>
      </c>
      <c r="L690" t="s">
        <v>29</v>
      </c>
      <c r="S690">
        <v>4.5</v>
      </c>
      <c r="T690">
        <v>0</v>
      </c>
      <c r="U690">
        <v>0</v>
      </c>
      <c r="V690">
        <v>0</v>
      </c>
    </row>
    <row r="691" spans="1:22">
      <c r="A691" t="s">
        <v>679</v>
      </c>
      <c r="B691" s="3">
        <v>46183</v>
      </c>
      <c r="C691" t="s">
        <v>14</v>
      </c>
      <c r="D691" t="s">
        <v>31</v>
      </c>
      <c r="E691" t="s">
        <v>16</v>
      </c>
      <c r="F691" t="s">
        <v>17</v>
      </c>
      <c r="G691" t="s">
        <v>32</v>
      </c>
      <c r="H691" t="s">
        <v>24</v>
      </c>
      <c r="I691" t="s">
        <v>20</v>
      </c>
      <c r="J691">
        <v>300</v>
      </c>
      <c r="S691">
        <v>0</v>
      </c>
      <c r="T691">
        <v>0</v>
      </c>
      <c r="U691">
        <v>0</v>
      </c>
      <c r="V691">
        <v>0</v>
      </c>
    </row>
    <row r="692" spans="1:22">
      <c r="A692" t="s">
        <v>680</v>
      </c>
      <c r="B692" s="3">
        <v>46183</v>
      </c>
      <c r="C692" t="s">
        <v>14</v>
      </c>
      <c r="D692" t="s">
        <v>34</v>
      </c>
      <c r="E692" t="s">
        <v>16</v>
      </c>
      <c r="F692" t="s">
        <v>17</v>
      </c>
      <c r="G692" t="s">
        <v>32</v>
      </c>
      <c r="H692" t="s">
        <v>19</v>
      </c>
      <c r="I692" t="s">
        <v>20</v>
      </c>
      <c r="J692">
        <v>300</v>
      </c>
      <c r="S692">
        <v>36</v>
      </c>
      <c r="T692">
        <v>0</v>
      </c>
      <c r="U692">
        <v>1</v>
      </c>
      <c r="V692">
        <v>0</v>
      </c>
    </row>
    <row r="693" spans="1:22">
      <c r="A693" t="s">
        <v>681</v>
      </c>
      <c r="B693" s="3">
        <v>46183</v>
      </c>
      <c r="C693" t="s">
        <v>14</v>
      </c>
      <c r="D693" t="s">
        <v>26</v>
      </c>
      <c r="E693" t="s">
        <v>16</v>
      </c>
      <c r="F693" t="s">
        <v>17</v>
      </c>
      <c r="G693" t="s">
        <v>23</v>
      </c>
      <c r="H693" t="s">
        <v>19</v>
      </c>
      <c r="I693" t="s">
        <v>20</v>
      </c>
      <c r="J693">
        <v>120</v>
      </c>
      <c r="S693">
        <v>9.6</v>
      </c>
      <c r="T693">
        <v>0</v>
      </c>
      <c r="U693">
        <v>1</v>
      </c>
      <c r="V693">
        <v>0</v>
      </c>
    </row>
    <row r="694" spans="1:22">
      <c r="A694" t="s">
        <v>682</v>
      </c>
      <c r="B694" s="3">
        <v>46183</v>
      </c>
      <c r="C694" t="s">
        <v>14</v>
      </c>
      <c r="D694" t="s">
        <v>26</v>
      </c>
      <c r="E694" t="s">
        <v>16</v>
      </c>
      <c r="F694" t="s">
        <v>17</v>
      </c>
      <c r="G694" t="s">
        <v>32</v>
      </c>
      <c r="H694" t="s">
        <v>19</v>
      </c>
      <c r="I694" t="s">
        <v>20</v>
      </c>
      <c r="J694">
        <v>300</v>
      </c>
      <c r="S694">
        <v>36</v>
      </c>
      <c r="T694">
        <v>0</v>
      </c>
      <c r="U694">
        <v>1</v>
      </c>
      <c r="V694">
        <v>0</v>
      </c>
    </row>
    <row r="695" spans="1:22">
      <c r="A695" t="s">
        <v>683</v>
      </c>
      <c r="B695" s="3">
        <v>46183</v>
      </c>
      <c r="C695" t="s">
        <v>14</v>
      </c>
      <c r="D695" t="s">
        <v>40</v>
      </c>
      <c r="E695" t="s">
        <v>16</v>
      </c>
      <c r="F695" t="s">
        <v>17</v>
      </c>
      <c r="G695" t="s">
        <v>18</v>
      </c>
      <c r="H695" t="s">
        <v>19</v>
      </c>
      <c r="I695" t="s">
        <v>20</v>
      </c>
      <c r="J695">
        <v>200</v>
      </c>
      <c r="S695">
        <v>20</v>
      </c>
      <c r="T695">
        <v>0</v>
      </c>
      <c r="U695">
        <v>1</v>
      </c>
      <c r="V695">
        <v>0</v>
      </c>
    </row>
    <row r="696" spans="1:22">
      <c r="A696" t="s">
        <v>684</v>
      </c>
      <c r="B696" s="3">
        <v>46183</v>
      </c>
      <c r="C696" t="s">
        <v>14</v>
      </c>
      <c r="D696" t="s">
        <v>131</v>
      </c>
      <c r="E696" t="s">
        <v>16</v>
      </c>
      <c r="F696" t="s">
        <v>17</v>
      </c>
      <c r="G696" t="s">
        <v>32</v>
      </c>
      <c r="H696" t="s">
        <v>19</v>
      </c>
      <c r="I696" t="s">
        <v>20</v>
      </c>
      <c r="J696">
        <v>255</v>
      </c>
      <c r="L696" t="s">
        <v>29</v>
      </c>
      <c r="S696">
        <v>30.6</v>
      </c>
      <c r="T696">
        <v>0</v>
      </c>
      <c r="U696">
        <v>1</v>
      </c>
      <c r="V696">
        <v>0</v>
      </c>
    </row>
    <row r="697" spans="1:22">
      <c r="A697" t="s">
        <v>685</v>
      </c>
      <c r="B697" s="3">
        <v>46183</v>
      </c>
      <c r="C697" t="s">
        <v>14</v>
      </c>
      <c r="D697" t="s">
        <v>28</v>
      </c>
      <c r="E697" t="s">
        <v>16</v>
      </c>
      <c r="F697" t="s">
        <v>17</v>
      </c>
      <c r="G697" t="s">
        <v>32</v>
      </c>
      <c r="H697" t="s">
        <v>19</v>
      </c>
      <c r="I697" t="s">
        <v>20</v>
      </c>
      <c r="J697">
        <v>300</v>
      </c>
      <c r="S697">
        <v>36</v>
      </c>
      <c r="T697">
        <v>0</v>
      </c>
      <c r="U697">
        <v>1</v>
      </c>
      <c r="V697">
        <v>0</v>
      </c>
    </row>
    <row r="698" spans="1:22">
      <c r="A698" t="s">
        <v>686</v>
      </c>
      <c r="B698" s="3">
        <v>46183</v>
      </c>
      <c r="C698" t="s">
        <v>14</v>
      </c>
      <c r="D698" t="s">
        <v>42</v>
      </c>
      <c r="E698" t="s">
        <v>16</v>
      </c>
      <c r="F698" t="s">
        <v>17</v>
      </c>
      <c r="G698" t="s">
        <v>18</v>
      </c>
      <c r="H698" t="s">
        <v>19</v>
      </c>
      <c r="I698" t="s">
        <v>20</v>
      </c>
      <c r="J698">
        <v>170</v>
      </c>
      <c r="L698" t="s">
        <v>29</v>
      </c>
      <c r="S698">
        <v>17</v>
      </c>
      <c r="T698">
        <v>0</v>
      </c>
      <c r="U698">
        <v>1</v>
      </c>
      <c r="V698">
        <v>0</v>
      </c>
    </row>
    <row r="699" spans="1:22">
      <c r="A699" t="s">
        <v>687</v>
      </c>
      <c r="B699" s="3">
        <v>46183</v>
      </c>
      <c r="C699" t="s">
        <v>14</v>
      </c>
      <c r="D699" t="s">
        <v>28</v>
      </c>
      <c r="E699" t="s">
        <v>16</v>
      </c>
      <c r="F699" t="s">
        <v>17</v>
      </c>
      <c r="G699" t="s">
        <v>32</v>
      </c>
      <c r="H699" t="s">
        <v>19</v>
      </c>
      <c r="I699" t="s">
        <v>20</v>
      </c>
      <c r="J699">
        <v>300</v>
      </c>
      <c r="S699">
        <v>36</v>
      </c>
      <c r="T699">
        <v>0</v>
      </c>
      <c r="U699">
        <v>1</v>
      </c>
      <c r="V699">
        <v>0</v>
      </c>
    </row>
    <row r="700" spans="1:22">
      <c r="A700" t="s">
        <v>688</v>
      </c>
      <c r="B700" s="3">
        <v>46183</v>
      </c>
      <c r="C700" t="s">
        <v>14</v>
      </c>
      <c r="D700" t="s">
        <v>137</v>
      </c>
      <c r="E700" t="s">
        <v>16</v>
      </c>
      <c r="F700" t="s">
        <v>17</v>
      </c>
      <c r="G700" t="s">
        <v>32</v>
      </c>
      <c r="H700" t="s">
        <v>24</v>
      </c>
      <c r="I700" t="s">
        <v>20</v>
      </c>
      <c r="J700">
        <v>300</v>
      </c>
      <c r="S700">
        <v>0</v>
      </c>
      <c r="T700">
        <v>0</v>
      </c>
      <c r="U700">
        <v>0</v>
      </c>
      <c r="V700">
        <v>0</v>
      </c>
    </row>
    <row r="701" spans="1:22">
      <c r="A701" t="s">
        <v>689</v>
      </c>
      <c r="B701" s="3">
        <v>46183</v>
      </c>
      <c r="C701" t="s">
        <v>14</v>
      </c>
      <c r="D701" t="s">
        <v>137</v>
      </c>
      <c r="E701" t="s">
        <v>16</v>
      </c>
      <c r="F701" t="s">
        <v>17</v>
      </c>
      <c r="G701" t="s">
        <v>18</v>
      </c>
      <c r="H701" t="s">
        <v>19</v>
      </c>
      <c r="I701" t="s">
        <v>20</v>
      </c>
      <c r="J701">
        <v>150</v>
      </c>
      <c r="L701" t="s">
        <v>29</v>
      </c>
      <c r="S701">
        <v>15</v>
      </c>
      <c r="T701">
        <v>0</v>
      </c>
      <c r="U701">
        <v>1</v>
      </c>
      <c r="V701">
        <v>0</v>
      </c>
    </row>
    <row r="702" spans="1:22">
      <c r="A702" t="s">
        <v>690</v>
      </c>
      <c r="B702" s="3">
        <v>46183</v>
      </c>
      <c r="C702" t="s">
        <v>14</v>
      </c>
      <c r="D702" t="s">
        <v>137</v>
      </c>
      <c r="E702" t="s">
        <v>16</v>
      </c>
      <c r="F702" t="s">
        <v>35</v>
      </c>
      <c r="G702" t="s">
        <v>32</v>
      </c>
      <c r="H702" t="s">
        <v>19</v>
      </c>
      <c r="I702" t="s">
        <v>20</v>
      </c>
      <c r="J702">
        <v>225</v>
      </c>
      <c r="L702" t="s">
        <v>29</v>
      </c>
      <c r="S702">
        <v>6.75</v>
      </c>
      <c r="T702">
        <v>0</v>
      </c>
      <c r="U702">
        <v>0</v>
      </c>
      <c r="V702">
        <v>0</v>
      </c>
    </row>
    <row r="703" spans="1:22">
      <c r="A703" t="s">
        <v>691</v>
      </c>
      <c r="B703" s="3">
        <v>46183</v>
      </c>
      <c r="C703" t="s">
        <v>47</v>
      </c>
      <c r="D703" t="s">
        <v>152</v>
      </c>
      <c r="E703" t="s">
        <v>16</v>
      </c>
      <c r="F703" t="s">
        <v>17</v>
      </c>
      <c r="G703" t="s">
        <v>23</v>
      </c>
      <c r="H703" t="s">
        <v>19</v>
      </c>
      <c r="I703" t="s">
        <v>20</v>
      </c>
      <c r="J703">
        <v>120</v>
      </c>
      <c r="S703">
        <v>9.6</v>
      </c>
      <c r="T703">
        <v>0</v>
      </c>
      <c r="U703">
        <v>1</v>
      </c>
      <c r="V703">
        <v>0</v>
      </c>
    </row>
    <row r="704" spans="1:22">
      <c r="A704" t="s">
        <v>692</v>
      </c>
      <c r="B704" s="3">
        <v>46183</v>
      </c>
      <c r="C704" t="s">
        <v>47</v>
      </c>
      <c r="D704" t="s">
        <v>64</v>
      </c>
      <c r="E704" t="s">
        <v>16</v>
      </c>
      <c r="F704" t="s">
        <v>17</v>
      </c>
      <c r="G704" t="s">
        <v>18</v>
      </c>
      <c r="H704" t="s">
        <v>19</v>
      </c>
      <c r="I704" t="s">
        <v>20</v>
      </c>
      <c r="J704">
        <v>200</v>
      </c>
      <c r="S704">
        <v>20</v>
      </c>
      <c r="T704">
        <v>0</v>
      </c>
      <c r="U704">
        <v>1</v>
      </c>
      <c r="V704">
        <v>0</v>
      </c>
    </row>
    <row r="705" spans="1:22">
      <c r="A705" t="s">
        <v>693</v>
      </c>
      <c r="B705" s="3">
        <v>46183</v>
      </c>
      <c r="C705" t="s">
        <v>47</v>
      </c>
      <c r="D705" t="s">
        <v>152</v>
      </c>
      <c r="E705" t="s">
        <v>16</v>
      </c>
      <c r="F705" t="s">
        <v>17</v>
      </c>
      <c r="G705" t="s">
        <v>32</v>
      </c>
      <c r="H705" t="s">
        <v>19</v>
      </c>
      <c r="I705" t="s">
        <v>74</v>
      </c>
      <c r="J705">
        <v>300</v>
      </c>
      <c r="S705">
        <v>0</v>
      </c>
      <c r="T705">
        <v>0</v>
      </c>
      <c r="U705">
        <v>0</v>
      </c>
      <c r="V705">
        <v>0</v>
      </c>
    </row>
    <row r="706" spans="1:22">
      <c r="A706" t="s">
        <v>694</v>
      </c>
      <c r="B706" s="3">
        <v>46183</v>
      </c>
      <c r="C706" t="s">
        <v>47</v>
      </c>
      <c r="D706" t="s">
        <v>59</v>
      </c>
      <c r="E706" t="s">
        <v>16</v>
      </c>
      <c r="F706" t="s">
        <v>17</v>
      </c>
      <c r="G706" t="s">
        <v>32</v>
      </c>
      <c r="H706" t="s">
        <v>19</v>
      </c>
      <c r="I706" t="s">
        <v>20</v>
      </c>
      <c r="J706">
        <v>300</v>
      </c>
      <c r="S706">
        <v>36</v>
      </c>
      <c r="T706">
        <v>0</v>
      </c>
      <c r="U706">
        <v>1</v>
      </c>
      <c r="V706">
        <v>0</v>
      </c>
    </row>
    <row r="707" spans="1:22">
      <c r="A707" t="s">
        <v>695</v>
      </c>
      <c r="B707" s="3">
        <v>46183</v>
      </c>
      <c r="C707" t="s">
        <v>47</v>
      </c>
      <c r="D707" t="s">
        <v>73</v>
      </c>
      <c r="E707" t="s">
        <v>16</v>
      </c>
      <c r="F707" t="s">
        <v>17</v>
      </c>
      <c r="G707" t="s">
        <v>18</v>
      </c>
      <c r="H707" t="s">
        <v>19</v>
      </c>
      <c r="I707" t="s">
        <v>20</v>
      </c>
      <c r="J707">
        <v>200</v>
      </c>
      <c r="S707">
        <v>20</v>
      </c>
      <c r="T707">
        <v>0</v>
      </c>
      <c r="U707">
        <v>1</v>
      </c>
      <c r="V707">
        <v>0</v>
      </c>
    </row>
    <row r="708" spans="1:22">
      <c r="A708" t="s">
        <v>696</v>
      </c>
      <c r="B708" s="3">
        <v>46183</v>
      </c>
      <c r="C708" t="s">
        <v>47</v>
      </c>
      <c r="D708" t="s">
        <v>66</v>
      </c>
      <c r="E708" t="s">
        <v>16</v>
      </c>
      <c r="F708" t="s">
        <v>35</v>
      </c>
      <c r="G708" t="s">
        <v>18</v>
      </c>
      <c r="H708" t="s">
        <v>19</v>
      </c>
      <c r="I708" t="s">
        <v>20</v>
      </c>
      <c r="J708">
        <v>150</v>
      </c>
      <c r="L708" t="s">
        <v>29</v>
      </c>
      <c r="S708">
        <v>4.5</v>
      </c>
      <c r="T708">
        <v>0</v>
      </c>
      <c r="U708">
        <v>0</v>
      </c>
      <c r="V708">
        <v>0</v>
      </c>
    </row>
    <row r="709" spans="1:22">
      <c r="A709" t="s">
        <v>697</v>
      </c>
      <c r="B709" s="3">
        <v>46183</v>
      </c>
      <c r="C709" t="s">
        <v>47</v>
      </c>
      <c r="D709" t="s">
        <v>59</v>
      </c>
      <c r="E709" t="s">
        <v>16</v>
      </c>
      <c r="F709" t="s">
        <v>17</v>
      </c>
      <c r="G709" t="s">
        <v>32</v>
      </c>
      <c r="H709" t="s">
        <v>19</v>
      </c>
      <c r="I709" t="s">
        <v>20</v>
      </c>
      <c r="J709">
        <v>300</v>
      </c>
      <c r="S709">
        <v>36</v>
      </c>
      <c r="T709">
        <v>0</v>
      </c>
      <c r="U709">
        <v>1</v>
      </c>
      <c r="V709">
        <v>0</v>
      </c>
    </row>
    <row r="710" spans="1:22">
      <c r="A710" t="s">
        <v>698</v>
      </c>
      <c r="B710" s="3">
        <v>46183</v>
      </c>
      <c r="C710" t="s">
        <v>47</v>
      </c>
      <c r="D710" t="s">
        <v>48</v>
      </c>
      <c r="E710" t="s">
        <v>16</v>
      </c>
      <c r="F710" t="s">
        <v>17</v>
      </c>
      <c r="G710" t="s">
        <v>32</v>
      </c>
      <c r="H710" t="s">
        <v>19</v>
      </c>
      <c r="I710" t="s">
        <v>20</v>
      </c>
      <c r="J710">
        <v>225</v>
      </c>
      <c r="L710" t="s">
        <v>29</v>
      </c>
      <c r="S710">
        <v>27</v>
      </c>
      <c r="T710">
        <v>0</v>
      </c>
      <c r="U710">
        <v>1</v>
      </c>
      <c r="V710">
        <v>0</v>
      </c>
    </row>
    <row r="711" spans="1:22">
      <c r="A711" t="s">
        <v>699</v>
      </c>
      <c r="B711" s="3">
        <v>46183</v>
      </c>
      <c r="C711" t="s">
        <v>47</v>
      </c>
      <c r="D711" t="s">
        <v>52</v>
      </c>
      <c r="E711" t="s">
        <v>16</v>
      </c>
      <c r="F711" t="s">
        <v>17</v>
      </c>
      <c r="G711" t="s">
        <v>23</v>
      </c>
      <c r="H711" t="s">
        <v>19</v>
      </c>
      <c r="I711" t="s">
        <v>53</v>
      </c>
      <c r="J711">
        <v>120</v>
      </c>
      <c r="S711">
        <v>0</v>
      </c>
      <c r="T711">
        <v>0</v>
      </c>
      <c r="U711">
        <v>0</v>
      </c>
      <c r="V711">
        <v>0</v>
      </c>
    </row>
    <row r="712" spans="1:22">
      <c r="A712" t="s">
        <v>700</v>
      </c>
      <c r="B712" s="3">
        <v>46183</v>
      </c>
      <c r="C712" t="s">
        <v>47</v>
      </c>
      <c r="D712" t="s">
        <v>66</v>
      </c>
      <c r="E712" t="s">
        <v>16</v>
      </c>
      <c r="F712" t="s">
        <v>17</v>
      </c>
      <c r="G712" t="s">
        <v>18</v>
      </c>
      <c r="H712" t="s">
        <v>19</v>
      </c>
      <c r="I712" t="s">
        <v>20</v>
      </c>
      <c r="J712">
        <v>200</v>
      </c>
      <c r="S712">
        <v>20</v>
      </c>
      <c r="T712">
        <v>0</v>
      </c>
      <c r="U712">
        <v>1</v>
      </c>
      <c r="V712">
        <v>0</v>
      </c>
    </row>
    <row r="713" spans="1:22">
      <c r="A713" t="s">
        <v>701</v>
      </c>
      <c r="B713" s="3">
        <v>46183</v>
      </c>
      <c r="C713" t="s">
        <v>47</v>
      </c>
      <c r="D713" t="s">
        <v>64</v>
      </c>
      <c r="E713" t="s">
        <v>16</v>
      </c>
      <c r="F713" t="s">
        <v>17</v>
      </c>
      <c r="G713" t="s">
        <v>23</v>
      </c>
      <c r="H713" t="s">
        <v>19</v>
      </c>
      <c r="I713" t="s">
        <v>20</v>
      </c>
      <c r="J713">
        <v>120</v>
      </c>
      <c r="S713">
        <v>9.6</v>
      </c>
      <c r="T713">
        <v>0</v>
      </c>
      <c r="U713">
        <v>1</v>
      </c>
      <c r="V713">
        <v>0</v>
      </c>
    </row>
    <row r="714" spans="1:22">
      <c r="A714" t="s">
        <v>702</v>
      </c>
      <c r="B714" s="3">
        <v>46183</v>
      </c>
      <c r="C714" t="s">
        <v>47</v>
      </c>
      <c r="D714" t="s">
        <v>55</v>
      </c>
      <c r="E714" t="s">
        <v>16</v>
      </c>
      <c r="F714" t="s">
        <v>17</v>
      </c>
      <c r="G714" t="s">
        <v>32</v>
      </c>
      <c r="H714" t="s">
        <v>19</v>
      </c>
      <c r="I714" t="s">
        <v>20</v>
      </c>
      <c r="J714">
        <v>300</v>
      </c>
      <c r="S714">
        <v>36</v>
      </c>
      <c r="T714">
        <v>0</v>
      </c>
      <c r="U714">
        <v>1</v>
      </c>
      <c r="V714">
        <v>0</v>
      </c>
    </row>
    <row r="715" spans="1:22">
      <c r="A715" t="s">
        <v>703</v>
      </c>
      <c r="B715" s="3">
        <v>46183</v>
      </c>
      <c r="C715" t="s">
        <v>47</v>
      </c>
      <c r="D715" t="s">
        <v>52</v>
      </c>
      <c r="E715" t="s">
        <v>16</v>
      </c>
      <c r="F715" t="s">
        <v>17</v>
      </c>
      <c r="G715" t="s">
        <v>23</v>
      </c>
      <c r="H715" t="s">
        <v>24</v>
      </c>
      <c r="I715" t="s">
        <v>20</v>
      </c>
      <c r="J715">
        <v>120</v>
      </c>
      <c r="S715">
        <v>0</v>
      </c>
      <c r="T715">
        <v>0</v>
      </c>
      <c r="U715">
        <v>0</v>
      </c>
      <c r="V715">
        <v>0</v>
      </c>
    </row>
    <row r="716" spans="1:22">
      <c r="A716" t="s">
        <v>704</v>
      </c>
      <c r="B716" s="3">
        <v>46183</v>
      </c>
      <c r="C716" t="s">
        <v>78</v>
      </c>
      <c r="D716" t="s">
        <v>85</v>
      </c>
      <c r="E716" t="s">
        <v>16</v>
      </c>
      <c r="F716" t="s">
        <v>17</v>
      </c>
      <c r="G716" t="s">
        <v>23</v>
      </c>
      <c r="H716" t="s">
        <v>19</v>
      </c>
      <c r="I716" t="s">
        <v>20</v>
      </c>
      <c r="J716">
        <v>120</v>
      </c>
      <c r="S716">
        <v>9.6</v>
      </c>
      <c r="T716">
        <v>0</v>
      </c>
      <c r="U716">
        <v>1</v>
      </c>
      <c r="V716">
        <v>0</v>
      </c>
    </row>
    <row r="717" spans="1:22">
      <c r="A717" t="s">
        <v>705</v>
      </c>
      <c r="B717" s="3">
        <v>46183</v>
      </c>
      <c r="C717" t="s">
        <v>78</v>
      </c>
      <c r="D717" t="s">
        <v>79</v>
      </c>
      <c r="E717" t="s">
        <v>16</v>
      </c>
      <c r="F717" t="s">
        <v>17</v>
      </c>
      <c r="G717" t="s">
        <v>18</v>
      </c>
      <c r="H717" t="s">
        <v>24</v>
      </c>
      <c r="I717" t="s">
        <v>20</v>
      </c>
      <c r="J717">
        <v>150</v>
      </c>
      <c r="L717" t="s">
        <v>29</v>
      </c>
      <c r="S717">
        <v>0</v>
      </c>
      <c r="T717">
        <v>0</v>
      </c>
      <c r="U717">
        <v>0</v>
      </c>
      <c r="V717">
        <v>0</v>
      </c>
    </row>
    <row r="718" spans="1:22">
      <c r="A718" t="s">
        <v>706</v>
      </c>
      <c r="B718" s="3">
        <v>46183</v>
      </c>
      <c r="C718" t="s">
        <v>78</v>
      </c>
      <c r="D718" t="s">
        <v>81</v>
      </c>
      <c r="E718" t="s">
        <v>16</v>
      </c>
      <c r="F718" t="s">
        <v>17</v>
      </c>
      <c r="G718" t="s">
        <v>32</v>
      </c>
      <c r="H718" t="s">
        <v>19</v>
      </c>
      <c r="I718" t="s">
        <v>20</v>
      </c>
      <c r="J718">
        <v>300</v>
      </c>
      <c r="S718">
        <v>36</v>
      </c>
      <c r="T718">
        <v>0</v>
      </c>
      <c r="U718">
        <v>1</v>
      </c>
      <c r="V718">
        <v>0</v>
      </c>
    </row>
    <row r="719" spans="1:22">
      <c r="A719" t="s">
        <v>707</v>
      </c>
      <c r="B719" s="3">
        <v>46183</v>
      </c>
      <c r="C719" t="s">
        <v>78</v>
      </c>
      <c r="D719" t="s">
        <v>93</v>
      </c>
      <c r="E719" t="s">
        <v>16</v>
      </c>
      <c r="F719" t="s">
        <v>17</v>
      </c>
      <c r="G719" t="s">
        <v>23</v>
      </c>
      <c r="H719" t="s">
        <v>24</v>
      </c>
      <c r="I719" t="s">
        <v>20</v>
      </c>
      <c r="J719">
        <v>120</v>
      </c>
      <c r="S719">
        <v>0</v>
      </c>
      <c r="T719">
        <v>0</v>
      </c>
      <c r="U719">
        <v>0</v>
      </c>
      <c r="V719">
        <v>0</v>
      </c>
    </row>
    <row r="720" spans="1:22">
      <c r="A720" t="s">
        <v>708</v>
      </c>
      <c r="B720" s="3">
        <v>46183</v>
      </c>
      <c r="C720" t="s">
        <v>78</v>
      </c>
      <c r="D720" t="s">
        <v>87</v>
      </c>
      <c r="E720" t="s">
        <v>16</v>
      </c>
      <c r="F720" t="s">
        <v>17</v>
      </c>
      <c r="G720" t="s">
        <v>18</v>
      </c>
      <c r="H720" t="s">
        <v>19</v>
      </c>
      <c r="I720" t="s">
        <v>20</v>
      </c>
      <c r="J720">
        <v>200</v>
      </c>
      <c r="S720">
        <v>20</v>
      </c>
      <c r="T720">
        <v>0</v>
      </c>
      <c r="U720">
        <v>1</v>
      </c>
      <c r="V720">
        <v>0</v>
      </c>
    </row>
    <row r="721" spans="1:22">
      <c r="A721" t="s">
        <v>709</v>
      </c>
      <c r="B721" s="3">
        <v>46183</v>
      </c>
      <c r="C721" t="s">
        <v>78</v>
      </c>
      <c r="D721" t="s">
        <v>79</v>
      </c>
      <c r="E721" t="s">
        <v>16</v>
      </c>
      <c r="F721" t="s">
        <v>35</v>
      </c>
      <c r="G721" t="s">
        <v>18</v>
      </c>
      <c r="H721" t="s">
        <v>24</v>
      </c>
      <c r="I721" t="s">
        <v>53</v>
      </c>
      <c r="J721">
        <v>200</v>
      </c>
      <c r="S721">
        <v>0</v>
      </c>
      <c r="T721">
        <v>0</v>
      </c>
      <c r="U721">
        <v>0</v>
      </c>
      <c r="V721">
        <v>0</v>
      </c>
    </row>
    <row r="722" spans="1:22">
      <c r="A722" t="s">
        <v>710</v>
      </c>
      <c r="B722" s="3">
        <v>46183</v>
      </c>
      <c r="C722" t="s">
        <v>78</v>
      </c>
      <c r="D722" t="s">
        <v>161</v>
      </c>
      <c r="E722" t="s">
        <v>16</v>
      </c>
      <c r="F722" t="s">
        <v>17</v>
      </c>
      <c r="G722" t="s">
        <v>23</v>
      </c>
      <c r="H722" t="s">
        <v>19</v>
      </c>
      <c r="I722" t="s">
        <v>20</v>
      </c>
      <c r="J722">
        <v>120</v>
      </c>
      <c r="S722">
        <v>9.6</v>
      </c>
      <c r="T722">
        <v>0</v>
      </c>
      <c r="U722">
        <v>1</v>
      </c>
      <c r="V722">
        <v>0</v>
      </c>
    </row>
    <row r="723" spans="1:22">
      <c r="A723" t="s">
        <v>711</v>
      </c>
      <c r="B723" s="3">
        <v>46183</v>
      </c>
      <c r="C723" t="s">
        <v>78</v>
      </c>
      <c r="D723" t="s">
        <v>83</v>
      </c>
      <c r="E723" t="s">
        <v>16</v>
      </c>
      <c r="F723" t="s">
        <v>17</v>
      </c>
      <c r="G723" t="s">
        <v>23</v>
      </c>
      <c r="H723" t="s">
        <v>19</v>
      </c>
      <c r="I723" t="s">
        <v>20</v>
      </c>
      <c r="J723">
        <v>120</v>
      </c>
      <c r="S723">
        <v>9.6</v>
      </c>
      <c r="T723">
        <v>0</v>
      </c>
      <c r="U723">
        <v>1</v>
      </c>
      <c r="V723">
        <v>0</v>
      </c>
    </row>
    <row r="724" spans="1:22">
      <c r="A724" t="s">
        <v>712</v>
      </c>
      <c r="B724" s="3">
        <v>46183</v>
      </c>
      <c r="C724" t="s">
        <v>78</v>
      </c>
      <c r="D724" t="s">
        <v>87</v>
      </c>
      <c r="E724" t="s">
        <v>16</v>
      </c>
      <c r="F724" t="s">
        <v>17</v>
      </c>
      <c r="G724" t="s">
        <v>23</v>
      </c>
      <c r="H724" t="s">
        <v>24</v>
      </c>
      <c r="I724" t="s">
        <v>20</v>
      </c>
      <c r="J724">
        <v>120</v>
      </c>
      <c r="S724">
        <v>0</v>
      </c>
      <c r="T724">
        <v>0</v>
      </c>
      <c r="U724">
        <v>0</v>
      </c>
      <c r="V724">
        <v>0</v>
      </c>
    </row>
    <row r="725" spans="1:22">
      <c r="A725" t="s">
        <v>713</v>
      </c>
      <c r="B725" s="3">
        <v>46183</v>
      </c>
      <c r="C725" t="s">
        <v>78</v>
      </c>
      <c r="D725" t="s">
        <v>79</v>
      </c>
      <c r="E725" t="s">
        <v>16</v>
      </c>
      <c r="F725" t="s">
        <v>17</v>
      </c>
      <c r="G725" t="s">
        <v>23</v>
      </c>
      <c r="H725" t="s">
        <v>19</v>
      </c>
      <c r="I725" t="s">
        <v>20</v>
      </c>
      <c r="J725">
        <v>120</v>
      </c>
      <c r="S725">
        <v>9.6</v>
      </c>
      <c r="T725">
        <v>0</v>
      </c>
      <c r="U725">
        <v>1</v>
      </c>
      <c r="V725">
        <v>0</v>
      </c>
    </row>
    <row r="726" spans="1:22">
      <c r="A726" t="s">
        <v>714</v>
      </c>
      <c r="B726" s="3">
        <v>46183</v>
      </c>
      <c r="C726" t="s">
        <v>78</v>
      </c>
      <c r="D726" t="s">
        <v>242</v>
      </c>
      <c r="E726" t="s">
        <v>16</v>
      </c>
      <c r="F726" t="s">
        <v>17</v>
      </c>
      <c r="G726" t="s">
        <v>23</v>
      </c>
      <c r="H726" t="s">
        <v>19</v>
      </c>
      <c r="I726" t="s">
        <v>20</v>
      </c>
      <c r="J726">
        <v>120</v>
      </c>
      <c r="S726">
        <v>9.6</v>
      </c>
      <c r="T726">
        <v>0</v>
      </c>
      <c r="U726">
        <v>1</v>
      </c>
      <c r="V726">
        <v>0</v>
      </c>
    </row>
    <row r="727" spans="1:22">
      <c r="A727" t="s">
        <v>715</v>
      </c>
      <c r="B727" s="3">
        <v>46183</v>
      </c>
      <c r="C727" t="s">
        <v>78</v>
      </c>
      <c r="D727" t="s">
        <v>93</v>
      </c>
      <c r="E727" t="s">
        <v>16</v>
      </c>
      <c r="F727" t="s">
        <v>17</v>
      </c>
      <c r="G727" t="s">
        <v>23</v>
      </c>
      <c r="H727" t="s">
        <v>19</v>
      </c>
      <c r="I727" t="s">
        <v>20</v>
      </c>
      <c r="J727">
        <v>120</v>
      </c>
      <c r="S727">
        <v>9.6</v>
      </c>
      <c r="T727">
        <v>0</v>
      </c>
      <c r="U727">
        <v>1</v>
      </c>
      <c r="V727">
        <v>0</v>
      </c>
    </row>
    <row r="728" spans="1:22">
      <c r="A728" t="s">
        <v>716</v>
      </c>
      <c r="B728" s="3">
        <v>46183</v>
      </c>
      <c r="C728" t="s">
        <v>78</v>
      </c>
      <c r="D728" t="s">
        <v>87</v>
      </c>
      <c r="E728" t="s">
        <v>16</v>
      </c>
      <c r="F728" t="s">
        <v>17</v>
      </c>
      <c r="G728" t="s">
        <v>23</v>
      </c>
      <c r="H728" t="s">
        <v>24</v>
      </c>
      <c r="I728" t="s">
        <v>20</v>
      </c>
      <c r="J728">
        <v>90</v>
      </c>
      <c r="L728" t="s">
        <v>29</v>
      </c>
      <c r="S728">
        <v>0</v>
      </c>
      <c r="T728">
        <v>0</v>
      </c>
      <c r="U728">
        <v>0</v>
      </c>
      <c r="V728">
        <v>0</v>
      </c>
    </row>
    <row r="729" spans="1:22">
      <c r="A729" t="s">
        <v>717</v>
      </c>
      <c r="B729" s="3">
        <v>46183</v>
      </c>
      <c r="C729" t="s">
        <v>105</v>
      </c>
      <c r="D729" t="s">
        <v>191</v>
      </c>
      <c r="E729" t="s">
        <v>16</v>
      </c>
      <c r="F729" t="s">
        <v>17</v>
      </c>
      <c r="G729" t="s">
        <v>18</v>
      </c>
      <c r="H729" t="s">
        <v>19</v>
      </c>
      <c r="I729" t="s">
        <v>20</v>
      </c>
      <c r="J729">
        <v>170</v>
      </c>
      <c r="L729" t="s">
        <v>29</v>
      </c>
      <c r="S729">
        <v>17</v>
      </c>
      <c r="T729">
        <v>0</v>
      </c>
      <c r="U729">
        <v>1</v>
      </c>
      <c r="V729">
        <v>0</v>
      </c>
    </row>
    <row r="730" spans="1:22">
      <c r="A730" t="s">
        <v>718</v>
      </c>
      <c r="B730" s="3">
        <v>46183</v>
      </c>
      <c r="C730" t="s">
        <v>105</v>
      </c>
      <c r="D730" t="s">
        <v>187</v>
      </c>
      <c r="E730" t="s">
        <v>16</v>
      </c>
      <c r="F730" t="s">
        <v>17</v>
      </c>
      <c r="G730" t="s">
        <v>23</v>
      </c>
      <c r="H730" t="s">
        <v>19</v>
      </c>
      <c r="I730" t="s">
        <v>20</v>
      </c>
      <c r="J730">
        <v>90</v>
      </c>
      <c r="L730" t="s">
        <v>29</v>
      </c>
      <c r="S730">
        <v>7.2</v>
      </c>
      <c r="T730">
        <v>0</v>
      </c>
      <c r="U730">
        <v>1</v>
      </c>
      <c r="V730">
        <v>0</v>
      </c>
    </row>
    <row r="731" spans="1:22">
      <c r="A731" t="s">
        <v>719</v>
      </c>
      <c r="B731" s="3">
        <v>46183</v>
      </c>
      <c r="C731" t="s">
        <v>105</v>
      </c>
      <c r="D731" t="s">
        <v>106</v>
      </c>
      <c r="E731" t="s">
        <v>16</v>
      </c>
      <c r="F731" t="s">
        <v>17</v>
      </c>
      <c r="G731" t="s">
        <v>32</v>
      </c>
      <c r="H731" t="s">
        <v>24</v>
      </c>
      <c r="I731" t="s">
        <v>20</v>
      </c>
      <c r="J731">
        <v>300</v>
      </c>
      <c r="S731">
        <v>0</v>
      </c>
      <c r="T731">
        <v>0</v>
      </c>
      <c r="U731">
        <v>0</v>
      </c>
      <c r="V731">
        <v>0</v>
      </c>
    </row>
    <row r="732" spans="1:22">
      <c r="A732" t="s">
        <v>720</v>
      </c>
      <c r="B732" s="3">
        <v>46183</v>
      </c>
      <c r="C732" t="s">
        <v>105</v>
      </c>
      <c r="D732" t="s">
        <v>108</v>
      </c>
      <c r="E732" t="s">
        <v>16</v>
      </c>
      <c r="F732" t="s">
        <v>17</v>
      </c>
      <c r="G732" t="s">
        <v>32</v>
      </c>
      <c r="H732" t="s">
        <v>19</v>
      </c>
      <c r="I732" t="s">
        <v>20</v>
      </c>
      <c r="J732">
        <v>300</v>
      </c>
      <c r="S732">
        <v>36</v>
      </c>
      <c r="T732">
        <v>0</v>
      </c>
      <c r="U732">
        <v>1</v>
      </c>
      <c r="V732">
        <v>0</v>
      </c>
    </row>
    <row r="733" spans="1:22">
      <c r="A733" t="s">
        <v>721</v>
      </c>
      <c r="B733" s="3">
        <v>46183</v>
      </c>
      <c r="C733" t="s">
        <v>105</v>
      </c>
      <c r="D733" t="s">
        <v>108</v>
      </c>
      <c r="E733" t="s">
        <v>16</v>
      </c>
      <c r="F733" t="s">
        <v>17</v>
      </c>
      <c r="G733" t="s">
        <v>18</v>
      </c>
      <c r="H733" t="s">
        <v>19</v>
      </c>
      <c r="I733" t="s">
        <v>20</v>
      </c>
      <c r="J733">
        <v>200</v>
      </c>
      <c r="S733">
        <v>20</v>
      </c>
      <c r="T733">
        <v>0</v>
      </c>
      <c r="U733">
        <v>1</v>
      </c>
      <c r="V733">
        <v>0</v>
      </c>
    </row>
    <row r="734" spans="1:22">
      <c r="A734" t="s">
        <v>722</v>
      </c>
      <c r="B734" s="3">
        <v>46183</v>
      </c>
      <c r="C734" t="s">
        <v>105</v>
      </c>
      <c r="D734" t="s">
        <v>112</v>
      </c>
      <c r="E734" t="s">
        <v>16</v>
      </c>
      <c r="F734" t="s">
        <v>17</v>
      </c>
      <c r="G734" t="s">
        <v>32</v>
      </c>
      <c r="H734" t="s">
        <v>19</v>
      </c>
      <c r="I734" t="s">
        <v>74</v>
      </c>
      <c r="J734">
        <v>300</v>
      </c>
      <c r="S734">
        <v>0</v>
      </c>
      <c r="T734">
        <v>0</v>
      </c>
      <c r="U734">
        <v>0</v>
      </c>
      <c r="V734">
        <v>0</v>
      </c>
    </row>
    <row r="735" spans="1:22">
      <c r="A735" t="s">
        <v>723</v>
      </c>
      <c r="B735" s="3">
        <v>46183</v>
      </c>
      <c r="C735" t="s">
        <v>105</v>
      </c>
      <c r="D735" t="s">
        <v>106</v>
      </c>
      <c r="E735" t="s">
        <v>16</v>
      </c>
      <c r="F735" t="s">
        <v>17</v>
      </c>
      <c r="G735" t="s">
        <v>32</v>
      </c>
      <c r="H735" t="s">
        <v>19</v>
      </c>
      <c r="I735" t="s">
        <v>20</v>
      </c>
      <c r="J735">
        <v>300</v>
      </c>
      <c r="S735">
        <v>36</v>
      </c>
      <c r="T735">
        <v>0</v>
      </c>
      <c r="U735">
        <v>1</v>
      </c>
      <c r="V735">
        <v>0</v>
      </c>
    </row>
    <row r="736" spans="1:22">
      <c r="A736" t="s">
        <v>724</v>
      </c>
      <c r="B736" s="3">
        <v>46183</v>
      </c>
      <c r="C736" t="s">
        <v>105</v>
      </c>
      <c r="D736" t="s">
        <v>182</v>
      </c>
      <c r="E736" t="s">
        <v>16</v>
      </c>
      <c r="F736" t="s">
        <v>17</v>
      </c>
      <c r="G736" t="s">
        <v>18</v>
      </c>
      <c r="H736" t="s">
        <v>19</v>
      </c>
      <c r="I736" t="s">
        <v>20</v>
      </c>
      <c r="J736">
        <v>200</v>
      </c>
      <c r="S736">
        <v>20</v>
      </c>
      <c r="T736">
        <v>0</v>
      </c>
      <c r="U736">
        <v>1</v>
      </c>
      <c r="V736">
        <v>0</v>
      </c>
    </row>
    <row r="737" spans="1:22">
      <c r="A737" t="s">
        <v>725</v>
      </c>
      <c r="B737" s="3">
        <v>46183</v>
      </c>
      <c r="C737" t="s">
        <v>105</v>
      </c>
      <c r="D737" t="s">
        <v>120</v>
      </c>
      <c r="E737" t="s">
        <v>16</v>
      </c>
      <c r="F737" t="s">
        <v>35</v>
      </c>
      <c r="G737" t="s">
        <v>18</v>
      </c>
      <c r="H737" t="s">
        <v>19</v>
      </c>
      <c r="I737" t="s">
        <v>20</v>
      </c>
      <c r="J737">
        <v>200</v>
      </c>
      <c r="S737">
        <v>6</v>
      </c>
      <c r="T737">
        <v>0</v>
      </c>
      <c r="U737">
        <v>0</v>
      </c>
      <c r="V737">
        <v>0</v>
      </c>
    </row>
    <row r="738" spans="1:22">
      <c r="A738" t="s">
        <v>726</v>
      </c>
      <c r="B738" s="3">
        <v>46183</v>
      </c>
      <c r="C738" t="s">
        <v>105</v>
      </c>
      <c r="D738" t="s">
        <v>120</v>
      </c>
      <c r="E738" t="s">
        <v>16</v>
      </c>
      <c r="F738" t="s">
        <v>17</v>
      </c>
      <c r="G738" t="s">
        <v>32</v>
      </c>
      <c r="H738" t="s">
        <v>19</v>
      </c>
      <c r="I738" t="s">
        <v>20</v>
      </c>
      <c r="J738">
        <v>300</v>
      </c>
      <c r="S738">
        <v>36</v>
      </c>
      <c r="T738">
        <v>0</v>
      </c>
      <c r="U738">
        <v>1</v>
      </c>
      <c r="V738">
        <v>0</v>
      </c>
    </row>
    <row r="739" spans="1:22">
      <c r="A739" t="s">
        <v>727</v>
      </c>
      <c r="B739" s="3">
        <v>46183</v>
      </c>
      <c r="C739" t="s">
        <v>105</v>
      </c>
      <c r="D739" t="s">
        <v>265</v>
      </c>
      <c r="E739" t="s">
        <v>16</v>
      </c>
      <c r="F739" t="s">
        <v>17</v>
      </c>
      <c r="G739" t="s">
        <v>18</v>
      </c>
      <c r="H739" t="s">
        <v>19</v>
      </c>
      <c r="I739" t="s">
        <v>74</v>
      </c>
      <c r="J739">
        <v>200</v>
      </c>
      <c r="S739">
        <v>0</v>
      </c>
      <c r="T739">
        <v>0</v>
      </c>
      <c r="U739">
        <v>0</v>
      </c>
      <c r="V739">
        <v>0</v>
      </c>
    </row>
    <row r="740" spans="1:22">
      <c r="A740" t="s">
        <v>728</v>
      </c>
      <c r="B740" s="3">
        <v>46183</v>
      </c>
      <c r="C740" t="s">
        <v>105</v>
      </c>
      <c r="D740" t="s">
        <v>265</v>
      </c>
      <c r="E740" t="s">
        <v>16</v>
      </c>
      <c r="F740" t="s">
        <v>17</v>
      </c>
      <c r="G740" t="s">
        <v>23</v>
      </c>
      <c r="H740" t="s">
        <v>19</v>
      </c>
      <c r="I740" t="s">
        <v>20</v>
      </c>
      <c r="J740">
        <v>120</v>
      </c>
      <c r="S740">
        <v>9.6</v>
      </c>
      <c r="T740">
        <v>0</v>
      </c>
      <c r="U740">
        <v>1</v>
      </c>
      <c r="V740">
        <v>0</v>
      </c>
    </row>
    <row r="741" spans="1:22">
      <c r="A741" t="s">
        <v>729</v>
      </c>
      <c r="B741" s="3">
        <v>46183</v>
      </c>
      <c r="C741" t="s">
        <v>105</v>
      </c>
      <c r="D741" t="s">
        <v>265</v>
      </c>
      <c r="E741" t="s">
        <v>16</v>
      </c>
      <c r="F741" t="s">
        <v>17</v>
      </c>
      <c r="G741" t="s">
        <v>18</v>
      </c>
      <c r="H741" t="s">
        <v>24</v>
      </c>
      <c r="I741" t="s">
        <v>20</v>
      </c>
      <c r="J741">
        <v>200</v>
      </c>
      <c r="S741">
        <v>0</v>
      </c>
      <c r="T741">
        <v>0</v>
      </c>
      <c r="U741">
        <v>0</v>
      </c>
      <c r="V741">
        <v>0</v>
      </c>
    </row>
    <row r="742" spans="1:22">
      <c r="A742" t="s">
        <v>730</v>
      </c>
      <c r="B742" s="3">
        <v>46183</v>
      </c>
      <c r="C742" t="s">
        <v>105</v>
      </c>
      <c r="D742" t="s">
        <v>120</v>
      </c>
      <c r="E742" t="s">
        <v>16</v>
      </c>
      <c r="F742" t="s">
        <v>17</v>
      </c>
      <c r="G742" t="s">
        <v>32</v>
      </c>
      <c r="H742" t="s">
        <v>24</v>
      </c>
      <c r="I742" t="s">
        <v>20</v>
      </c>
      <c r="J742">
        <v>225</v>
      </c>
      <c r="L742" t="s">
        <v>29</v>
      </c>
      <c r="S742">
        <v>0</v>
      </c>
      <c r="T742">
        <v>0</v>
      </c>
      <c r="U742">
        <v>0</v>
      </c>
      <c r="V742">
        <v>0</v>
      </c>
    </row>
    <row r="743" spans="1:22">
      <c r="A743" t="s">
        <v>731</v>
      </c>
      <c r="B743" s="3">
        <v>46183</v>
      </c>
      <c r="C743" t="s">
        <v>105</v>
      </c>
      <c r="D743" t="s">
        <v>118</v>
      </c>
      <c r="E743" t="s">
        <v>16</v>
      </c>
      <c r="F743" t="s">
        <v>17</v>
      </c>
      <c r="G743" t="s">
        <v>32</v>
      </c>
      <c r="H743" t="s">
        <v>19</v>
      </c>
      <c r="I743" t="s">
        <v>20</v>
      </c>
      <c r="J743">
        <v>300</v>
      </c>
      <c r="S743">
        <v>36</v>
      </c>
      <c r="T743">
        <v>0</v>
      </c>
      <c r="U743">
        <v>1</v>
      </c>
      <c r="V743">
        <v>0</v>
      </c>
    </row>
    <row r="744" spans="1:22">
      <c r="A744" t="s">
        <v>732</v>
      </c>
      <c r="B744" s="3">
        <v>46183</v>
      </c>
      <c r="C744" t="s">
        <v>105</v>
      </c>
      <c r="D744" t="s">
        <v>118</v>
      </c>
      <c r="E744" t="s">
        <v>16</v>
      </c>
      <c r="F744" t="s">
        <v>35</v>
      </c>
      <c r="G744" t="s">
        <v>23</v>
      </c>
      <c r="H744" t="s">
        <v>19</v>
      </c>
      <c r="I744" t="s">
        <v>20</v>
      </c>
      <c r="J744">
        <v>120</v>
      </c>
      <c r="S744">
        <v>3.6</v>
      </c>
      <c r="T744">
        <v>0</v>
      </c>
      <c r="U744">
        <v>0</v>
      </c>
      <c r="V744">
        <v>0</v>
      </c>
    </row>
    <row r="745" spans="1:22">
      <c r="A745" t="s">
        <v>733</v>
      </c>
      <c r="B745" s="3">
        <v>46183</v>
      </c>
      <c r="C745" t="s">
        <v>105</v>
      </c>
      <c r="D745" t="s">
        <v>182</v>
      </c>
      <c r="E745" t="s">
        <v>16</v>
      </c>
      <c r="F745" t="s">
        <v>17</v>
      </c>
      <c r="G745" t="s">
        <v>23</v>
      </c>
      <c r="H745" t="s">
        <v>19</v>
      </c>
      <c r="I745" t="s">
        <v>20</v>
      </c>
      <c r="J745">
        <v>120</v>
      </c>
      <c r="S745">
        <v>9.6</v>
      </c>
      <c r="T745">
        <v>0</v>
      </c>
      <c r="U745">
        <v>1</v>
      </c>
      <c r="V745">
        <v>0</v>
      </c>
    </row>
    <row r="746" spans="1:22">
      <c r="A746" t="s">
        <v>734</v>
      </c>
      <c r="B746" s="3">
        <v>46183</v>
      </c>
      <c r="C746" t="s">
        <v>105</v>
      </c>
      <c r="D746" t="s">
        <v>112</v>
      </c>
      <c r="E746" t="s">
        <v>16</v>
      </c>
      <c r="F746" t="s">
        <v>17</v>
      </c>
      <c r="G746" t="s">
        <v>23</v>
      </c>
      <c r="H746" t="s">
        <v>19</v>
      </c>
      <c r="I746" t="s">
        <v>20</v>
      </c>
      <c r="J746">
        <v>120</v>
      </c>
      <c r="S746">
        <v>9.6</v>
      </c>
      <c r="T746">
        <v>0</v>
      </c>
      <c r="U746">
        <v>1</v>
      </c>
      <c r="V746">
        <v>0</v>
      </c>
    </row>
    <row r="747" spans="1:22">
      <c r="A747" t="s">
        <v>736</v>
      </c>
      <c r="B747" s="3">
        <v>46184</v>
      </c>
      <c r="C747" t="s">
        <v>14</v>
      </c>
      <c r="D747" t="s">
        <v>22</v>
      </c>
      <c r="E747" t="s">
        <v>16</v>
      </c>
      <c r="F747" t="s">
        <v>17</v>
      </c>
      <c r="G747" t="s">
        <v>23</v>
      </c>
      <c r="H747" t="s">
        <v>19</v>
      </c>
      <c r="I747" t="s">
        <v>20</v>
      </c>
      <c r="J747">
        <v>120</v>
      </c>
      <c r="S747">
        <v>9.6</v>
      </c>
      <c r="T747">
        <v>0</v>
      </c>
      <c r="U747">
        <v>1</v>
      </c>
      <c r="V747">
        <v>0</v>
      </c>
    </row>
    <row r="748" spans="1:22">
      <c r="A748" t="s">
        <v>738</v>
      </c>
      <c r="B748" s="3">
        <v>46184</v>
      </c>
      <c r="C748" t="s">
        <v>14</v>
      </c>
      <c r="D748" t="s">
        <v>34</v>
      </c>
      <c r="E748" t="s">
        <v>16</v>
      </c>
      <c r="F748" t="s">
        <v>17</v>
      </c>
      <c r="G748" t="s">
        <v>32</v>
      </c>
      <c r="H748" t="s">
        <v>19</v>
      </c>
      <c r="I748" t="s">
        <v>20</v>
      </c>
      <c r="J748">
        <v>300</v>
      </c>
      <c r="S748">
        <v>36</v>
      </c>
      <c r="T748">
        <v>0</v>
      </c>
      <c r="U748">
        <v>1</v>
      </c>
      <c r="V748">
        <v>0</v>
      </c>
    </row>
    <row r="749" spans="1:22">
      <c r="A749" t="s">
        <v>739</v>
      </c>
      <c r="B749" s="3">
        <v>46184</v>
      </c>
      <c r="C749" t="s">
        <v>14</v>
      </c>
      <c r="D749" t="s">
        <v>42</v>
      </c>
      <c r="E749" t="s">
        <v>16</v>
      </c>
      <c r="F749" t="s">
        <v>17</v>
      </c>
      <c r="G749" t="s">
        <v>23</v>
      </c>
      <c r="H749" t="s">
        <v>19</v>
      </c>
      <c r="I749" t="s">
        <v>20</v>
      </c>
      <c r="J749">
        <v>102</v>
      </c>
      <c r="L749" t="s">
        <v>29</v>
      </c>
      <c r="S749">
        <v>8.16</v>
      </c>
      <c r="T749">
        <v>0</v>
      </c>
      <c r="U749">
        <v>1</v>
      </c>
      <c r="V749">
        <v>0</v>
      </c>
    </row>
    <row r="750" spans="1:22">
      <c r="A750" t="s">
        <v>740</v>
      </c>
      <c r="B750" s="3">
        <v>46184</v>
      </c>
      <c r="C750" t="s">
        <v>14</v>
      </c>
      <c r="D750" t="s">
        <v>28</v>
      </c>
      <c r="E750" t="s">
        <v>16</v>
      </c>
      <c r="F750" t="s">
        <v>17</v>
      </c>
      <c r="G750" t="s">
        <v>32</v>
      </c>
      <c r="H750" t="s">
        <v>19</v>
      </c>
      <c r="I750" t="s">
        <v>20</v>
      </c>
      <c r="J750">
        <v>300</v>
      </c>
      <c r="S750">
        <v>36</v>
      </c>
      <c r="T750">
        <v>0</v>
      </c>
      <c r="U750">
        <v>1</v>
      </c>
      <c r="V750">
        <v>0</v>
      </c>
    </row>
    <row r="751" spans="1:22">
      <c r="A751" t="s">
        <v>741</v>
      </c>
      <c r="B751" s="3">
        <v>46184</v>
      </c>
      <c r="C751" t="s">
        <v>14</v>
      </c>
      <c r="D751" t="s">
        <v>22</v>
      </c>
      <c r="E751" t="s">
        <v>16</v>
      </c>
      <c r="F751" t="s">
        <v>35</v>
      </c>
      <c r="G751" t="s">
        <v>18</v>
      </c>
      <c r="H751" t="s">
        <v>19</v>
      </c>
      <c r="I751" t="s">
        <v>20</v>
      </c>
      <c r="J751">
        <v>200</v>
      </c>
      <c r="S751">
        <v>6</v>
      </c>
      <c r="T751">
        <v>0</v>
      </c>
      <c r="U751">
        <v>0</v>
      </c>
      <c r="V751">
        <v>0</v>
      </c>
    </row>
    <row r="752" spans="1:22">
      <c r="A752" t="s">
        <v>742</v>
      </c>
      <c r="B752" s="3">
        <v>46184</v>
      </c>
      <c r="C752" t="s">
        <v>14</v>
      </c>
      <c r="D752" t="s">
        <v>26</v>
      </c>
      <c r="E752" t="s">
        <v>16</v>
      </c>
      <c r="F752" t="s">
        <v>17</v>
      </c>
      <c r="G752" t="s">
        <v>32</v>
      </c>
      <c r="H752" t="s">
        <v>19</v>
      </c>
      <c r="I752" t="s">
        <v>20</v>
      </c>
      <c r="J752">
        <v>300</v>
      </c>
      <c r="S752">
        <v>36</v>
      </c>
      <c r="T752">
        <v>0</v>
      </c>
      <c r="U752">
        <v>1</v>
      </c>
      <c r="V752">
        <v>0</v>
      </c>
    </row>
    <row r="753" spans="1:22">
      <c r="A753" t="s">
        <v>743</v>
      </c>
      <c r="B753" s="3">
        <v>46184</v>
      </c>
      <c r="C753" t="s">
        <v>14</v>
      </c>
      <c r="D753" t="s">
        <v>42</v>
      </c>
      <c r="E753" t="s">
        <v>16</v>
      </c>
      <c r="F753" t="s">
        <v>35</v>
      </c>
      <c r="G753" t="s">
        <v>18</v>
      </c>
      <c r="H753" t="s">
        <v>24</v>
      </c>
      <c r="I753" t="s">
        <v>53</v>
      </c>
      <c r="J753">
        <v>150</v>
      </c>
      <c r="L753" t="s">
        <v>29</v>
      </c>
      <c r="S753">
        <v>0</v>
      </c>
      <c r="T753">
        <v>0</v>
      </c>
      <c r="U753">
        <v>0</v>
      </c>
      <c r="V753">
        <v>0</v>
      </c>
    </row>
    <row r="754" spans="1:22">
      <c r="A754" t="s">
        <v>744</v>
      </c>
      <c r="B754" s="3">
        <v>46184</v>
      </c>
      <c r="C754" t="s">
        <v>14</v>
      </c>
      <c r="D754" t="s">
        <v>37</v>
      </c>
      <c r="E754" t="s">
        <v>16</v>
      </c>
      <c r="F754" t="s">
        <v>17</v>
      </c>
      <c r="G754" t="s">
        <v>23</v>
      </c>
      <c r="H754" t="s">
        <v>19</v>
      </c>
      <c r="I754" t="s">
        <v>20</v>
      </c>
      <c r="J754">
        <v>120</v>
      </c>
      <c r="S754">
        <v>9.6</v>
      </c>
      <c r="T754">
        <v>0</v>
      </c>
      <c r="U754">
        <v>1</v>
      </c>
      <c r="V754">
        <v>0</v>
      </c>
    </row>
    <row r="755" spans="1:22">
      <c r="A755" t="s">
        <v>745</v>
      </c>
      <c r="B755" s="3">
        <v>46184</v>
      </c>
      <c r="C755" t="s">
        <v>14</v>
      </c>
      <c r="D755" t="s">
        <v>42</v>
      </c>
      <c r="E755" t="s">
        <v>16</v>
      </c>
      <c r="F755" t="s">
        <v>17</v>
      </c>
      <c r="G755" t="s">
        <v>23</v>
      </c>
      <c r="H755" t="s">
        <v>19</v>
      </c>
      <c r="I755" t="s">
        <v>20</v>
      </c>
      <c r="J755">
        <v>120</v>
      </c>
      <c r="S755">
        <v>9.6</v>
      </c>
      <c r="T755">
        <v>0</v>
      </c>
      <c r="U755">
        <v>1</v>
      </c>
      <c r="V755">
        <v>0</v>
      </c>
    </row>
    <row r="756" spans="1:22">
      <c r="A756" t="s">
        <v>746</v>
      </c>
      <c r="B756" s="3">
        <v>46184</v>
      </c>
      <c r="C756" t="s">
        <v>14</v>
      </c>
      <c r="D756" t="s">
        <v>40</v>
      </c>
      <c r="E756" t="s">
        <v>16</v>
      </c>
      <c r="F756" t="s">
        <v>17</v>
      </c>
      <c r="G756" t="s">
        <v>23</v>
      </c>
      <c r="H756" t="s">
        <v>19</v>
      </c>
      <c r="I756" t="s">
        <v>74</v>
      </c>
      <c r="J756">
        <v>90</v>
      </c>
      <c r="L756" t="s">
        <v>29</v>
      </c>
      <c r="S756">
        <v>0</v>
      </c>
      <c r="T756">
        <v>0</v>
      </c>
      <c r="U756">
        <v>0</v>
      </c>
      <c r="V756">
        <v>0</v>
      </c>
    </row>
    <row r="757" spans="1:22">
      <c r="A757" t="s">
        <v>747</v>
      </c>
      <c r="B757" s="3">
        <v>46184</v>
      </c>
      <c r="C757" t="s">
        <v>14</v>
      </c>
      <c r="D757" t="s">
        <v>37</v>
      </c>
      <c r="E757" t="s">
        <v>16</v>
      </c>
      <c r="F757" t="s">
        <v>17</v>
      </c>
      <c r="G757" t="s">
        <v>18</v>
      </c>
      <c r="H757" t="s">
        <v>19</v>
      </c>
      <c r="I757" t="s">
        <v>20</v>
      </c>
      <c r="J757">
        <v>200</v>
      </c>
      <c r="S757">
        <v>20</v>
      </c>
      <c r="T757">
        <v>0</v>
      </c>
      <c r="U757">
        <v>1</v>
      </c>
      <c r="V757">
        <v>0</v>
      </c>
    </row>
    <row r="758" spans="1:22">
      <c r="A758" t="s">
        <v>748</v>
      </c>
      <c r="B758" s="3">
        <v>46184</v>
      </c>
      <c r="C758" t="s">
        <v>14</v>
      </c>
      <c r="D758" t="s">
        <v>210</v>
      </c>
      <c r="E758" t="s">
        <v>16</v>
      </c>
      <c r="F758" t="s">
        <v>17</v>
      </c>
      <c r="G758" t="s">
        <v>23</v>
      </c>
      <c r="H758" t="s">
        <v>19</v>
      </c>
      <c r="I758" t="s">
        <v>20</v>
      </c>
      <c r="J758">
        <v>120</v>
      </c>
      <c r="S758">
        <v>9.6</v>
      </c>
      <c r="T758">
        <v>0</v>
      </c>
      <c r="U758">
        <v>1</v>
      </c>
      <c r="V758">
        <v>0</v>
      </c>
    </row>
    <row r="759" spans="1:22">
      <c r="A759" t="s">
        <v>749</v>
      </c>
      <c r="B759" s="3">
        <v>46184</v>
      </c>
      <c r="C759" t="s">
        <v>14</v>
      </c>
      <c r="D759" t="s">
        <v>131</v>
      </c>
      <c r="E759" t="s">
        <v>16</v>
      </c>
      <c r="F759" t="s">
        <v>17</v>
      </c>
      <c r="G759" t="s">
        <v>23</v>
      </c>
      <c r="H759" t="s">
        <v>19</v>
      </c>
      <c r="I759" t="s">
        <v>20</v>
      </c>
      <c r="J759">
        <v>120</v>
      </c>
      <c r="S759">
        <v>9.6</v>
      </c>
      <c r="T759">
        <v>0</v>
      </c>
      <c r="U759">
        <v>1</v>
      </c>
      <c r="V759">
        <v>0</v>
      </c>
    </row>
    <row r="760" spans="1:22">
      <c r="A760" t="s">
        <v>750</v>
      </c>
      <c r="B760" s="3">
        <v>46184</v>
      </c>
      <c r="C760" t="s">
        <v>14</v>
      </c>
      <c r="D760" t="s">
        <v>22</v>
      </c>
      <c r="E760" t="s">
        <v>16</v>
      </c>
      <c r="F760" t="s">
        <v>35</v>
      </c>
      <c r="G760" t="s">
        <v>32</v>
      </c>
      <c r="H760" t="s">
        <v>24</v>
      </c>
      <c r="I760" t="s">
        <v>20</v>
      </c>
      <c r="J760">
        <v>300</v>
      </c>
      <c r="S760">
        <v>0</v>
      </c>
      <c r="T760">
        <v>0</v>
      </c>
      <c r="U760">
        <v>0</v>
      </c>
      <c r="V760">
        <v>0</v>
      </c>
    </row>
    <row r="761" spans="1:22">
      <c r="A761" t="s">
        <v>751</v>
      </c>
      <c r="B761" s="3">
        <v>46184</v>
      </c>
      <c r="C761" t="s">
        <v>14</v>
      </c>
      <c r="D761" t="s">
        <v>40</v>
      </c>
      <c r="E761" t="s">
        <v>16</v>
      </c>
      <c r="F761" t="s">
        <v>17</v>
      </c>
      <c r="G761" t="s">
        <v>23</v>
      </c>
      <c r="H761" t="s">
        <v>19</v>
      </c>
      <c r="I761" t="s">
        <v>20</v>
      </c>
      <c r="J761">
        <v>120</v>
      </c>
      <c r="S761">
        <v>9.6</v>
      </c>
      <c r="T761">
        <v>0</v>
      </c>
      <c r="U761">
        <v>1</v>
      </c>
      <c r="V761">
        <v>0</v>
      </c>
    </row>
    <row r="762" spans="1:22">
      <c r="A762" t="s">
        <v>752</v>
      </c>
      <c r="B762" s="3">
        <v>46184</v>
      </c>
      <c r="C762" t="s">
        <v>14</v>
      </c>
      <c r="D762" t="s">
        <v>31</v>
      </c>
      <c r="E762" t="s">
        <v>16</v>
      </c>
      <c r="F762" t="s">
        <v>35</v>
      </c>
      <c r="G762" t="s">
        <v>23</v>
      </c>
      <c r="H762" t="s">
        <v>19</v>
      </c>
      <c r="I762" t="s">
        <v>20</v>
      </c>
      <c r="J762">
        <v>120</v>
      </c>
      <c r="S762">
        <v>3.6</v>
      </c>
      <c r="T762">
        <v>0</v>
      </c>
      <c r="U762">
        <v>0</v>
      </c>
      <c r="V762">
        <v>0</v>
      </c>
    </row>
    <row r="763" spans="1:22">
      <c r="A763" t="s">
        <v>753</v>
      </c>
      <c r="B763" s="3">
        <v>46184</v>
      </c>
      <c r="C763" t="s">
        <v>47</v>
      </c>
      <c r="D763" t="s">
        <v>62</v>
      </c>
      <c r="E763" t="s">
        <v>16</v>
      </c>
      <c r="F763" t="s">
        <v>35</v>
      </c>
      <c r="G763" t="s">
        <v>18</v>
      </c>
      <c r="H763" t="s">
        <v>19</v>
      </c>
      <c r="I763" t="s">
        <v>20</v>
      </c>
      <c r="J763">
        <v>200</v>
      </c>
      <c r="S763">
        <v>6</v>
      </c>
      <c r="T763">
        <v>0</v>
      </c>
      <c r="U763">
        <v>0</v>
      </c>
      <c r="V763">
        <v>0</v>
      </c>
    </row>
    <row r="764" spans="1:22">
      <c r="A764" t="s">
        <v>754</v>
      </c>
      <c r="B764" s="3">
        <v>46184</v>
      </c>
      <c r="C764" t="s">
        <v>47</v>
      </c>
      <c r="D764" t="s">
        <v>62</v>
      </c>
      <c r="E764" t="s">
        <v>16</v>
      </c>
      <c r="F764" t="s">
        <v>17</v>
      </c>
      <c r="G764" t="s">
        <v>18</v>
      </c>
      <c r="H764" t="s">
        <v>24</v>
      </c>
      <c r="I764" t="s">
        <v>20</v>
      </c>
      <c r="J764">
        <v>170</v>
      </c>
      <c r="L764" t="s">
        <v>29</v>
      </c>
      <c r="S764">
        <v>0</v>
      </c>
      <c r="T764">
        <v>0</v>
      </c>
      <c r="U764">
        <v>0</v>
      </c>
      <c r="V764">
        <v>0</v>
      </c>
    </row>
    <row r="765" spans="1:22">
      <c r="A765" t="s">
        <v>755</v>
      </c>
      <c r="B765" s="3">
        <v>46184</v>
      </c>
      <c r="C765" t="s">
        <v>47</v>
      </c>
      <c r="D765" t="s">
        <v>52</v>
      </c>
      <c r="E765" t="s">
        <v>16</v>
      </c>
      <c r="F765" t="s">
        <v>17</v>
      </c>
      <c r="G765" t="s">
        <v>32</v>
      </c>
      <c r="H765" t="s">
        <v>19</v>
      </c>
      <c r="I765" t="s">
        <v>20</v>
      </c>
      <c r="J765">
        <v>300</v>
      </c>
      <c r="S765">
        <v>36</v>
      </c>
      <c r="T765">
        <v>0</v>
      </c>
      <c r="U765">
        <v>1</v>
      </c>
      <c r="V765">
        <v>0</v>
      </c>
    </row>
    <row r="766" spans="1:22">
      <c r="A766" t="s">
        <v>756</v>
      </c>
      <c r="B766" s="3">
        <v>46184</v>
      </c>
      <c r="C766" t="s">
        <v>47</v>
      </c>
      <c r="D766" t="s">
        <v>48</v>
      </c>
      <c r="E766" t="s">
        <v>16</v>
      </c>
      <c r="F766" t="s">
        <v>35</v>
      </c>
      <c r="G766" t="s">
        <v>32</v>
      </c>
      <c r="H766" t="s">
        <v>19</v>
      </c>
      <c r="I766" t="s">
        <v>20</v>
      </c>
      <c r="J766">
        <v>225</v>
      </c>
      <c r="L766" t="s">
        <v>29</v>
      </c>
      <c r="S766">
        <v>6.75</v>
      </c>
      <c r="T766">
        <v>0</v>
      </c>
      <c r="U766">
        <v>0</v>
      </c>
      <c r="V766">
        <v>0</v>
      </c>
    </row>
    <row r="767" spans="1:22">
      <c r="A767" t="s">
        <v>757</v>
      </c>
      <c r="B767" s="3">
        <v>46184</v>
      </c>
      <c r="C767" t="s">
        <v>47</v>
      </c>
      <c r="D767" t="s">
        <v>73</v>
      </c>
      <c r="E767" t="s">
        <v>16</v>
      </c>
      <c r="F767" t="s">
        <v>17</v>
      </c>
      <c r="G767" t="s">
        <v>32</v>
      </c>
      <c r="H767" t="s">
        <v>24</v>
      </c>
      <c r="I767" t="s">
        <v>20</v>
      </c>
      <c r="J767">
        <v>300</v>
      </c>
      <c r="S767">
        <v>0</v>
      </c>
      <c r="T767">
        <v>0</v>
      </c>
      <c r="U767">
        <v>0</v>
      </c>
      <c r="V767">
        <v>0</v>
      </c>
    </row>
    <row r="768" spans="1:22">
      <c r="A768" t="s">
        <v>758</v>
      </c>
      <c r="B768" s="3">
        <v>46184</v>
      </c>
      <c r="C768" t="s">
        <v>47</v>
      </c>
      <c r="D768" t="s">
        <v>148</v>
      </c>
      <c r="E768" t="s">
        <v>16</v>
      </c>
      <c r="F768" t="s">
        <v>17</v>
      </c>
      <c r="G768" t="s">
        <v>23</v>
      </c>
      <c r="H768" t="s">
        <v>19</v>
      </c>
      <c r="I768" t="s">
        <v>20</v>
      </c>
      <c r="J768">
        <v>102</v>
      </c>
      <c r="L768" t="s">
        <v>29</v>
      </c>
      <c r="S768">
        <v>8.16</v>
      </c>
      <c r="T768">
        <v>0</v>
      </c>
      <c r="U768">
        <v>1</v>
      </c>
      <c r="V768">
        <v>0</v>
      </c>
    </row>
    <row r="769" spans="1:22">
      <c r="A769" t="s">
        <v>759</v>
      </c>
      <c r="B769" s="3">
        <v>46184</v>
      </c>
      <c r="C769" t="s">
        <v>47</v>
      </c>
      <c r="D769" t="s">
        <v>48</v>
      </c>
      <c r="E769" t="s">
        <v>16</v>
      </c>
      <c r="F769" t="s">
        <v>17</v>
      </c>
      <c r="G769" t="s">
        <v>18</v>
      </c>
      <c r="H769" t="s">
        <v>19</v>
      </c>
      <c r="I769" t="s">
        <v>20</v>
      </c>
      <c r="J769">
        <v>200</v>
      </c>
      <c r="S769">
        <v>20</v>
      </c>
      <c r="T769">
        <v>0</v>
      </c>
      <c r="U769">
        <v>1</v>
      </c>
      <c r="V769">
        <v>0</v>
      </c>
    </row>
    <row r="770" spans="1:22">
      <c r="A770" t="s">
        <v>760</v>
      </c>
      <c r="B770" s="3">
        <v>46184</v>
      </c>
      <c r="C770" t="s">
        <v>47</v>
      </c>
      <c r="D770" t="s">
        <v>48</v>
      </c>
      <c r="E770" t="s">
        <v>16</v>
      </c>
      <c r="F770" t="s">
        <v>17</v>
      </c>
      <c r="G770" t="s">
        <v>32</v>
      </c>
      <c r="H770" t="s">
        <v>19</v>
      </c>
      <c r="I770" t="s">
        <v>20</v>
      </c>
      <c r="J770">
        <v>225</v>
      </c>
      <c r="L770" t="s">
        <v>29</v>
      </c>
      <c r="S770">
        <v>27</v>
      </c>
      <c r="T770">
        <v>0</v>
      </c>
      <c r="U770">
        <v>1</v>
      </c>
      <c r="V770">
        <v>0</v>
      </c>
    </row>
    <row r="771" spans="1:22">
      <c r="A771" t="s">
        <v>761</v>
      </c>
      <c r="B771" s="3">
        <v>46184</v>
      </c>
      <c r="C771" t="s">
        <v>47</v>
      </c>
      <c r="D771" t="s">
        <v>59</v>
      </c>
      <c r="E771" t="s">
        <v>16</v>
      </c>
      <c r="F771" t="s">
        <v>17</v>
      </c>
      <c r="G771" t="s">
        <v>32</v>
      </c>
      <c r="H771" t="s">
        <v>19</v>
      </c>
      <c r="I771" t="s">
        <v>20</v>
      </c>
      <c r="J771">
        <v>300</v>
      </c>
      <c r="S771">
        <v>36</v>
      </c>
      <c r="T771">
        <v>0</v>
      </c>
      <c r="U771">
        <v>1</v>
      </c>
      <c r="V771">
        <v>0</v>
      </c>
    </row>
    <row r="772" spans="1:22">
      <c r="A772" t="s">
        <v>762</v>
      </c>
      <c r="B772" s="3">
        <v>46184</v>
      </c>
      <c r="C772" t="s">
        <v>47</v>
      </c>
      <c r="D772" t="s">
        <v>66</v>
      </c>
      <c r="E772" t="s">
        <v>16</v>
      </c>
      <c r="F772" t="s">
        <v>17</v>
      </c>
      <c r="G772" t="s">
        <v>23</v>
      </c>
      <c r="H772" t="s">
        <v>19</v>
      </c>
      <c r="I772" t="s">
        <v>20</v>
      </c>
      <c r="J772">
        <v>120</v>
      </c>
      <c r="S772">
        <v>9.6</v>
      </c>
      <c r="T772">
        <v>0</v>
      </c>
      <c r="U772">
        <v>1</v>
      </c>
      <c r="V772">
        <v>0</v>
      </c>
    </row>
    <row r="773" spans="1:22">
      <c r="A773" t="s">
        <v>763</v>
      </c>
      <c r="B773" s="3">
        <v>46184</v>
      </c>
      <c r="C773" t="s">
        <v>47</v>
      </c>
      <c r="D773" t="s">
        <v>148</v>
      </c>
      <c r="E773" t="s">
        <v>16</v>
      </c>
      <c r="F773" t="s">
        <v>35</v>
      </c>
      <c r="G773" t="s">
        <v>23</v>
      </c>
      <c r="H773" t="s">
        <v>24</v>
      </c>
      <c r="I773" t="s">
        <v>20</v>
      </c>
      <c r="J773">
        <v>120</v>
      </c>
      <c r="S773">
        <v>0</v>
      </c>
      <c r="T773">
        <v>0</v>
      </c>
      <c r="U773">
        <v>0</v>
      </c>
      <c r="V773">
        <v>0</v>
      </c>
    </row>
    <row r="774" spans="1:22">
      <c r="A774" t="s">
        <v>764</v>
      </c>
      <c r="B774" s="3">
        <v>46184</v>
      </c>
      <c r="C774" t="s">
        <v>47</v>
      </c>
      <c r="D774" t="s">
        <v>50</v>
      </c>
      <c r="E774" t="s">
        <v>16</v>
      </c>
      <c r="F774" t="s">
        <v>17</v>
      </c>
      <c r="G774" t="s">
        <v>23</v>
      </c>
      <c r="H774" t="s">
        <v>24</v>
      </c>
      <c r="I774" t="s">
        <v>20</v>
      </c>
      <c r="J774">
        <v>120</v>
      </c>
      <c r="S774">
        <v>0</v>
      </c>
      <c r="T774">
        <v>0</v>
      </c>
      <c r="U774">
        <v>0</v>
      </c>
      <c r="V774">
        <v>0</v>
      </c>
    </row>
    <row r="775" spans="1:22">
      <c r="A775" t="s">
        <v>765</v>
      </c>
      <c r="B775" s="3">
        <v>46184</v>
      </c>
      <c r="C775" t="s">
        <v>47</v>
      </c>
      <c r="D775" t="s">
        <v>55</v>
      </c>
      <c r="E775" t="s">
        <v>16</v>
      </c>
      <c r="F775" t="s">
        <v>35</v>
      </c>
      <c r="G775" t="s">
        <v>18</v>
      </c>
      <c r="H775" t="s">
        <v>19</v>
      </c>
      <c r="I775" t="s">
        <v>20</v>
      </c>
      <c r="J775">
        <v>200</v>
      </c>
      <c r="S775">
        <v>6</v>
      </c>
      <c r="T775">
        <v>0</v>
      </c>
      <c r="U775">
        <v>0</v>
      </c>
      <c r="V775">
        <v>0</v>
      </c>
    </row>
    <row r="776" spans="1:22">
      <c r="A776" t="s">
        <v>766</v>
      </c>
      <c r="B776" s="3">
        <v>46184</v>
      </c>
      <c r="C776" t="s">
        <v>47</v>
      </c>
      <c r="D776" t="s">
        <v>62</v>
      </c>
      <c r="E776" t="s">
        <v>16</v>
      </c>
      <c r="F776" t="s">
        <v>17</v>
      </c>
      <c r="G776" t="s">
        <v>32</v>
      </c>
      <c r="H776" t="s">
        <v>19</v>
      </c>
      <c r="I776" t="s">
        <v>20</v>
      </c>
      <c r="J776">
        <v>300</v>
      </c>
      <c r="S776">
        <v>36</v>
      </c>
      <c r="T776">
        <v>0</v>
      </c>
      <c r="U776">
        <v>1</v>
      </c>
      <c r="V776">
        <v>0</v>
      </c>
    </row>
    <row r="777" spans="1:22">
      <c r="A777" t="s">
        <v>767</v>
      </c>
      <c r="B777" s="3">
        <v>46184</v>
      </c>
      <c r="C777" t="s">
        <v>47</v>
      </c>
      <c r="D777" t="s">
        <v>62</v>
      </c>
      <c r="E777" t="s">
        <v>16</v>
      </c>
      <c r="F777" t="s">
        <v>17</v>
      </c>
      <c r="G777" t="s">
        <v>23</v>
      </c>
      <c r="H777" t="s">
        <v>19</v>
      </c>
      <c r="I777" t="s">
        <v>20</v>
      </c>
      <c r="J777">
        <v>102</v>
      </c>
      <c r="L777" t="s">
        <v>29</v>
      </c>
      <c r="S777">
        <v>8.16</v>
      </c>
      <c r="T777">
        <v>0</v>
      </c>
      <c r="U777">
        <v>1</v>
      </c>
      <c r="V777">
        <v>0</v>
      </c>
    </row>
    <row r="778" spans="1:22">
      <c r="A778" t="s">
        <v>768</v>
      </c>
      <c r="B778" s="3">
        <v>46184</v>
      </c>
      <c r="C778" t="s">
        <v>47</v>
      </c>
      <c r="D778" t="s">
        <v>52</v>
      </c>
      <c r="E778" t="s">
        <v>16</v>
      </c>
      <c r="F778" t="s">
        <v>17</v>
      </c>
      <c r="G778" t="s">
        <v>23</v>
      </c>
      <c r="H778" t="s">
        <v>19</v>
      </c>
      <c r="I778" t="s">
        <v>20</v>
      </c>
      <c r="J778">
        <v>120</v>
      </c>
      <c r="S778">
        <v>9.6</v>
      </c>
      <c r="T778">
        <v>0</v>
      </c>
      <c r="U778">
        <v>1</v>
      </c>
      <c r="V778">
        <v>0</v>
      </c>
    </row>
    <row r="779" spans="1:22">
      <c r="A779" t="s">
        <v>769</v>
      </c>
      <c r="B779" s="3">
        <v>46184</v>
      </c>
      <c r="C779" t="s">
        <v>47</v>
      </c>
      <c r="D779" t="s">
        <v>50</v>
      </c>
      <c r="E779" t="s">
        <v>16</v>
      </c>
      <c r="F779" t="s">
        <v>17</v>
      </c>
      <c r="G779" t="s">
        <v>32</v>
      </c>
      <c r="H779" t="s">
        <v>24</v>
      </c>
      <c r="I779" t="s">
        <v>20</v>
      </c>
      <c r="J779">
        <v>300</v>
      </c>
      <c r="S779">
        <v>0</v>
      </c>
      <c r="T779">
        <v>0</v>
      </c>
      <c r="U779">
        <v>0</v>
      </c>
      <c r="V779">
        <v>0</v>
      </c>
    </row>
    <row r="780" spans="1:22">
      <c r="A780" t="s">
        <v>770</v>
      </c>
      <c r="B780" s="3">
        <v>46184</v>
      </c>
      <c r="C780" t="s">
        <v>78</v>
      </c>
      <c r="D780" t="s">
        <v>93</v>
      </c>
      <c r="E780" t="s">
        <v>16</v>
      </c>
      <c r="F780" t="s">
        <v>17</v>
      </c>
      <c r="G780" t="s">
        <v>18</v>
      </c>
      <c r="H780" t="s">
        <v>19</v>
      </c>
      <c r="I780" t="s">
        <v>20</v>
      </c>
      <c r="J780">
        <v>200</v>
      </c>
      <c r="S780">
        <v>20</v>
      </c>
      <c r="T780">
        <v>0</v>
      </c>
      <c r="U780">
        <v>1</v>
      </c>
      <c r="V780">
        <v>0</v>
      </c>
    </row>
    <row r="781" spans="1:22">
      <c r="A781" t="s">
        <v>771</v>
      </c>
      <c r="B781" s="3">
        <v>46184</v>
      </c>
      <c r="C781" t="s">
        <v>78</v>
      </c>
      <c r="D781" t="s">
        <v>93</v>
      </c>
      <c r="E781" t="s">
        <v>16</v>
      </c>
      <c r="F781" t="s">
        <v>17</v>
      </c>
      <c r="G781" t="s">
        <v>18</v>
      </c>
      <c r="H781" t="s">
        <v>19</v>
      </c>
      <c r="I781" t="s">
        <v>20</v>
      </c>
      <c r="J781">
        <v>200</v>
      </c>
      <c r="S781">
        <v>20</v>
      </c>
      <c r="T781">
        <v>0</v>
      </c>
      <c r="U781">
        <v>1</v>
      </c>
      <c r="V781">
        <v>0</v>
      </c>
    </row>
    <row r="782" spans="1:22">
      <c r="A782" t="s">
        <v>772</v>
      </c>
      <c r="B782" s="3">
        <v>46184</v>
      </c>
      <c r="C782" t="s">
        <v>78</v>
      </c>
      <c r="D782" t="s">
        <v>163</v>
      </c>
      <c r="E782" t="s">
        <v>16</v>
      </c>
      <c r="F782" t="s">
        <v>17</v>
      </c>
      <c r="G782" t="s">
        <v>18</v>
      </c>
      <c r="H782" t="s">
        <v>19</v>
      </c>
      <c r="I782" t="s">
        <v>20</v>
      </c>
      <c r="J782">
        <v>150</v>
      </c>
      <c r="L782" t="s">
        <v>29</v>
      </c>
      <c r="S782">
        <v>15</v>
      </c>
      <c r="T782">
        <v>0</v>
      </c>
      <c r="U782">
        <v>1</v>
      </c>
      <c r="V782">
        <v>0</v>
      </c>
    </row>
    <row r="783" spans="1:22">
      <c r="A783" t="s">
        <v>773</v>
      </c>
      <c r="B783" s="3">
        <v>46184</v>
      </c>
      <c r="C783" t="s">
        <v>78</v>
      </c>
      <c r="D783" t="s">
        <v>97</v>
      </c>
      <c r="E783" t="s">
        <v>16</v>
      </c>
      <c r="F783" t="s">
        <v>35</v>
      </c>
      <c r="G783" t="s">
        <v>18</v>
      </c>
      <c r="H783" t="s">
        <v>19</v>
      </c>
      <c r="I783" t="s">
        <v>20</v>
      </c>
      <c r="J783">
        <v>200</v>
      </c>
      <c r="S783">
        <v>6</v>
      </c>
      <c r="T783">
        <v>0</v>
      </c>
      <c r="U783">
        <v>0</v>
      </c>
      <c r="V783">
        <v>0</v>
      </c>
    </row>
    <row r="784" spans="1:22">
      <c r="A784" t="s">
        <v>774</v>
      </c>
      <c r="B784" s="3">
        <v>46184</v>
      </c>
      <c r="C784" t="s">
        <v>78</v>
      </c>
      <c r="D784" t="s">
        <v>102</v>
      </c>
      <c r="E784" t="s">
        <v>16</v>
      </c>
      <c r="F784" t="s">
        <v>17</v>
      </c>
      <c r="G784" t="s">
        <v>23</v>
      </c>
      <c r="H784" t="s">
        <v>19</v>
      </c>
      <c r="I784" t="s">
        <v>20</v>
      </c>
      <c r="J784">
        <v>120</v>
      </c>
      <c r="S784">
        <v>9.6</v>
      </c>
      <c r="T784">
        <v>0</v>
      </c>
      <c r="U784">
        <v>1</v>
      </c>
      <c r="V784">
        <v>0</v>
      </c>
    </row>
    <row r="785" spans="1:22">
      <c r="A785" t="s">
        <v>775</v>
      </c>
      <c r="B785" s="3">
        <v>46184</v>
      </c>
      <c r="C785" t="s">
        <v>78</v>
      </c>
      <c r="D785" t="s">
        <v>81</v>
      </c>
      <c r="E785" t="s">
        <v>16</v>
      </c>
      <c r="F785" t="s">
        <v>17</v>
      </c>
      <c r="G785" t="s">
        <v>32</v>
      </c>
      <c r="H785" t="s">
        <v>19</v>
      </c>
      <c r="I785" t="s">
        <v>20</v>
      </c>
      <c r="J785">
        <v>300</v>
      </c>
      <c r="S785">
        <v>36</v>
      </c>
      <c r="T785">
        <v>0</v>
      </c>
      <c r="U785">
        <v>1</v>
      </c>
      <c r="V785">
        <v>0</v>
      </c>
    </row>
    <row r="786" spans="1:22">
      <c r="A786" t="s">
        <v>776</v>
      </c>
      <c r="B786" s="3">
        <v>46184</v>
      </c>
      <c r="C786" t="s">
        <v>78</v>
      </c>
      <c r="D786" t="s">
        <v>89</v>
      </c>
      <c r="E786" t="s">
        <v>16</v>
      </c>
      <c r="F786" t="s">
        <v>17</v>
      </c>
      <c r="G786" t="s">
        <v>32</v>
      </c>
      <c r="H786" t="s">
        <v>19</v>
      </c>
      <c r="I786" t="s">
        <v>20</v>
      </c>
      <c r="J786">
        <v>300</v>
      </c>
      <c r="S786">
        <v>36</v>
      </c>
      <c r="T786">
        <v>0</v>
      </c>
      <c r="U786">
        <v>1</v>
      </c>
      <c r="V786">
        <v>0</v>
      </c>
    </row>
    <row r="787" spans="1:22">
      <c r="A787" t="s">
        <v>777</v>
      </c>
      <c r="B787" s="3">
        <v>46184</v>
      </c>
      <c r="C787" t="s">
        <v>78</v>
      </c>
      <c r="D787" t="s">
        <v>93</v>
      </c>
      <c r="E787" t="s">
        <v>16</v>
      </c>
      <c r="F787" t="s">
        <v>35</v>
      </c>
      <c r="G787" t="s">
        <v>32</v>
      </c>
      <c r="H787" t="s">
        <v>24</v>
      </c>
      <c r="I787" t="s">
        <v>20</v>
      </c>
      <c r="J787">
        <v>300</v>
      </c>
      <c r="S787">
        <v>0</v>
      </c>
      <c r="T787">
        <v>0</v>
      </c>
      <c r="U787">
        <v>0</v>
      </c>
      <c r="V787">
        <v>0</v>
      </c>
    </row>
    <row r="788" spans="1:22">
      <c r="A788" t="s">
        <v>778</v>
      </c>
      <c r="B788" s="3">
        <v>46184</v>
      </c>
      <c r="C788" t="s">
        <v>78</v>
      </c>
      <c r="D788" t="s">
        <v>97</v>
      </c>
      <c r="E788" t="s">
        <v>16</v>
      </c>
      <c r="F788" t="s">
        <v>17</v>
      </c>
      <c r="G788" t="s">
        <v>32</v>
      </c>
      <c r="H788" t="s">
        <v>19</v>
      </c>
      <c r="I788" t="s">
        <v>20</v>
      </c>
      <c r="J788">
        <v>300</v>
      </c>
      <c r="S788">
        <v>36</v>
      </c>
      <c r="T788">
        <v>0</v>
      </c>
      <c r="U788">
        <v>1</v>
      </c>
      <c r="V788">
        <v>0</v>
      </c>
    </row>
    <row r="789" spans="1:22">
      <c r="A789" t="s">
        <v>779</v>
      </c>
      <c r="B789" s="3">
        <v>46184</v>
      </c>
      <c r="C789" t="s">
        <v>78</v>
      </c>
      <c r="D789" t="s">
        <v>79</v>
      </c>
      <c r="E789" t="s">
        <v>16</v>
      </c>
      <c r="F789" t="s">
        <v>17</v>
      </c>
      <c r="G789" t="s">
        <v>32</v>
      </c>
      <c r="H789" t="s">
        <v>19</v>
      </c>
      <c r="I789" t="s">
        <v>20</v>
      </c>
      <c r="J789">
        <v>300</v>
      </c>
      <c r="S789">
        <v>36</v>
      </c>
      <c r="T789">
        <v>0</v>
      </c>
      <c r="U789">
        <v>1</v>
      </c>
      <c r="V789">
        <v>0</v>
      </c>
    </row>
    <row r="790" spans="1:22">
      <c r="A790" t="s">
        <v>780</v>
      </c>
      <c r="B790" s="3">
        <v>46184</v>
      </c>
      <c r="C790" t="s">
        <v>78</v>
      </c>
      <c r="D790" t="s">
        <v>89</v>
      </c>
      <c r="E790" t="s">
        <v>16</v>
      </c>
      <c r="F790" t="s">
        <v>35</v>
      </c>
      <c r="G790" t="s">
        <v>23</v>
      </c>
      <c r="H790" t="s">
        <v>19</v>
      </c>
      <c r="I790" t="s">
        <v>53</v>
      </c>
      <c r="J790">
        <v>120</v>
      </c>
      <c r="S790">
        <v>0</v>
      </c>
      <c r="T790">
        <v>0</v>
      </c>
      <c r="U790">
        <v>0</v>
      </c>
      <c r="V790">
        <v>0</v>
      </c>
    </row>
    <row r="791" spans="1:22">
      <c r="A791" t="s">
        <v>781</v>
      </c>
      <c r="B791" s="3">
        <v>46184</v>
      </c>
      <c r="C791" t="s">
        <v>78</v>
      </c>
      <c r="D791" t="s">
        <v>163</v>
      </c>
      <c r="E791" t="s">
        <v>16</v>
      </c>
      <c r="F791" t="s">
        <v>17</v>
      </c>
      <c r="G791" t="s">
        <v>32</v>
      </c>
      <c r="H791" t="s">
        <v>19</v>
      </c>
      <c r="I791" t="s">
        <v>20</v>
      </c>
      <c r="J791">
        <v>225</v>
      </c>
      <c r="L791" t="s">
        <v>29</v>
      </c>
      <c r="S791">
        <v>27</v>
      </c>
      <c r="T791">
        <v>0</v>
      </c>
      <c r="U791">
        <v>1</v>
      </c>
      <c r="V791">
        <v>0</v>
      </c>
    </row>
    <row r="792" spans="1:22">
      <c r="A792" t="s">
        <v>782</v>
      </c>
      <c r="B792" s="3">
        <v>46184</v>
      </c>
      <c r="C792" t="s">
        <v>78</v>
      </c>
      <c r="D792" t="s">
        <v>161</v>
      </c>
      <c r="E792" t="s">
        <v>16</v>
      </c>
      <c r="F792" t="s">
        <v>17</v>
      </c>
      <c r="G792" t="s">
        <v>32</v>
      </c>
      <c r="H792" t="s">
        <v>19</v>
      </c>
      <c r="I792" t="s">
        <v>20</v>
      </c>
      <c r="J792">
        <v>300</v>
      </c>
      <c r="S792">
        <v>36</v>
      </c>
      <c r="T792">
        <v>0</v>
      </c>
      <c r="U792">
        <v>1</v>
      </c>
      <c r="V792">
        <v>0</v>
      </c>
    </row>
    <row r="793" spans="1:22">
      <c r="A793" t="s">
        <v>783</v>
      </c>
      <c r="B793" s="3">
        <v>46184</v>
      </c>
      <c r="C793" t="s">
        <v>78</v>
      </c>
      <c r="D793" t="s">
        <v>93</v>
      </c>
      <c r="E793" t="s">
        <v>16</v>
      </c>
      <c r="F793" t="s">
        <v>17</v>
      </c>
      <c r="G793" t="s">
        <v>23</v>
      </c>
      <c r="H793" t="s">
        <v>19</v>
      </c>
      <c r="I793" t="s">
        <v>20</v>
      </c>
      <c r="J793">
        <v>120</v>
      </c>
      <c r="S793">
        <v>9.6</v>
      </c>
      <c r="T793">
        <v>0</v>
      </c>
      <c r="U793">
        <v>1</v>
      </c>
      <c r="V793">
        <v>0</v>
      </c>
    </row>
    <row r="794" spans="1:22">
      <c r="A794" t="s">
        <v>784</v>
      </c>
      <c r="B794" s="3">
        <v>46184</v>
      </c>
      <c r="C794" t="s">
        <v>78</v>
      </c>
      <c r="D794" t="s">
        <v>81</v>
      </c>
      <c r="E794" t="s">
        <v>16</v>
      </c>
      <c r="F794" t="s">
        <v>35</v>
      </c>
      <c r="G794" t="s">
        <v>32</v>
      </c>
      <c r="H794" t="s">
        <v>24</v>
      </c>
      <c r="I794" t="s">
        <v>20</v>
      </c>
      <c r="J794">
        <v>300</v>
      </c>
      <c r="S794">
        <v>0</v>
      </c>
      <c r="T794">
        <v>0</v>
      </c>
      <c r="U794">
        <v>0</v>
      </c>
      <c r="V794">
        <v>0</v>
      </c>
    </row>
    <row r="795" spans="1:22">
      <c r="A795" t="s">
        <v>785</v>
      </c>
      <c r="B795" s="3">
        <v>46184</v>
      </c>
      <c r="C795" t="s">
        <v>78</v>
      </c>
      <c r="D795" t="s">
        <v>89</v>
      </c>
      <c r="E795" t="s">
        <v>16</v>
      </c>
      <c r="F795" t="s">
        <v>17</v>
      </c>
      <c r="G795" t="s">
        <v>18</v>
      </c>
      <c r="H795" t="s">
        <v>19</v>
      </c>
      <c r="I795" t="s">
        <v>20</v>
      </c>
      <c r="J795">
        <v>150</v>
      </c>
      <c r="L795" t="s">
        <v>29</v>
      </c>
      <c r="S795">
        <v>15</v>
      </c>
      <c r="T795">
        <v>0</v>
      </c>
      <c r="U795">
        <v>1</v>
      </c>
      <c r="V795">
        <v>0</v>
      </c>
    </row>
    <row r="796" spans="1:22">
      <c r="A796" t="s">
        <v>786</v>
      </c>
      <c r="B796" s="3">
        <v>46184</v>
      </c>
      <c r="C796" t="s">
        <v>78</v>
      </c>
      <c r="D796" t="s">
        <v>89</v>
      </c>
      <c r="E796" t="s">
        <v>16</v>
      </c>
      <c r="F796" t="s">
        <v>35</v>
      </c>
      <c r="G796" t="s">
        <v>23</v>
      </c>
      <c r="H796" t="s">
        <v>19</v>
      </c>
      <c r="I796" t="s">
        <v>20</v>
      </c>
      <c r="J796">
        <v>120</v>
      </c>
      <c r="S796">
        <v>3.6</v>
      </c>
      <c r="T796">
        <v>0</v>
      </c>
      <c r="U796">
        <v>0</v>
      </c>
      <c r="V796">
        <v>0</v>
      </c>
    </row>
    <row r="797" spans="1:22">
      <c r="A797" t="s">
        <v>787</v>
      </c>
      <c r="B797" s="3">
        <v>46184</v>
      </c>
      <c r="C797" t="s">
        <v>78</v>
      </c>
      <c r="D797" t="s">
        <v>85</v>
      </c>
      <c r="E797" t="s">
        <v>16</v>
      </c>
      <c r="F797" t="s">
        <v>35</v>
      </c>
      <c r="G797" t="s">
        <v>18</v>
      </c>
      <c r="H797" t="s">
        <v>19</v>
      </c>
      <c r="I797" t="s">
        <v>20</v>
      </c>
      <c r="J797">
        <v>200</v>
      </c>
      <c r="S797">
        <v>6</v>
      </c>
      <c r="T797">
        <v>0</v>
      </c>
      <c r="U797">
        <v>0</v>
      </c>
      <c r="V797">
        <v>0</v>
      </c>
    </row>
    <row r="798" spans="1:22">
      <c r="A798" t="s">
        <v>788</v>
      </c>
      <c r="B798" s="3">
        <v>46184</v>
      </c>
      <c r="C798" t="s">
        <v>78</v>
      </c>
      <c r="D798" t="s">
        <v>79</v>
      </c>
      <c r="E798" t="s">
        <v>16</v>
      </c>
      <c r="F798" t="s">
        <v>17</v>
      </c>
      <c r="G798" t="s">
        <v>32</v>
      </c>
      <c r="H798" t="s">
        <v>19</v>
      </c>
      <c r="I798" t="s">
        <v>20</v>
      </c>
      <c r="J798">
        <v>225</v>
      </c>
      <c r="L798" t="s">
        <v>29</v>
      </c>
      <c r="S798">
        <v>27</v>
      </c>
      <c r="T798">
        <v>0</v>
      </c>
      <c r="U798">
        <v>1</v>
      </c>
      <c r="V798">
        <v>0</v>
      </c>
    </row>
    <row r="799" spans="1:22">
      <c r="A799" t="s">
        <v>789</v>
      </c>
      <c r="B799" s="3">
        <v>46184</v>
      </c>
      <c r="C799" t="s">
        <v>105</v>
      </c>
      <c r="D799" t="s">
        <v>182</v>
      </c>
      <c r="E799" t="s">
        <v>16</v>
      </c>
      <c r="F799" t="s">
        <v>17</v>
      </c>
      <c r="G799" t="s">
        <v>32</v>
      </c>
      <c r="H799" t="s">
        <v>19</v>
      </c>
      <c r="I799" t="s">
        <v>20</v>
      </c>
      <c r="J799">
        <v>300</v>
      </c>
      <c r="S799">
        <v>36</v>
      </c>
      <c r="T799">
        <v>0</v>
      </c>
      <c r="U799">
        <v>1</v>
      </c>
      <c r="V799">
        <v>0</v>
      </c>
    </row>
    <row r="800" spans="1:22">
      <c r="A800" t="s">
        <v>790</v>
      </c>
      <c r="B800" s="3">
        <v>46184</v>
      </c>
      <c r="C800" t="s">
        <v>105</v>
      </c>
      <c r="D800" t="s">
        <v>112</v>
      </c>
      <c r="E800" t="s">
        <v>16</v>
      </c>
      <c r="F800" t="s">
        <v>35</v>
      </c>
      <c r="G800" t="s">
        <v>23</v>
      </c>
      <c r="H800" t="s">
        <v>19</v>
      </c>
      <c r="I800" t="s">
        <v>20</v>
      </c>
      <c r="J800">
        <v>120</v>
      </c>
      <c r="S800">
        <v>3.6</v>
      </c>
      <c r="T800">
        <v>0</v>
      </c>
      <c r="U800">
        <v>0</v>
      </c>
      <c r="V800">
        <v>0</v>
      </c>
    </row>
    <row r="801" spans="1:22">
      <c r="A801" t="s">
        <v>791</v>
      </c>
      <c r="B801" s="3">
        <v>46184</v>
      </c>
      <c r="C801" t="s">
        <v>105</v>
      </c>
      <c r="D801" t="s">
        <v>112</v>
      </c>
      <c r="E801" t="s">
        <v>16</v>
      </c>
      <c r="F801" t="s">
        <v>17</v>
      </c>
      <c r="G801" t="s">
        <v>18</v>
      </c>
      <c r="H801" t="s">
        <v>19</v>
      </c>
      <c r="I801" t="s">
        <v>20</v>
      </c>
      <c r="J801">
        <v>170</v>
      </c>
      <c r="L801" t="s">
        <v>29</v>
      </c>
      <c r="S801">
        <v>17</v>
      </c>
      <c r="T801">
        <v>0</v>
      </c>
      <c r="U801">
        <v>1</v>
      </c>
      <c r="V801">
        <v>0</v>
      </c>
    </row>
    <row r="802" spans="1:22">
      <c r="A802" t="s">
        <v>792</v>
      </c>
      <c r="B802" s="3">
        <v>46184</v>
      </c>
      <c r="C802" t="s">
        <v>105</v>
      </c>
      <c r="D802" t="s">
        <v>118</v>
      </c>
      <c r="E802" t="s">
        <v>16</v>
      </c>
      <c r="F802" t="s">
        <v>35</v>
      </c>
      <c r="G802" t="s">
        <v>18</v>
      </c>
      <c r="H802" t="s">
        <v>19</v>
      </c>
      <c r="I802" t="s">
        <v>20</v>
      </c>
      <c r="J802">
        <v>200</v>
      </c>
      <c r="S802">
        <v>6</v>
      </c>
      <c r="T802">
        <v>0</v>
      </c>
      <c r="U802">
        <v>0</v>
      </c>
      <c r="V802">
        <v>0</v>
      </c>
    </row>
    <row r="803" spans="1:22">
      <c r="A803" t="s">
        <v>793</v>
      </c>
      <c r="B803" s="3">
        <v>46184</v>
      </c>
      <c r="C803" t="s">
        <v>105</v>
      </c>
      <c r="D803" t="s">
        <v>116</v>
      </c>
      <c r="E803" t="s">
        <v>16</v>
      </c>
      <c r="F803" t="s">
        <v>17</v>
      </c>
      <c r="G803" t="s">
        <v>18</v>
      </c>
      <c r="H803" t="s">
        <v>19</v>
      </c>
      <c r="I803" t="s">
        <v>20</v>
      </c>
      <c r="J803">
        <v>200</v>
      </c>
      <c r="S803">
        <v>20</v>
      </c>
      <c r="T803">
        <v>0</v>
      </c>
      <c r="U803">
        <v>1</v>
      </c>
      <c r="V803">
        <v>0</v>
      </c>
    </row>
    <row r="804" spans="1:22">
      <c r="A804" t="s">
        <v>794</v>
      </c>
      <c r="B804" s="3">
        <v>46184</v>
      </c>
      <c r="C804" t="s">
        <v>105</v>
      </c>
      <c r="D804" t="s">
        <v>187</v>
      </c>
      <c r="E804" t="s">
        <v>16</v>
      </c>
      <c r="F804" t="s">
        <v>17</v>
      </c>
      <c r="G804" t="s">
        <v>32</v>
      </c>
      <c r="H804" t="s">
        <v>19</v>
      </c>
      <c r="I804" t="s">
        <v>20</v>
      </c>
      <c r="J804">
        <v>300</v>
      </c>
      <c r="S804">
        <v>36</v>
      </c>
      <c r="T804">
        <v>0</v>
      </c>
      <c r="U804">
        <v>1</v>
      </c>
      <c r="V804">
        <v>0</v>
      </c>
    </row>
    <row r="805" spans="1:22">
      <c r="A805" t="s">
        <v>795</v>
      </c>
      <c r="B805" s="3">
        <v>46184</v>
      </c>
      <c r="C805" t="s">
        <v>105</v>
      </c>
      <c r="D805" t="s">
        <v>182</v>
      </c>
      <c r="E805" t="s">
        <v>16</v>
      </c>
      <c r="F805" t="s">
        <v>17</v>
      </c>
      <c r="G805" t="s">
        <v>32</v>
      </c>
      <c r="H805" t="s">
        <v>19</v>
      </c>
      <c r="I805" t="s">
        <v>20</v>
      </c>
      <c r="J805">
        <v>300</v>
      </c>
      <c r="S805">
        <v>36</v>
      </c>
      <c r="T805">
        <v>0</v>
      </c>
      <c r="U805">
        <v>1</v>
      </c>
      <c r="V805">
        <v>0</v>
      </c>
    </row>
    <row r="806" spans="1:22">
      <c r="A806" t="s">
        <v>796</v>
      </c>
      <c r="B806" s="3">
        <v>46184</v>
      </c>
      <c r="C806" t="s">
        <v>105</v>
      </c>
      <c r="D806" t="s">
        <v>182</v>
      </c>
      <c r="E806" t="s">
        <v>16</v>
      </c>
      <c r="F806" t="s">
        <v>35</v>
      </c>
      <c r="G806" t="s">
        <v>23</v>
      </c>
      <c r="H806" t="s">
        <v>19</v>
      </c>
      <c r="I806" t="s">
        <v>20</v>
      </c>
      <c r="J806">
        <v>120</v>
      </c>
      <c r="S806">
        <v>3.6</v>
      </c>
      <c r="T806">
        <v>0</v>
      </c>
      <c r="U806">
        <v>0</v>
      </c>
      <c r="V806">
        <v>0</v>
      </c>
    </row>
    <row r="807" spans="1:22">
      <c r="A807" t="s">
        <v>797</v>
      </c>
      <c r="B807" s="3">
        <v>46184</v>
      </c>
      <c r="C807" t="s">
        <v>105</v>
      </c>
      <c r="D807" t="s">
        <v>112</v>
      </c>
      <c r="E807" t="s">
        <v>16</v>
      </c>
      <c r="F807" t="s">
        <v>17</v>
      </c>
      <c r="G807" t="s">
        <v>32</v>
      </c>
      <c r="H807" t="s">
        <v>19</v>
      </c>
      <c r="I807" t="s">
        <v>20</v>
      </c>
      <c r="J807">
        <v>225</v>
      </c>
      <c r="L807" t="s">
        <v>29</v>
      </c>
      <c r="S807">
        <v>27</v>
      </c>
      <c r="T807">
        <v>0</v>
      </c>
      <c r="U807">
        <v>1</v>
      </c>
      <c r="V807">
        <v>0</v>
      </c>
    </row>
    <row r="808" spans="1:22">
      <c r="A808" t="s">
        <v>798</v>
      </c>
      <c r="B808" s="3">
        <v>46184</v>
      </c>
      <c r="C808" t="s">
        <v>105</v>
      </c>
      <c r="D808" t="s">
        <v>116</v>
      </c>
      <c r="E808" t="s">
        <v>16</v>
      </c>
      <c r="F808" t="s">
        <v>17</v>
      </c>
      <c r="G808" t="s">
        <v>32</v>
      </c>
      <c r="H808" t="s">
        <v>19</v>
      </c>
      <c r="I808" t="s">
        <v>20</v>
      </c>
      <c r="J808">
        <v>300</v>
      </c>
      <c r="S808">
        <v>36</v>
      </c>
      <c r="T808">
        <v>0</v>
      </c>
      <c r="U808">
        <v>1</v>
      </c>
      <c r="V808">
        <v>0</v>
      </c>
    </row>
    <row r="809" spans="1:22">
      <c r="A809" t="s">
        <v>799</v>
      </c>
      <c r="B809" s="3">
        <v>46184</v>
      </c>
      <c r="C809" t="s">
        <v>105</v>
      </c>
      <c r="D809" t="s">
        <v>108</v>
      </c>
      <c r="E809" t="s">
        <v>16</v>
      </c>
      <c r="F809" t="s">
        <v>17</v>
      </c>
      <c r="G809" t="s">
        <v>23</v>
      </c>
      <c r="H809" t="s">
        <v>19</v>
      </c>
      <c r="I809" t="s">
        <v>20</v>
      </c>
      <c r="J809">
        <v>120</v>
      </c>
      <c r="S809">
        <v>9.6</v>
      </c>
      <c r="T809">
        <v>0</v>
      </c>
      <c r="U809">
        <v>1</v>
      </c>
      <c r="V809">
        <v>0</v>
      </c>
    </row>
    <row r="810" spans="1:22">
      <c r="A810" t="s">
        <v>800</v>
      </c>
      <c r="B810" s="3">
        <v>46184</v>
      </c>
      <c r="C810" t="s">
        <v>105</v>
      </c>
      <c r="D810" t="s">
        <v>120</v>
      </c>
      <c r="E810" t="s">
        <v>16</v>
      </c>
      <c r="F810" t="s">
        <v>17</v>
      </c>
      <c r="G810" t="s">
        <v>23</v>
      </c>
      <c r="H810" t="s">
        <v>19</v>
      </c>
      <c r="I810" t="s">
        <v>20</v>
      </c>
      <c r="J810">
        <v>120</v>
      </c>
      <c r="S810">
        <v>9.6</v>
      </c>
      <c r="T810">
        <v>0</v>
      </c>
      <c r="U810">
        <v>1</v>
      </c>
      <c r="V810">
        <v>0</v>
      </c>
    </row>
    <row r="811" spans="1:22">
      <c r="A811" t="s">
        <v>801</v>
      </c>
      <c r="B811" s="3">
        <v>46184</v>
      </c>
      <c r="C811" t="s">
        <v>105</v>
      </c>
      <c r="D811" t="s">
        <v>265</v>
      </c>
      <c r="E811" t="s">
        <v>16</v>
      </c>
      <c r="F811" t="s">
        <v>17</v>
      </c>
      <c r="G811" t="s">
        <v>23</v>
      </c>
      <c r="H811" t="s">
        <v>24</v>
      </c>
      <c r="I811" t="s">
        <v>20</v>
      </c>
      <c r="J811">
        <v>120</v>
      </c>
      <c r="S811">
        <v>0</v>
      </c>
      <c r="T811">
        <v>0</v>
      </c>
      <c r="U811">
        <v>0</v>
      </c>
      <c r="V811">
        <v>0</v>
      </c>
    </row>
    <row r="812" spans="1:22">
      <c r="A812" t="s">
        <v>803</v>
      </c>
      <c r="B812" s="3">
        <v>46185</v>
      </c>
      <c r="C812" t="s">
        <v>14</v>
      </c>
      <c r="D812" t="s">
        <v>15</v>
      </c>
      <c r="E812" t="s">
        <v>16</v>
      </c>
      <c r="F812" t="s">
        <v>17</v>
      </c>
      <c r="G812" t="s">
        <v>18</v>
      </c>
      <c r="H812" t="s">
        <v>19</v>
      </c>
      <c r="I812" t="s">
        <v>74</v>
      </c>
      <c r="J812">
        <v>200</v>
      </c>
      <c r="S812">
        <v>0</v>
      </c>
      <c r="T812">
        <v>0</v>
      </c>
      <c r="U812">
        <v>0</v>
      </c>
      <c r="V812">
        <v>0</v>
      </c>
    </row>
    <row r="813" spans="1:22">
      <c r="A813" t="s">
        <v>805</v>
      </c>
      <c r="B813" s="3">
        <v>46185</v>
      </c>
      <c r="C813" t="s">
        <v>14</v>
      </c>
      <c r="D813" t="s">
        <v>40</v>
      </c>
      <c r="E813" t="s">
        <v>16</v>
      </c>
      <c r="F813" t="s">
        <v>17</v>
      </c>
      <c r="G813" t="s">
        <v>32</v>
      </c>
      <c r="H813" t="s">
        <v>19</v>
      </c>
      <c r="I813" t="s">
        <v>20</v>
      </c>
      <c r="J813">
        <v>300</v>
      </c>
      <c r="S813">
        <v>36</v>
      </c>
      <c r="T813">
        <v>0</v>
      </c>
      <c r="U813">
        <v>1</v>
      </c>
      <c r="V813">
        <v>0</v>
      </c>
    </row>
    <row r="814" spans="1:22">
      <c r="A814" t="s">
        <v>806</v>
      </c>
      <c r="B814" s="3">
        <v>46185</v>
      </c>
      <c r="C814" t="s">
        <v>14</v>
      </c>
      <c r="D814" t="s">
        <v>210</v>
      </c>
      <c r="E814" t="s">
        <v>16</v>
      </c>
      <c r="F814" t="s">
        <v>17</v>
      </c>
      <c r="G814" t="s">
        <v>18</v>
      </c>
      <c r="H814" t="s">
        <v>19</v>
      </c>
      <c r="I814" t="s">
        <v>20</v>
      </c>
      <c r="J814">
        <v>200</v>
      </c>
      <c r="S814">
        <v>20</v>
      </c>
      <c r="T814">
        <v>0</v>
      </c>
      <c r="U814">
        <v>1</v>
      </c>
      <c r="V814">
        <v>0</v>
      </c>
    </row>
    <row r="815" spans="1:22">
      <c r="A815" t="s">
        <v>807</v>
      </c>
      <c r="B815" s="3">
        <v>46185</v>
      </c>
      <c r="C815" t="s">
        <v>14</v>
      </c>
      <c r="D815" t="s">
        <v>42</v>
      </c>
      <c r="E815" t="s">
        <v>16</v>
      </c>
      <c r="F815" t="s">
        <v>17</v>
      </c>
      <c r="G815" t="s">
        <v>32</v>
      </c>
      <c r="H815" t="s">
        <v>19</v>
      </c>
      <c r="I815" t="s">
        <v>20</v>
      </c>
      <c r="J815">
        <v>225</v>
      </c>
      <c r="L815" t="s">
        <v>29</v>
      </c>
      <c r="S815">
        <v>27</v>
      </c>
      <c r="T815">
        <v>0</v>
      </c>
      <c r="U815">
        <v>1</v>
      </c>
      <c r="V815">
        <v>0</v>
      </c>
    </row>
    <row r="816" spans="1:22">
      <c r="A816" t="s">
        <v>808</v>
      </c>
      <c r="B816" s="3">
        <v>46185</v>
      </c>
      <c r="C816" t="s">
        <v>14</v>
      </c>
      <c r="D816" t="s">
        <v>40</v>
      </c>
      <c r="E816" t="s">
        <v>16</v>
      </c>
      <c r="F816" t="s">
        <v>17</v>
      </c>
      <c r="G816" t="s">
        <v>32</v>
      </c>
      <c r="H816" t="s">
        <v>19</v>
      </c>
      <c r="I816" t="s">
        <v>20</v>
      </c>
      <c r="J816">
        <v>300</v>
      </c>
      <c r="S816">
        <v>36</v>
      </c>
      <c r="T816">
        <v>0</v>
      </c>
      <c r="U816">
        <v>1</v>
      </c>
      <c r="V816">
        <v>0</v>
      </c>
    </row>
    <row r="817" spans="1:22">
      <c r="A817" t="s">
        <v>809</v>
      </c>
      <c r="B817" s="3">
        <v>46185</v>
      </c>
      <c r="C817" t="s">
        <v>14</v>
      </c>
      <c r="D817" t="s">
        <v>42</v>
      </c>
      <c r="E817" t="s">
        <v>16</v>
      </c>
      <c r="F817" t="s">
        <v>17</v>
      </c>
      <c r="G817" t="s">
        <v>32</v>
      </c>
      <c r="H817" t="s">
        <v>24</v>
      </c>
      <c r="I817" t="s">
        <v>20</v>
      </c>
      <c r="J817">
        <v>300</v>
      </c>
      <c r="S817">
        <v>0</v>
      </c>
      <c r="T817">
        <v>0</v>
      </c>
      <c r="U817">
        <v>0</v>
      </c>
      <c r="V817">
        <v>0</v>
      </c>
    </row>
    <row r="818" spans="1:22">
      <c r="A818" t="s">
        <v>810</v>
      </c>
      <c r="B818" s="3">
        <v>46185</v>
      </c>
      <c r="C818" t="s">
        <v>14</v>
      </c>
      <c r="D818" t="s">
        <v>37</v>
      </c>
      <c r="E818" t="s">
        <v>16</v>
      </c>
      <c r="F818" t="s">
        <v>17</v>
      </c>
      <c r="G818" t="s">
        <v>18</v>
      </c>
      <c r="H818" t="s">
        <v>24</v>
      </c>
      <c r="I818" t="s">
        <v>20</v>
      </c>
      <c r="J818">
        <v>170</v>
      </c>
      <c r="L818" t="s">
        <v>29</v>
      </c>
      <c r="S818">
        <v>0</v>
      </c>
      <c r="T818">
        <v>0</v>
      </c>
      <c r="U818">
        <v>0</v>
      </c>
      <c r="V818">
        <v>0</v>
      </c>
    </row>
    <row r="819" spans="1:22">
      <c r="A819" t="s">
        <v>811</v>
      </c>
      <c r="B819" s="3">
        <v>46185</v>
      </c>
      <c r="C819" t="s">
        <v>14</v>
      </c>
      <c r="D819" t="s">
        <v>42</v>
      </c>
      <c r="E819" t="s">
        <v>16</v>
      </c>
      <c r="F819" t="s">
        <v>17</v>
      </c>
      <c r="G819" t="s">
        <v>18</v>
      </c>
      <c r="H819" t="s">
        <v>19</v>
      </c>
      <c r="I819" t="s">
        <v>20</v>
      </c>
      <c r="J819">
        <v>200</v>
      </c>
      <c r="S819">
        <v>20</v>
      </c>
      <c r="T819">
        <v>0</v>
      </c>
      <c r="U819">
        <v>1</v>
      </c>
      <c r="V819">
        <v>0</v>
      </c>
    </row>
    <row r="820" spans="1:22">
      <c r="A820" t="s">
        <v>812</v>
      </c>
      <c r="B820" s="3">
        <v>46185</v>
      </c>
      <c r="C820" t="s">
        <v>14</v>
      </c>
      <c r="D820" t="s">
        <v>34</v>
      </c>
      <c r="E820" t="s">
        <v>16</v>
      </c>
      <c r="F820" t="s">
        <v>17</v>
      </c>
      <c r="G820" t="s">
        <v>32</v>
      </c>
      <c r="H820" t="s">
        <v>19</v>
      </c>
      <c r="I820" t="s">
        <v>20</v>
      </c>
      <c r="J820">
        <v>255</v>
      </c>
      <c r="L820" t="s">
        <v>29</v>
      </c>
      <c r="S820">
        <v>30.6</v>
      </c>
      <c r="T820">
        <v>0</v>
      </c>
      <c r="U820">
        <v>1</v>
      </c>
      <c r="V820">
        <v>0</v>
      </c>
    </row>
    <row r="821" spans="1:22">
      <c r="A821" t="s">
        <v>813</v>
      </c>
      <c r="B821" s="3">
        <v>46185</v>
      </c>
      <c r="C821" t="s">
        <v>14</v>
      </c>
      <c r="D821" t="s">
        <v>28</v>
      </c>
      <c r="E821" t="s">
        <v>16</v>
      </c>
      <c r="F821" t="s">
        <v>17</v>
      </c>
      <c r="G821" t="s">
        <v>23</v>
      </c>
      <c r="H821" t="s">
        <v>19</v>
      </c>
      <c r="I821" t="s">
        <v>20</v>
      </c>
      <c r="J821">
        <v>120</v>
      </c>
      <c r="S821">
        <v>9.6</v>
      </c>
      <c r="T821">
        <v>0</v>
      </c>
      <c r="U821">
        <v>1</v>
      </c>
      <c r="V821">
        <v>0</v>
      </c>
    </row>
    <row r="822" spans="1:22">
      <c r="A822" t="s">
        <v>814</v>
      </c>
      <c r="B822" s="3">
        <v>46185</v>
      </c>
      <c r="C822" t="s">
        <v>14</v>
      </c>
      <c r="D822" t="s">
        <v>15</v>
      </c>
      <c r="E822" t="s">
        <v>16</v>
      </c>
      <c r="F822" t="s">
        <v>35</v>
      </c>
      <c r="G822" t="s">
        <v>23</v>
      </c>
      <c r="H822" t="s">
        <v>19</v>
      </c>
      <c r="I822" t="s">
        <v>20</v>
      </c>
      <c r="J822">
        <v>120</v>
      </c>
      <c r="S822">
        <v>3.6</v>
      </c>
      <c r="T822">
        <v>0</v>
      </c>
      <c r="U822">
        <v>0</v>
      </c>
      <c r="V822">
        <v>0</v>
      </c>
    </row>
    <row r="823" spans="1:22">
      <c r="A823" t="s">
        <v>815</v>
      </c>
      <c r="B823" s="3">
        <v>46185</v>
      </c>
      <c r="C823" t="s">
        <v>14</v>
      </c>
      <c r="D823" t="s">
        <v>15</v>
      </c>
      <c r="E823" t="s">
        <v>16</v>
      </c>
      <c r="F823" t="s">
        <v>17</v>
      </c>
      <c r="G823" t="s">
        <v>18</v>
      </c>
      <c r="H823" t="s">
        <v>19</v>
      </c>
      <c r="I823" t="s">
        <v>20</v>
      </c>
      <c r="J823">
        <v>200</v>
      </c>
      <c r="S823">
        <v>20</v>
      </c>
      <c r="T823">
        <v>0</v>
      </c>
      <c r="U823">
        <v>1</v>
      </c>
      <c r="V823">
        <v>0</v>
      </c>
    </row>
    <row r="824" spans="1:22">
      <c r="A824" t="s">
        <v>816</v>
      </c>
      <c r="B824" s="3">
        <v>46185</v>
      </c>
      <c r="C824" t="s">
        <v>14</v>
      </c>
      <c r="D824" t="s">
        <v>40</v>
      </c>
      <c r="E824" t="s">
        <v>16</v>
      </c>
      <c r="F824" t="s">
        <v>17</v>
      </c>
      <c r="G824" t="s">
        <v>18</v>
      </c>
      <c r="H824" t="s">
        <v>19</v>
      </c>
      <c r="I824" t="s">
        <v>20</v>
      </c>
      <c r="J824">
        <v>200</v>
      </c>
      <c r="S824">
        <v>20</v>
      </c>
      <c r="T824">
        <v>0</v>
      </c>
      <c r="U824">
        <v>1</v>
      </c>
      <c r="V824">
        <v>0</v>
      </c>
    </row>
    <row r="825" spans="1:22">
      <c r="A825" t="s">
        <v>817</v>
      </c>
      <c r="B825" s="3">
        <v>46185</v>
      </c>
      <c r="C825" t="s">
        <v>14</v>
      </c>
      <c r="D825" t="s">
        <v>22</v>
      </c>
      <c r="E825" t="s">
        <v>16</v>
      </c>
      <c r="F825" t="s">
        <v>17</v>
      </c>
      <c r="G825" t="s">
        <v>32</v>
      </c>
      <c r="H825" t="s">
        <v>19</v>
      </c>
      <c r="I825" t="s">
        <v>20</v>
      </c>
      <c r="J825">
        <v>255</v>
      </c>
      <c r="L825" t="s">
        <v>29</v>
      </c>
      <c r="S825">
        <v>30.6</v>
      </c>
      <c r="T825">
        <v>0</v>
      </c>
      <c r="U825">
        <v>1</v>
      </c>
      <c r="V825">
        <v>0</v>
      </c>
    </row>
    <row r="826" spans="1:22">
      <c r="A826" t="s">
        <v>818</v>
      </c>
      <c r="B826" s="3">
        <v>46185</v>
      </c>
      <c r="C826" t="s">
        <v>14</v>
      </c>
      <c r="D826" t="s">
        <v>28</v>
      </c>
      <c r="E826" t="s">
        <v>16</v>
      </c>
      <c r="F826" t="s">
        <v>17</v>
      </c>
      <c r="G826" t="s">
        <v>32</v>
      </c>
      <c r="H826" t="s">
        <v>24</v>
      </c>
      <c r="I826" t="s">
        <v>20</v>
      </c>
      <c r="J826">
        <v>300</v>
      </c>
      <c r="S826">
        <v>0</v>
      </c>
      <c r="T826">
        <v>0</v>
      </c>
      <c r="U826">
        <v>0</v>
      </c>
      <c r="V826">
        <v>0</v>
      </c>
    </row>
    <row r="827" spans="1:22">
      <c r="A827" t="s">
        <v>819</v>
      </c>
      <c r="B827" s="3">
        <v>46185</v>
      </c>
      <c r="C827" t="s">
        <v>14</v>
      </c>
      <c r="D827" t="s">
        <v>37</v>
      </c>
      <c r="E827" t="s">
        <v>16</v>
      </c>
      <c r="F827" t="s">
        <v>17</v>
      </c>
      <c r="G827" t="s">
        <v>23</v>
      </c>
      <c r="H827" t="s">
        <v>19</v>
      </c>
      <c r="I827" t="s">
        <v>20</v>
      </c>
      <c r="J827">
        <v>120</v>
      </c>
      <c r="S827">
        <v>9.6</v>
      </c>
      <c r="T827">
        <v>0</v>
      </c>
      <c r="U827">
        <v>1</v>
      </c>
      <c r="V827">
        <v>0</v>
      </c>
    </row>
    <row r="828" spans="1:22">
      <c r="A828" t="s">
        <v>820</v>
      </c>
      <c r="B828" s="3">
        <v>46185</v>
      </c>
      <c r="C828" t="s">
        <v>14</v>
      </c>
      <c r="D828" t="s">
        <v>40</v>
      </c>
      <c r="E828" t="s">
        <v>16</v>
      </c>
      <c r="F828" t="s">
        <v>35</v>
      </c>
      <c r="G828" t="s">
        <v>18</v>
      </c>
      <c r="H828" t="s">
        <v>19</v>
      </c>
      <c r="I828" t="s">
        <v>53</v>
      </c>
      <c r="J828">
        <v>200</v>
      </c>
      <c r="S828">
        <v>0</v>
      </c>
      <c r="T828">
        <v>0</v>
      </c>
      <c r="U828">
        <v>0</v>
      </c>
      <c r="V828">
        <v>0</v>
      </c>
    </row>
    <row r="829" spans="1:22">
      <c r="A829" t="s">
        <v>821</v>
      </c>
      <c r="B829" s="3">
        <v>46185</v>
      </c>
      <c r="C829" t="s">
        <v>14</v>
      </c>
      <c r="D829" t="s">
        <v>210</v>
      </c>
      <c r="E829" t="s">
        <v>16</v>
      </c>
      <c r="F829" t="s">
        <v>17</v>
      </c>
      <c r="G829" t="s">
        <v>32</v>
      </c>
      <c r="H829" t="s">
        <v>19</v>
      </c>
      <c r="I829" t="s">
        <v>20</v>
      </c>
      <c r="J829">
        <v>300</v>
      </c>
      <c r="S829">
        <v>36</v>
      </c>
      <c r="T829">
        <v>0</v>
      </c>
      <c r="U829">
        <v>1</v>
      </c>
      <c r="V829">
        <v>0</v>
      </c>
    </row>
    <row r="830" spans="1:22">
      <c r="A830" t="s">
        <v>822</v>
      </c>
      <c r="B830" s="3">
        <v>46185</v>
      </c>
      <c r="C830" t="s">
        <v>14</v>
      </c>
      <c r="D830" t="s">
        <v>22</v>
      </c>
      <c r="E830" t="s">
        <v>16</v>
      </c>
      <c r="F830" t="s">
        <v>17</v>
      </c>
      <c r="G830" t="s">
        <v>32</v>
      </c>
      <c r="H830" t="s">
        <v>19</v>
      </c>
      <c r="I830" t="s">
        <v>20</v>
      </c>
      <c r="J830">
        <v>300</v>
      </c>
      <c r="S830">
        <v>36</v>
      </c>
      <c r="T830">
        <v>0</v>
      </c>
      <c r="U830">
        <v>1</v>
      </c>
      <c r="V830">
        <v>0</v>
      </c>
    </row>
    <row r="831" spans="1:22">
      <c r="A831" t="s">
        <v>823</v>
      </c>
      <c r="B831" s="3">
        <v>46185</v>
      </c>
      <c r="C831" t="s">
        <v>47</v>
      </c>
      <c r="D831" t="s">
        <v>59</v>
      </c>
      <c r="E831" t="s">
        <v>16</v>
      </c>
      <c r="F831" t="s">
        <v>35</v>
      </c>
      <c r="G831" t="s">
        <v>23</v>
      </c>
      <c r="H831" t="s">
        <v>19</v>
      </c>
      <c r="I831" t="s">
        <v>20</v>
      </c>
      <c r="J831">
        <v>102</v>
      </c>
      <c r="L831" t="s">
        <v>29</v>
      </c>
      <c r="S831">
        <v>3.06</v>
      </c>
      <c r="T831">
        <v>0</v>
      </c>
      <c r="U831">
        <v>0</v>
      </c>
      <c r="V831">
        <v>0</v>
      </c>
    </row>
    <row r="832" spans="1:22">
      <c r="A832" t="s">
        <v>824</v>
      </c>
      <c r="B832" s="3">
        <v>46185</v>
      </c>
      <c r="C832" t="s">
        <v>47</v>
      </c>
      <c r="D832" t="s">
        <v>64</v>
      </c>
      <c r="E832" t="s">
        <v>16</v>
      </c>
      <c r="F832" t="s">
        <v>17</v>
      </c>
      <c r="G832" t="s">
        <v>18</v>
      </c>
      <c r="H832" t="s">
        <v>19</v>
      </c>
      <c r="I832" t="s">
        <v>20</v>
      </c>
      <c r="J832">
        <v>200</v>
      </c>
      <c r="S832">
        <v>20</v>
      </c>
      <c r="T832">
        <v>0</v>
      </c>
      <c r="U832">
        <v>1</v>
      </c>
      <c r="V832">
        <v>0</v>
      </c>
    </row>
    <row r="833" spans="1:22">
      <c r="A833" t="s">
        <v>825</v>
      </c>
      <c r="B833" s="3">
        <v>46185</v>
      </c>
      <c r="C833" t="s">
        <v>47</v>
      </c>
      <c r="D833" t="s">
        <v>152</v>
      </c>
      <c r="E833" t="s">
        <v>16</v>
      </c>
      <c r="F833" t="s">
        <v>17</v>
      </c>
      <c r="G833" t="s">
        <v>32</v>
      </c>
      <c r="H833" t="s">
        <v>19</v>
      </c>
      <c r="I833" t="s">
        <v>20</v>
      </c>
      <c r="J833">
        <v>300</v>
      </c>
      <c r="S833">
        <v>36</v>
      </c>
      <c r="T833">
        <v>0</v>
      </c>
      <c r="U833">
        <v>1</v>
      </c>
      <c r="V833">
        <v>0</v>
      </c>
    </row>
    <row r="834" spans="1:22">
      <c r="A834" t="s">
        <v>826</v>
      </c>
      <c r="B834" s="3">
        <v>46185</v>
      </c>
      <c r="C834" t="s">
        <v>47</v>
      </c>
      <c r="D834" t="s">
        <v>48</v>
      </c>
      <c r="E834" t="s">
        <v>16</v>
      </c>
      <c r="F834" t="s">
        <v>35</v>
      </c>
      <c r="G834" t="s">
        <v>23</v>
      </c>
      <c r="H834" t="s">
        <v>19</v>
      </c>
      <c r="I834" t="s">
        <v>20</v>
      </c>
      <c r="J834">
        <v>90</v>
      </c>
      <c r="L834" t="s">
        <v>29</v>
      </c>
      <c r="S834">
        <v>2.7</v>
      </c>
      <c r="T834">
        <v>0</v>
      </c>
      <c r="U834">
        <v>0</v>
      </c>
      <c r="V834">
        <v>0</v>
      </c>
    </row>
    <row r="835" spans="1:22">
      <c r="A835" t="s">
        <v>827</v>
      </c>
      <c r="B835" s="3">
        <v>46185</v>
      </c>
      <c r="C835" t="s">
        <v>47</v>
      </c>
      <c r="D835" t="s">
        <v>148</v>
      </c>
      <c r="E835" t="s">
        <v>16</v>
      </c>
      <c r="F835" t="s">
        <v>17</v>
      </c>
      <c r="G835" t="s">
        <v>32</v>
      </c>
      <c r="H835" t="s">
        <v>19</v>
      </c>
      <c r="I835" t="s">
        <v>20</v>
      </c>
      <c r="J835">
        <v>300</v>
      </c>
      <c r="S835">
        <v>36</v>
      </c>
      <c r="T835">
        <v>0</v>
      </c>
      <c r="U835">
        <v>1</v>
      </c>
      <c r="V835">
        <v>0</v>
      </c>
    </row>
    <row r="836" spans="1:22">
      <c r="A836" t="s">
        <v>828</v>
      </c>
      <c r="B836" s="3">
        <v>46185</v>
      </c>
      <c r="C836" t="s">
        <v>47</v>
      </c>
      <c r="D836" t="s">
        <v>59</v>
      </c>
      <c r="E836" t="s">
        <v>16</v>
      </c>
      <c r="F836" t="s">
        <v>17</v>
      </c>
      <c r="G836" t="s">
        <v>32</v>
      </c>
      <c r="H836" t="s">
        <v>19</v>
      </c>
      <c r="I836" t="s">
        <v>20</v>
      </c>
      <c r="J836">
        <v>300</v>
      </c>
      <c r="S836">
        <v>36</v>
      </c>
      <c r="T836">
        <v>0</v>
      </c>
      <c r="U836">
        <v>1</v>
      </c>
      <c r="V836">
        <v>0</v>
      </c>
    </row>
    <row r="837" spans="1:22">
      <c r="A837" t="s">
        <v>829</v>
      </c>
      <c r="B837" s="3">
        <v>46185</v>
      </c>
      <c r="C837" t="s">
        <v>47</v>
      </c>
      <c r="D837" t="s">
        <v>50</v>
      </c>
      <c r="E837" t="s">
        <v>16</v>
      </c>
      <c r="F837" t="s">
        <v>17</v>
      </c>
      <c r="G837" t="s">
        <v>18</v>
      </c>
      <c r="H837" t="s">
        <v>19</v>
      </c>
      <c r="I837" t="s">
        <v>20</v>
      </c>
      <c r="J837">
        <v>200</v>
      </c>
      <c r="S837">
        <v>20</v>
      </c>
      <c r="T837">
        <v>0</v>
      </c>
      <c r="U837">
        <v>1</v>
      </c>
      <c r="V837">
        <v>0</v>
      </c>
    </row>
    <row r="838" spans="1:22">
      <c r="A838" t="s">
        <v>830</v>
      </c>
      <c r="B838" s="3">
        <v>46185</v>
      </c>
      <c r="C838" t="s">
        <v>47</v>
      </c>
      <c r="D838" t="s">
        <v>52</v>
      </c>
      <c r="E838" t="s">
        <v>16</v>
      </c>
      <c r="F838" t="s">
        <v>17</v>
      </c>
      <c r="G838" t="s">
        <v>18</v>
      </c>
      <c r="H838" t="s">
        <v>24</v>
      </c>
      <c r="I838" t="s">
        <v>20</v>
      </c>
      <c r="J838">
        <v>200</v>
      </c>
      <c r="S838">
        <v>0</v>
      </c>
      <c r="T838">
        <v>0</v>
      </c>
      <c r="U838">
        <v>0</v>
      </c>
      <c r="V838">
        <v>0</v>
      </c>
    </row>
    <row r="839" spans="1:22">
      <c r="A839" t="s">
        <v>831</v>
      </c>
      <c r="B839" s="3">
        <v>46185</v>
      </c>
      <c r="C839" t="s">
        <v>47</v>
      </c>
      <c r="D839" t="s">
        <v>59</v>
      </c>
      <c r="E839" t="s">
        <v>16</v>
      </c>
      <c r="F839" t="s">
        <v>17</v>
      </c>
      <c r="G839" t="s">
        <v>18</v>
      </c>
      <c r="H839" t="s">
        <v>19</v>
      </c>
      <c r="I839" t="s">
        <v>20</v>
      </c>
      <c r="J839">
        <v>200</v>
      </c>
      <c r="S839">
        <v>20</v>
      </c>
      <c r="T839">
        <v>0</v>
      </c>
      <c r="U839">
        <v>1</v>
      </c>
      <c r="V839">
        <v>0</v>
      </c>
    </row>
    <row r="840" spans="1:22">
      <c r="A840" t="s">
        <v>832</v>
      </c>
      <c r="B840" s="3">
        <v>46185</v>
      </c>
      <c r="C840" t="s">
        <v>47</v>
      </c>
      <c r="D840" t="s">
        <v>55</v>
      </c>
      <c r="E840" t="s">
        <v>16</v>
      </c>
      <c r="F840" t="s">
        <v>17</v>
      </c>
      <c r="G840" t="s">
        <v>32</v>
      </c>
      <c r="H840" t="s">
        <v>19</v>
      </c>
      <c r="I840" t="s">
        <v>20</v>
      </c>
      <c r="J840">
        <v>300</v>
      </c>
      <c r="S840">
        <v>36</v>
      </c>
      <c r="T840">
        <v>0</v>
      </c>
      <c r="U840">
        <v>1</v>
      </c>
      <c r="V840">
        <v>0</v>
      </c>
    </row>
    <row r="841" spans="1:22">
      <c r="A841" t="s">
        <v>833</v>
      </c>
      <c r="B841" s="3">
        <v>46185</v>
      </c>
      <c r="C841" t="s">
        <v>47</v>
      </c>
      <c r="D841" t="s">
        <v>73</v>
      </c>
      <c r="E841" t="s">
        <v>16</v>
      </c>
      <c r="F841" t="s">
        <v>17</v>
      </c>
      <c r="G841" t="s">
        <v>32</v>
      </c>
      <c r="H841" t="s">
        <v>19</v>
      </c>
      <c r="I841" t="s">
        <v>20</v>
      </c>
      <c r="J841">
        <v>225</v>
      </c>
      <c r="L841" t="s">
        <v>29</v>
      </c>
      <c r="S841">
        <v>27</v>
      </c>
      <c r="T841">
        <v>0</v>
      </c>
      <c r="U841">
        <v>1</v>
      </c>
      <c r="V841">
        <v>0</v>
      </c>
    </row>
    <row r="842" spans="1:22">
      <c r="A842" t="s">
        <v>834</v>
      </c>
      <c r="B842" s="3">
        <v>46185</v>
      </c>
      <c r="C842" t="s">
        <v>47</v>
      </c>
      <c r="D842" t="s">
        <v>62</v>
      </c>
      <c r="E842" t="s">
        <v>16</v>
      </c>
      <c r="F842" t="s">
        <v>17</v>
      </c>
      <c r="G842" t="s">
        <v>32</v>
      </c>
      <c r="H842" t="s">
        <v>19</v>
      </c>
      <c r="I842" t="s">
        <v>20</v>
      </c>
      <c r="J842">
        <v>300</v>
      </c>
      <c r="S842">
        <v>36</v>
      </c>
      <c r="T842">
        <v>0</v>
      </c>
      <c r="U842">
        <v>1</v>
      </c>
      <c r="V842">
        <v>0</v>
      </c>
    </row>
    <row r="843" spans="1:22">
      <c r="A843" t="s">
        <v>835</v>
      </c>
      <c r="B843" s="3">
        <v>46185</v>
      </c>
      <c r="C843" t="s">
        <v>47</v>
      </c>
      <c r="D843" t="s">
        <v>59</v>
      </c>
      <c r="E843" t="s">
        <v>16</v>
      </c>
      <c r="F843" t="s">
        <v>17</v>
      </c>
      <c r="G843" t="s">
        <v>23</v>
      </c>
      <c r="H843" t="s">
        <v>19</v>
      </c>
      <c r="I843" t="s">
        <v>20</v>
      </c>
      <c r="J843">
        <v>120</v>
      </c>
      <c r="S843">
        <v>9.6</v>
      </c>
      <c r="T843">
        <v>0</v>
      </c>
      <c r="U843">
        <v>1</v>
      </c>
      <c r="V843">
        <v>0</v>
      </c>
    </row>
    <row r="844" spans="1:22">
      <c r="A844" t="s">
        <v>836</v>
      </c>
      <c r="B844" s="3">
        <v>46185</v>
      </c>
      <c r="C844" t="s">
        <v>47</v>
      </c>
      <c r="D844" t="s">
        <v>59</v>
      </c>
      <c r="E844" t="s">
        <v>16</v>
      </c>
      <c r="F844" t="s">
        <v>35</v>
      </c>
      <c r="G844" t="s">
        <v>18</v>
      </c>
      <c r="H844" t="s">
        <v>19</v>
      </c>
      <c r="I844" t="s">
        <v>20</v>
      </c>
      <c r="J844">
        <v>170</v>
      </c>
      <c r="L844" t="s">
        <v>29</v>
      </c>
      <c r="S844">
        <v>5.0999999999999996</v>
      </c>
      <c r="T844">
        <v>0</v>
      </c>
      <c r="U844">
        <v>0</v>
      </c>
      <c r="V844">
        <v>0</v>
      </c>
    </row>
    <row r="845" spans="1:22">
      <c r="A845" t="s">
        <v>837</v>
      </c>
      <c r="B845" s="3">
        <v>46185</v>
      </c>
      <c r="C845" t="s">
        <v>47</v>
      </c>
      <c r="D845" t="s">
        <v>50</v>
      </c>
      <c r="E845" t="s">
        <v>16</v>
      </c>
      <c r="F845" t="s">
        <v>17</v>
      </c>
      <c r="G845" t="s">
        <v>18</v>
      </c>
      <c r="H845" t="s">
        <v>19</v>
      </c>
      <c r="I845" t="s">
        <v>20</v>
      </c>
      <c r="J845">
        <v>200</v>
      </c>
      <c r="S845">
        <v>20</v>
      </c>
      <c r="T845">
        <v>0</v>
      </c>
      <c r="U845">
        <v>1</v>
      </c>
      <c r="V845">
        <v>0</v>
      </c>
    </row>
    <row r="846" spans="1:22">
      <c r="A846" t="s">
        <v>838</v>
      </c>
      <c r="B846" s="3">
        <v>46185</v>
      </c>
      <c r="C846" t="s">
        <v>47</v>
      </c>
      <c r="D846" t="s">
        <v>48</v>
      </c>
      <c r="E846" t="s">
        <v>16</v>
      </c>
      <c r="F846" t="s">
        <v>17</v>
      </c>
      <c r="G846" t="s">
        <v>23</v>
      </c>
      <c r="H846" t="s">
        <v>19</v>
      </c>
      <c r="I846" t="s">
        <v>20</v>
      </c>
      <c r="J846">
        <v>90</v>
      </c>
      <c r="L846" t="s">
        <v>29</v>
      </c>
      <c r="S846">
        <v>7.2</v>
      </c>
      <c r="T846">
        <v>0</v>
      </c>
      <c r="U846">
        <v>1</v>
      </c>
      <c r="V846">
        <v>0</v>
      </c>
    </row>
    <row r="847" spans="1:22">
      <c r="A847" t="s">
        <v>839</v>
      </c>
      <c r="B847" s="3">
        <v>46185</v>
      </c>
      <c r="C847" t="s">
        <v>47</v>
      </c>
      <c r="D847" t="s">
        <v>64</v>
      </c>
      <c r="E847" t="s">
        <v>16</v>
      </c>
      <c r="F847" t="s">
        <v>17</v>
      </c>
      <c r="G847" t="s">
        <v>18</v>
      </c>
      <c r="H847" t="s">
        <v>19</v>
      </c>
      <c r="I847" t="s">
        <v>20</v>
      </c>
      <c r="J847">
        <v>200</v>
      </c>
      <c r="S847">
        <v>20</v>
      </c>
      <c r="T847">
        <v>0</v>
      </c>
      <c r="U847">
        <v>1</v>
      </c>
      <c r="V847">
        <v>0</v>
      </c>
    </row>
    <row r="848" spans="1:22">
      <c r="A848" t="s">
        <v>840</v>
      </c>
      <c r="B848" s="3">
        <v>46185</v>
      </c>
      <c r="C848" t="s">
        <v>78</v>
      </c>
      <c r="D848" t="s">
        <v>93</v>
      </c>
      <c r="E848" t="s">
        <v>16</v>
      </c>
      <c r="F848" t="s">
        <v>17</v>
      </c>
      <c r="G848" t="s">
        <v>18</v>
      </c>
      <c r="H848" t="s">
        <v>19</v>
      </c>
      <c r="I848" t="s">
        <v>20</v>
      </c>
      <c r="J848">
        <v>200</v>
      </c>
      <c r="S848">
        <v>20</v>
      </c>
      <c r="T848">
        <v>0</v>
      </c>
      <c r="U848">
        <v>1</v>
      </c>
      <c r="V848">
        <v>0</v>
      </c>
    </row>
    <row r="849" spans="1:22">
      <c r="A849" t="s">
        <v>841</v>
      </c>
      <c r="B849" s="3">
        <v>46185</v>
      </c>
      <c r="C849" t="s">
        <v>78</v>
      </c>
      <c r="D849" t="s">
        <v>93</v>
      </c>
      <c r="E849" t="s">
        <v>16</v>
      </c>
      <c r="F849" t="s">
        <v>17</v>
      </c>
      <c r="G849" t="s">
        <v>23</v>
      </c>
      <c r="H849" t="s">
        <v>19</v>
      </c>
      <c r="I849" t="s">
        <v>20</v>
      </c>
      <c r="J849">
        <v>120</v>
      </c>
      <c r="S849">
        <v>9.6</v>
      </c>
      <c r="T849">
        <v>0</v>
      </c>
      <c r="U849">
        <v>1</v>
      </c>
      <c r="V849">
        <v>0</v>
      </c>
    </row>
    <row r="850" spans="1:22">
      <c r="A850" t="s">
        <v>842</v>
      </c>
      <c r="B850" s="3">
        <v>46185</v>
      </c>
      <c r="C850" t="s">
        <v>78</v>
      </c>
      <c r="D850" t="s">
        <v>89</v>
      </c>
      <c r="E850" t="s">
        <v>16</v>
      </c>
      <c r="F850" t="s">
        <v>17</v>
      </c>
      <c r="G850" t="s">
        <v>23</v>
      </c>
      <c r="H850" t="s">
        <v>19</v>
      </c>
      <c r="I850" t="s">
        <v>20</v>
      </c>
      <c r="J850">
        <v>120</v>
      </c>
      <c r="S850">
        <v>9.6</v>
      </c>
      <c r="T850">
        <v>0</v>
      </c>
      <c r="U850">
        <v>1</v>
      </c>
      <c r="V850">
        <v>0</v>
      </c>
    </row>
    <row r="851" spans="1:22">
      <c r="A851" t="s">
        <v>843</v>
      </c>
      <c r="B851" s="3">
        <v>46185</v>
      </c>
      <c r="C851" t="s">
        <v>78</v>
      </c>
      <c r="D851" t="s">
        <v>89</v>
      </c>
      <c r="E851" t="s">
        <v>16</v>
      </c>
      <c r="F851" t="s">
        <v>17</v>
      </c>
      <c r="G851" t="s">
        <v>18</v>
      </c>
      <c r="H851" t="s">
        <v>19</v>
      </c>
      <c r="I851" t="s">
        <v>20</v>
      </c>
      <c r="J851">
        <v>200</v>
      </c>
      <c r="S851">
        <v>20</v>
      </c>
      <c r="T851">
        <v>0</v>
      </c>
      <c r="U851">
        <v>1</v>
      </c>
      <c r="V851">
        <v>0</v>
      </c>
    </row>
    <row r="852" spans="1:22">
      <c r="A852" t="s">
        <v>844</v>
      </c>
      <c r="B852" s="3">
        <v>46185</v>
      </c>
      <c r="C852" t="s">
        <v>78</v>
      </c>
      <c r="D852" t="s">
        <v>85</v>
      </c>
      <c r="E852" t="s">
        <v>16</v>
      </c>
      <c r="F852" t="s">
        <v>35</v>
      </c>
      <c r="G852" t="s">
        <v>18</v>
      </c>
      <c r="H852" t="s">
        <v>19</v>
      </c>
      <c r="I852" t="s">
        <v>20</v>
      </c>
      <c r="J852">
        <v>200</v>
      </c>
      <c r="S852">
        <v>6</v>
      </c>
      <c r="T852">
        <v>0</v>
      </c>
      <c r="U852">
        <v>0</v>
      </c>
      <c r="V852">
        <v>0</v>
      </c>
    </row>
    <row r="853" spans="1:22">
      <c r="A853" t="s">
        <v>845</v>
      </c>
      <c r="B853" s="3">
        <v>46185</v>
      </c>
      <c r="C853" t="s">
        <v>78</v>
      </c>
      <c r="D853" t="s">
        <v>89</v>
      </c>
      <c r="E853" t="s">
        <v>16</v>
      </c>
      <c r="F853" t="s">
        <v>35</v>
      </c>
      <c r="G853" t="s">
        <v>18</v>
      </c>
      <c r="H853" t="s">
        <v>19</v>
      </c>
      <c r="I853" t="s">
        <v>20</v>
      </c>
      <c r="J853">
        <v>150</v>
      </c>
      <c r="L853" t="s">
        <v>29</v>
      </c>
      <c r="S853">
        <v>4.5</v>
      </c>
      <c r="T853">
        <v>0</v>
      </c>
      <c r="U853">
        <v>0</v>
      </c>
      <c r="V853">
        <v>0</v>
      </c>
    </row>
    <row r="854" spans="1:22">
      <c r="A854" t="s">
        <v>846</v>
      </c>
      <c r="B854" s="3">
        <v>46185</v>
      </c>
      <c r="C854" t="s">
        <v>78</v>
      </c>
      <c r="D854" t="s">
        <v>242</v>
      </c>
      <c r="E854" t="s">
        <v>16</v>
      </c>
      <c r="F854" t="s">
        <v>17</v>
      </c>
      <c r="G854" t="s">
        <v>32</v>
      </c>
      <c r="H854" t="s">
        <v>19</v>
      </c>
      <c r="I854" t="s">
        <v>20</v>
      </c>
      <c r="J854">
        <v>300</v>
      </c>
      <c r="S854">
        <v>36</v>
      </c>
      <c r="T854">
        <v>0</v>
      </c>
      <c r="U854">
        <v>1</v>
      </c>
      <c r="V854">
        <v>0</v>
      </c>
    </row>
    <row r="855" spans="1:22">
      <c r="A855" t="s">
        <v>847</v>
      </c>
      <c r="B855" s="3">
        <v>46185</v>
      </c>
      <c r="C855" t="s">
        <v>78</v>
      </c>
      <c r="D855" t="s">
        <v>97</v>
      </c>
      <c r="E855" t="s">
        <v>16</v>
      </c>
      <c r="F855" t="s">
        <v>17</v>
      </c>
      <c r="G855" t="s">
        <v>32</v>
      </c>
      <c r="H855" t="s">
        <v>19</v>
      </c>
      <c r="I855" t="s">
        <v>20</v>
      </c>
      <c r="J855">
        <v>300</v>
      </c>
      <c r="S855">
        <v>36</v>
      </c>
      <c r="T855">
        <v>0</v>
      </c>
      <c r="U855">
        <v>1</v>
      </c>
      <c r="V855">
        <v>0</v>
      </c>
    </row>
    <row r="856" spans="1:22">
      <c r="A856" t="s">
        <v>848</v>
      </c>
      <c r="B856" s="3">
        <v>46185</v>
      </c>
      <c r="C856" t="s">
        <v>78</v>
      </c>
      <c r="D856" t="s">
        <v>87</v>
      </c>
      <c r="E856" t="s">
        <v>16</v>
      </c>
      <c r="F856" t="s">
        <v>17</v>
      </c>
      <c r="G856" t="s">
        <v>23</v>
      </c>
      <c r="H856" t="s">
        <v>19</v>
      </c>
      <c r="I856" t="s">
        <v>20</v>
      </c>
      <c r="J856">
        <v>120</v>
      </c>
      <c r="S856">
        <v>9.6</v>
      </c>
      <c r="T856">
        <v>0</v>
      </c>
      <c r="U856">
        <v>1</v>
      </c>
      <c r="V856">
        <v>0</v>
      </c>
    </row>
    <row r="857" spans="1:22">
      <c r="A857" t="s">
        <v>849</v>
      </c>
      <c r="B857" s="3">
        <v>46185</v>
      </c>
      <c r="C857" t="s">
        <v>78</v>
      </c>
      <c r="D857" t="s">
        <v>79</v>
      </c>
      <c r="E857" t="s">
        <v>16</v>
      </c>
      <c r="F857" t="s">
        <v>17</v>
      </c>
      <c r="G857" t="s">
        <v>32</v>
      </c>
      <c r="H857" t="s">
        <v>19</v>
      </c>
      <c r="I857" t="s">
        <v>20</v>
      </c>
      <c r="J857">
        <v>300</v>
      </c>
      <c r="S857">
        <v>36</v>
      </c>
      <c r="T857">
        <v>0</v>
      </c>
      <c r="U857">
        <v>1</v>
      </c>
      <c r="V857">
        <v>0</v>
      </c>
    </row>
    <row r="858" spans="1:22">
      <c r="A858" t="s">
        <v>850</v>
      </c>
      <c r="B858" s="3">
        <v>46185</v>
      </c>
      <c r="C858" t="s">
        <v>78</v>
      </c>
      <c r="D858" t="s">
        <v>89</v>
      </c>
      <c r="E858" t="s">
        <v>16</v>
      </c>
      <c r="F858" t="s">
        <v>17</v>
      </c>
      <c r="G858" t="s">
        <v>32</v>
      </c>
      <c r="H858" t="s">
        <v>19</v>
      </c>
      <c r="I858" t="s">
        <v>20</v>
      </c>
      <c r="J858">
        <v>300</v>
      </c>
      <c r="S858">
        <v>36</v>
      </c>
      <c r="T858">
        <v>0</v>
      </c>
      <c r="U858">
        <v>1</v>
      </c>
      <c r="V858">
        <v>0</v>
      </c>
    </row>
    <row r="859" spans="1:22">
      <c r="A859" t="s">
        <v>851</v>
      </c>
      <c r="B859" s="3">
        <v>46185</v>
      </c>
      <c r="C859" t="s">
        <v>78</v>
      </c>
      <c r="D859" t="s">
        <v>161</v>
      </c>
      <c r="E859" t="s">
        <v>16</v>
      </c>
      <c r="F859" t="s">
        <v>17</v>
      </c>
      <c r="G859" t="s">
        <v>32</v>
      </c>
      <c r="H859" t="s">
        <v>19</v>
      </c>
      <c r="I859" t="s">
        <v>20</v>
      </c>
      <c r="J859">
        <v>300</v>
      </c>
      <c r="S859">
        <v>36</v>
      </c>
      <c r="T859">
        <v>0</v>
      </c>
      <c r="U859">
        <v>1</v>
      </c>
      <c r="V859">
        <v>0</v>
      </c>
    </row>
    <row r="860" spans="1:22">
      <c r="A860" t="s">
        <v>852</v>
      </c>
      <c r="B860" s="3">
        <v>46185</v>
      </c>
      <c r="C860" t="s">
        <v>78</v>
      </c>
      <c r="D860" t="s">
        <v>102</v>
      </c>
      <c r="E860" t="s">
        <v>16</v>
      </c>
      <c r="F860" t="s">
        <v>17</v>
      </c>
      <c r="G860" t="s">
        <v>23</v>
      </c>
      <c r="H860" t="s">
        <v>19</v>
      </c>
      <c r="I860" t="s">
        <v>20</v>
      </c>
      <c r="J860">
        <v>120</v>
      </c>
      <c r="S860">
        <v>9.6</v>
      </c>
      <c r="T860">
        <v>0</v>
      </c>
      <c r="U860">
        <v>1</v>
      </c>
      <c r="V860">
        <v>0</v>
      </c>
    </row>
    <row r="861" spans="1:22">
      <c r="A861" t="s">
        <v>853</v>
      </c>
      <c r="B861" s="3">
        <v>46185</v>
      </c>
      <c r="C861" t="s">
        <v>78</v>
      </c>
      <c r="D861" t="s">
        <v>97</v>
      </c>
      <c r="E861" t="s">
        <v>16</v>
      </c>
      <c r="F861" t="s">
        <v>17</v>
      </c>
      <c r="G861" t="s">
        <v>18</v>
      </c>
      <c r="H861" t="s">
        <v>19</v>
      </c>
      <c r="I861" t="s">
        <v>20</v>
      </c>
      <c r="J861">
        <v>200</v>
      </c>
      <c r="S861">
        <v>20</v>
      </c>
      <c r="T861">
        <v>0</v>
      </c>
      <c r="U861">
        <v>1</v>
      </c>
      <c r="V861">
        <v>0</v>
      </c>
    </row>
    <row r="862" spans="1:22">
      <c r="A862" t="s">
        <v>854</v>
      </c>
      <c r="B862" s="3">
        <v>46185</v>
      </c>
      <c r="C862" t="s">
        <v>78</v>
      </c>
      <c r="D862" t="s">
        <v>242</v>
      </c>
      <c r="E862" t="s">
        <v>16</v>
      </c>
      <c r="F862" t="s">
        <v>17</v>
      </c>
      <c r="G862" t="s">
        <v>18</v>
      </c>
      <c r="H862" t="s">
        <v>19</v>
      </c>
      <c r="I862" t="s">
        <v>20</v>
      </c>
      <c r="J862">
        <v>200</v>
      </c>
      <c r="S862">
        <v>20</v>
      </c>
      <c r="T862">
        <v>0</v>
      </c>
      <c r="U862">
        <v>1</v>
      </c>
      <c r="V862">
        <v>0</v>
      </c>
    </row>
    <row r="863" spans="1:22">
      <c r="A863" t="s">
        <v>855</v>
      </c>
      <c r="B863" s="3">
        <v>46185</v>
      </c>
      <c r="C863" t="s">
        <v>78</v>
      </c>
      <c r="D863" t="s">
        <v>97</v>
      </c>
      <c r="E863" t="s">
        <v>16</v>
      </c>
      <c r="F863" t="s">
        <v>17</v>
      </c>
      <c r="G863" t="s">
        <v>18</v>
      </c>
      <c r="H863" t="s">
        <v>19</v>
      </c>
      <c r="I863" t="s">
        <v>20</v>
      </c>
      <c r="J863">
        <v>200</v>
      </c>
      <c r="S863">
        <v>20</v>
      </c>
      <c r="T863">
        <v>0</v>
      </c>
      <c r="U863">
        <v>1</v>
      </c>
      <c r="V863">
        <v>0</v>
      </c>
    </row>
    <row r="864" spans="1:22">
      <c r="A864" t="s">
        <v>856</v>
      </c>
      <c r="B864" s="3">
        <v>46185</v>
      </c>
      <c r="C864" t="s">
        <v>78</v>
      </c>
      <c r="D864" t="s">
        <v>79</v>
      </c>
      <c r="E864" t="s">
        <v>16</v>
      </c>
      <c r="F864" t="s">
        <v>35</v>
      </c>
      <c r="G864" t="s">
        <v>18</v>
      </c>
      <c r="H864" t="s">
        <v>19</v>
      </c>
      <c r="I864" t="s">
        <v>20</v>
      </c>
      <c r="J864">
        <v>200</v>
      </c>
      <c r="S864">
        <v>6</v>
      </c>
      <c r="T864">
        <v>0</v>
      </c>
      <c r="U864">
        <v>0</v>
      </c>
      <c r="V864">
        <v>0</v>
      </c>
    </row>
    <row r="865" spans="1:22">
      <c r="A865" t="s">
        <v>857</v>
      </c>
      <c r="B865" s="3">
        <v>46185</v>
      </c>
      <c r="C865" t="s">
        <v>78</v>
      </c>
      <c r="D865" t="s">
        <v>93</v>
      </c>
      <c r="E865" t="s">
        <v>16</v>
      </c>
      <c r="F865" t="s">
        <v>17</v>
      </c>
      <c r="G865" t="s">
        <v>32</v>
      </c>
      <c r="H865" t="s">
        <v>19</v>
      </c>
      <c r="I865" t="s">
        <v>20</v>
      </c>
      <c r="J865">
        <v>255</v>
      </c>
      <c r="L865" t="s">
        <v>29</v>
      </c>
      <c r="S865">
        <v>30.6</v>
      </c>
      <c r="T865">
        <v>0</v>
      </c>
      <c r="U865">
        <v>1</v>
      </c>
      <c r="V865">
        <v>0</v>
      </c>
    </row>
    <row r="866" spans="1:22">
      <c r="A866" t="s">
        <v>858</v>
      </c>
      <c r="B866" s="3">
        <v>46185</v>
      </c>
      <c r="C866" t="s">
        <v>78</v>
      </c>
      <c r="D866" t="s">
        <v>242</v>
      </c>
      <c r="E866" t="s">
        <v>16</v>
      </c>
      <c r="F866" t="s">
        <v>17</v>
      </c>
      <c r="G866" t="s">
        <v>23</v>
      </c>
      <c r="H866" t="s">
        <v>19</v>
      </c>
      <c r="I866" t="s">
        <v>20</v>
      </c>
      <c r="J866">
        <v>120</v>
      </c>
      <c r="S866">
        <v>9.6</v>
      </c>
      <c r="T866">
        <v>0</v>
      </c>
      <c r="U866">
        <v>1</v>
      </c>
      <c r="V866">
        <v>0</v>
      </c>
    </row>
    <row r="867" spans="1:22">
      <c r="A867" t="s">
        <v>859</v>
      </c>
      <c r="B867" s="3">
        <v>46185</v>
      </c>
      <c r="C867" t="s">
        <v>105</v>
      </c>
      <c r="D867" t="s">
        <v>187</v>
      </c>
      <c r="E867" t="s">
        <v>16</v>
      </c>
      <c r="F867" t="s">
        <v>17</v>
      </c>
      <c r="G867" t="s">
        <v>32</v>
      </c>
      <c r="H867" t="s">
        <v>24</v>
      </c>
      <c r="I867" t="s">
        <v>20</v>
      </c>
      <c r="J867">
        <v>300</v>
      </c>
      <c r="S867">
        <v>0</v>
      </c>
      <c r="T867">
        <v>0</v>
      </c>
      <c r="U867">
        <v>0</v>
      </c>
      <c r="V867">
        <v>0</v>
      </c>
    </row>
    <row r="868" spans="1:22">
      <c r="A868" t="s">
        <v>860</v>
      </c>
      <c r="B868" s="3">
        <v>46185</v>
      </c>
      <c r="C868" t="s">
        <v>105</v>
      </c>
      <c r="D868" t="s">
        <v>118</v>
      </c>
      <c r="E868" t="s">
        <v>16</v>
      </c>
      <c r="F868" t="s">
        <v>35</v>
      </c>
      <c r="G868" t="s">
        <v>18</v>
      </c>
      <c r="H868" t="s">
        <v>19</v>
      </c>
      <c r="I868" t="s">
        <v>20</v>
      </c>
      <c r="J868">
        <v>200</v>
      </c>
      <c r="S868">
        <v>6</v>
      </c>
      <c r="T868">
        <v>0</v>
      </c>
      <c r="U868">
        <v>0</v>
      </c>
      <c r="V868">
        <v>0</v>
      </c>
    </row>
    <row r="869" spans="1:22">
      <c r="A869" t="s">
        <v>861</v>
      </c>
      <c r="B869" s="3">
        <v>46185</v>
      </c>
      <c r="C869" t="s">
        <v>105</v>
      </c>
      <c r="D869" t="s">
        <v>265</v>
      </c>
      <c r="E869" t="s">
        <v>16</v>
      </c>
      <c r="F869" t="s">
        <v>17</v>
      </c>
      <c r="G869" t="s">
        <v>32</v>
      </c>
      <c r="H869" t="s">
        <v>19</v>
      </c>
      <c r="I869" t="s">
        <v>20</v>
      </c>
      <c r="J869">
        <v>300</v>
      </c>
      <c r="S869">
        <v>36</v>
      </c>
      <c r="T869">
        <v>0</v>
      </c>
      <c r="U869">
        <v>1</v>
      </c>
      <c r="V869">
        <v>0</v>
      </c>
    </row>
    <row r="870" spans="1:22">
      <c r="A870" t="s">
        <v>862</v>
      </c>
      <c r="B870" s="3">
        <v>46185</v>
      </c>
      <c r="C870" t="s">
        <v>105</v>
      </c>
      <c r="D870" t="s">
        <v>116</v>
      </c>
      <c r="E870" t="s">
        <v>16</v>
      </c>
      <c r="F870" t="s">
        <v>17</v>
      </c>
      <c r="G870" t="s">
        <v>32</v>
      </c>
      <c r="H870" t="s">
        <v>24</v>
      </c>
      <c r="I870" t="s">
        <v>53</v>
      </c>
      <c r="J870">
        <v>300</v>
      </c>
      <c r="S870">
        <v>0</v>
      </c>
      <c r="T870">
        <v>0</v>
      </c>
      <c r="U870">
        <v>0</v>
      </c>
      <c r="V870">
        <v>0</v>
      </c>
    </row>
    <row r="871" spans="1:22">
      <c r="A871" t="s">
        <v>863</v>
      </c>
      <c r="B871" s="3">
        <v>46185</v>
      </c>
      <c r="C871" t="s">
        <v>105</v>
      </c>
      <c r="D871" t="s">
        <v>116</v>
      </c>
      <c r="E871" t="s">
        <v>16</v>
      </c>
      <c r="F871" t="s">
        <v>17</v>
      </c>
      <c r="G871" t="s">
        <v>32</v>
      </c>
      <c r="H871" t="s">
        <v>19</v>
      </c>
      <c r="I871" t="s">
        <v>20</v>
      </c>
      <c r="J871">
        <v>300</v>
      </c>
      <c r="S871">
        <v>36</v>
      </c>
      <c r="T871">
        <v>0</v>
      </c>
      <c r="U871">
        <v>1</v>
      </c>
      <c r="V871">
        <v>0</v>
      </c>
    </row>
    <row r="872" spans="1:22">
      <c r="A872" t="s">
        <v>864</v>
      </c>
      <c r="B872" s="3">
        <v>46185</v>
      </c>
      <c r="C872" t="s">
        <v>105</v>
      </c>
      <c r="D872" t="s">
        <v>112</v>
      </c>
      <c r="E872" t="s">
        <v>16</v>
      </c>
      <c r="F872" t="s">
        <v>17</v>
      </c>
      <c r="G872" t="s">
        <v>18</v>
      </c>
      <c r="H872" t="s">
        <v>24</v>
      </c>
      <c r="I872" t="s">
        <v>20</v>
      </c>
      <c r="J872">
        <v>150</v>
      </c>
      <c r="L872" t="s">
        <v>29</v>
      </c>
      <c r="S872">
        <v>0</v>
      </c>
      <c r="T872">
        <v>0</v>
      </c>
      <c r="U872">
        <v>0</v>
      </c>
      <c r="V872">
        <v>0</v>
      </c>
    </row>
    <row r="873" spans="1:22">
      <c r="A873" t="s">
        <v>865</v>
      </c>
      <c r="B873" s="3">
        <v>46185</v>
      </c>
      <c r="C873" t="s">
        <v>105</v>
      </c>
      <c r="D873" t="s">
        <v>265</v>
      </c>
      <c r="E873" t="s">
        <v>16</v>
      </c>
      <c r="F873" t="s">
        <v>17</v>
      </c>
      <c r="G873" t="s">
        <v>32</v>
      </c>
      <c r="H873" t="s">
        <v>24</v>
      </c>
      <c r="I873" t="s">
        <v>20</v>
      </c>
      <c r="J873">
        <v>255</v>
      </c>
      <c r="L873" t="s">
        <v>29</v>
      </c>
      <c r="S873">
        <v>0</v>
      </c>
      <c r="T873">
        <v>0</v>
      </c>
      <c r="U873">
        <v>0</v>
      </c>
      <c r="V873">
        <v>0</v>
      </c>
    </row>
    <row r="874" spans="1:22">
      <c r="A874" t="s">
        <v>866</v>
      </c>
      <c r="B874" s="3">
        <v>46185</v>
      </c>
      <c r="C874" t="s">
        <v>105</v>
      </c>
      <c r="D874" t="s">
        <v>120</v>
      </c>
      <c r="E874" t="s">
        <v>16</v>
      </c>
      <c r="F874" t="s">
        <v>17</v>
      </c>
      <c r="G874" t="s">
        <v>18</v>
      </c>
      <c r="H874" t="s">
        <v>19</v>
      </c>
      <c r="I874" t="s">
        <v>20</v>
      </c>
      <c r="J874">
        <v>200</v>
      </c>
      <c r="S874">
        <v>20</v>
      </c>
      <c r="T874">
        <v>0</v>
      </c>
      <c r="U874">
        <v>1</v>
      </c>
      <c r="V874">
        <v>0</v>
      </c>
    </row>
    <row r="875" spans="1:22">
      <c r="A875" t="s">
        <v>867</v>
      </c>
      <c r="B875" s="3">
        <v>46185</v>
      </c>
      <c r="C875" t="s">
        <v>105</v>
      </c>
      <c r="D875" t="s">
        <v>120</v>
      </c>
      <c r="E875" t="s">
        <v>16</v>
      </c>
      <c r="F875" t="s">
        <v>17</v>
      </c>
      <c r="G875" t="s">
        <v>23</v>
      </c>
      <c r="H875" t="s">
        <v>19</v>
      </c>
      <c r="I875" t="s">
        <v>20</v>
      </c>
      <c r="J875">
        <v>120</v>
      </c>
      <c r="S875">
        <v>9.6</v>
      </c>
      <c r="T875">
        <v>0</v>
      </c>
      <c r="U875">
        <v>1</v>
      </c>
      <c r="V875">
        <v>0</v>
      </c>
    </row>
    <row r="876" spans="1:22">
      <c r="A876" t="s">
        <v>868</v>
      </c>
      <c r="B876" s="3">
        <v>46185</v>
      </c>
      <c r="C876" t="s">
        <v>105</v>
      </c>
      <c r="D876" t="s">
        <v>187</v>
      </c>
      <c r="E876" t="s">
        <v>16</v>
      </c>
      <c r="F876" t="s">
        <v>17</v>
      </c>
      <c r="G876" t="s">
        <v>32</v>
      </c>
      <c r="H876" t="s">
        <v>19</v>
      </c>
      <c r="I876" t="s">
        <v>20</v>
      </c>
      <c r="J876">
        <v>300</v>
      </c>
      <c r="S876">
        <v>36</v>
      </c>
      <c r="T876">
        <v>0</v>
      </c>
      <c r="U876">
        <v>1</v>
      </c>
      <c r="V876">
        <v>0</v>
      </c>
    </row>
    <row r="877" spans="1:22">
      <c r="A877" t="s">
        <v>869</v>
      </c>
      <c r="B877" s="3">
        <v>46185</v>
      </c>
      <c r="C877" t="s">
        <v>105</v>
      </c>
      <c r="D877" t="s">
        <v>110</v>
      </c>
      <c r="E877" t="s">
        <v>16</v>
      </c>
      <c r="F877" t="s">
        <v>17</v>
      </c>
      <c r="G877" t="s">
        <v>23</v>
      </c>
      <c r="H877" t="s">
        <v>19</v>
      </c>
      <c r="I877" t="s">
        <v>20</v>
      </c>
      <c r="J877">
        <v>120</v>
      </c>
      <c r="S877">
        <v>9.6</v>
      </c>
      <c r="T877">
        <v>0</v>
      </c>
      <c r="U877">
        <v>1</v>
      </c>
      <c r="V877">
        <v>0</v>
      </c>
    </row>
    <row r="878" spans="1:22">
      <c r="A878" t="s">
        <v>870</v>
      </c>
      <c r="B878" s="3">
        <v>46185</v>
      </c>
      <c r="C878" t="s">
        <v>105</v>
      </c>
      <c r="D878" t="s">
        <v>187</v>
      </c>
      <c r="E878" t="s">
        <v>16</v>
      </c>
      <c r="F878" t="s">
        <v>17</v>
      </c>
      <c r="G878" t="s">
        <v>32</v>
      </c>
      <c r="H878" t="s">
        <v>19</v>
      </c>
      <c r="I878" t="s">
        <v>20</v>
      </c>
      <c r="J878">
        <v>300</v>
      </c>
      <c r="S878">
        <v>36</v>
      </c>
      <c r="T878">
        <v>0</v>
      </c>
      <c r="U878">
        <v>1</v>
      </c>
      <c r="V878">
        <v>0</v>
      </c>
    </row>
    <row r="879" spans="1:22">
      <c r="A879" t="s">
        <v>871</v>
      </c>
      <c r="B879" s="3">
        <v>46185</v>
      </c>
      <c r="C879" t="s">
        <v>105</v>
      </c>
      <c r="D879" t="s">
        <v>265</v>
      </c>
      <c r="E879" t="s">
        <v>16</v>
      </c>
      <c r="F879" t="s">
        <v>17</v>
      </c>
      <c r="G879" t="s">
        <v>23</v>
      </c>
      <c r="H879" t="s">
        <v>19</v>
      </c>
      <c r="I879" t="s">
        <v>20</v>
      </c>
      <c r="J879">
        <v>120</v>
      </c>
      <c r="S879">
        <v>9.6</v>
      </c>
      <c r="T879">
        <v>0</v>
      </c>
      <c r="U879">
        <v>1</v>
      </c>
      <c r="V879">
        <v>0</v>
      </c>
    </row>
    <row r="880" spans="1:22">
      <c r="A880" t="s">
        <v>872</v>
      </c>
      <c r="B880" s="3">
        <v>46185</v>
      </c>
      <c r="C880" t="s">
        <v>105</v>
      </c>
      <c r="D880" t="s">
        <v>191</v>
      </c>
      <c r="E880" t="s">
        <v>16</v>
      </c>
      <c r="F880" t="s">
        <v>17</v>
      </c>
      <c r="G880" t="s">
        <v>18</v>
      </c>
      <c r="H880" t="s">
        <v>19</v>
      </c>
      <c r="I880" t="s">
        <v>20</v>
      </c>
      <c r="J880">
        <v>200</v>
      </c>
      <c r="S880">
        <v>20</v>
      </c>
      <c r="T880">
        <v>0</v>
      </c>
      <c r="U880">
        <v>1</v>
      </c>
      <c r="V880">
        <v>0</v>
      </c>
    </row>
    <row r="881" spans="1:22">
      <c r="A881" t="s">
        <v>876</v>
      </c>
      <c r="B881" s="3">
        <v>46186</v>
      </c>
      <c r="C881" t="s">
        <v>14</v>
      </c>
      <c r="D881" t="s">
        <v>26</v>
      </c>
      <c r="E881" t="s">
        <v>16</v>
      </c>
      <c r="F881" t="s">
        <v>17</v>
      </c>
      <c r="G881" t="s">
        <v>18</v>
      </c>
      <c r="H881" t="s">
        <v>19</v>
      </c>
      <c r="I881" t="s">
        <v>20</v>
      </c>
      <c r="J881">
        <v>200</v>
      </c>
      <c r="S881">
        <v>20</v>
      </c>
      <c r="T881">
        <v>0</v>
      </c>
      <c r="U881">
        <v>1</v>
      </c>
      <c r="V881">
        <v>0</v>
      </c>
    </row>
    <row r="882" spans="1:22">
      <c r="A882" t="s">
        <v>878</v>
      </c>
      <c r="B882" s="3">
        <v>46186</v>
      </c>
      <c r="C882" t="s">
        <v>14</v>
      </c>
      <c r="D882" t="s">
        <v>26</v>
      </c>
      <c r="E882" t="s">
        <v>16</v>
      </c>
      <c r="F882" t="s">
        <v>17</v>
      </c>
      <c r="G882" t="s">
        <v>23</v>
      </c>
      <c r="H882" t="s">
        <v>19</v>
      </c>
      <c r="I882" t="s">
        <v>20</v>
      </c>
      <c r="J882">
        <v>120</v>
      </c>
      <c r="S882">
        <v>9.6</v>
      </c>
      <c r="T882">
        <v>0</v>
      </c>
      <c r="U882">
        <v>1</v>
      </c>
      <c r="V882">
        <v>0</v>
      </c>
    </row>
    <row r="883" spans="1:22">
      <c r="A883" t="s">
        <v>879</v>
      </c>
      <c r="B883" s="3">
        <v>46186</v>
      </c>
      <c r="C883" t="s">
        <v>14</v>
      </c>
      <c r="D883" t="s">
        <v>15</v>
      </c>
      <c r="E883" t="s">
        <v>16</v>
      </c>
      <c r="F883" t="s">
        <v>17</v>
      </c>
      <c r="G883" t="s">
        <v>23</v>
      </c>
      <c r="H883" t="s">
        <v>19</v>
      </c>
      <c r="I883" t="s">
        <v>20</v>
      </c>
      <c r="J883">
        <v>120</v>
      </c>
      <c r="S883">
        <v>9.6</v>
      </c>
      <c r="T883">
        <v>0</v>
      </c>
      <c r="U883">
        <v>1</v>
      </c>
      <c r="V883">
        <v>0</v>
      </c>
    </row>
    <row r="884" spans="1:22">
      <c r="A884" t="s">
        <v>880</v>
      </c>
      <c r="B884" s="3">
        <v>46186</v>
      </c>
      <c r="C884" t="s">
        <v>14</v>
      </c>
      <c r="D884" t="s">
        <v>40</v>
      </c>
      <c r="E884" t="s">
        <v>16</v>
      </c>
      <c r="F884" t="s">
        <v>17</v>
      </c>
      <c r="G884" t="s">
        <v>18</v>
      </c>
      <c r="H884" t="s">
        <v>24</v>
      </c>
      <c r="I884" t="s">
        <v>20</v>
      </c>
      <c r="J884">
        <v>200</v>
      </c>
      <c r="S884">
        <v>0</v>
      </c>
      <c r="T884">
        <v>0</v>
      </c>
      <c r="U884">
        <v>0</v>
      </c>
      <c r="V884">
        <v>0</v>
      </c>
    </row>
    <row r="885" spans="1:22">
      <c r="A885" t="s">
        <v>881</v>
      </c>
      <c r="B885" s="3">
        <v>46186</v>
      </c>
      <c r="C885" t="s">
        <v>14</v>
      </c>
      <c r="D885" t="s">
        <v>210</v>
      </c>
      <c r="E885" t="s">
        <v>16</v>
      </c>
      <c r="F885" t="s">
        <v>35</v>
      </c>
      <c r="G885" t="s">
        <v>23</v>
      </c>
      <c r="H885" t="s">
        <v>19</v>
      </c>
      <c r="I885" t="s">
        <v>20</v>
      </c>
      <c r="J885">
        <v>120</v>
      </c>
      <c r="S885">
        <v>3.6</v>
      </c>
      <c r="T885">
        <v>0</v>
      </c>
      <c r="U885">
        <v>0</v>
      </c>
      <c r="V885">
        <v>0</v>
      </c>
    </row>
    <row r="886" spans="1:22">
      <c r="A886" t="s">
        <v>882</v>
      </c>
      <c r="B886" s="3">
        <v>46186</v>
      </c>
      <c r="C886" t="s">
        <v>14</v>
      </c>
      <c r="D886" t="s">
        <v>40</v>
      </c>
      <c r="E886" t="s">
        <v>16</v>
      </c>
      <c r="F886" t="s">
        <v>17</v>
      </c>
      <c r="G886" t="s">
        <v>23</v>
      </c>
      <c r="H886" t="s">
        <v>19</v>
      </c>
      <c r="I886" t="s">
        <v>53</v>
      </c>
      <c r="J886">
        <v>90</v>
      </c>
      <c r="L886" t="s">
        <v>29</v>
      </c>
      <c r="S886">
        <v>0</v>
      </c>
      <c r="T886">
        <v>0</v>
      </c>
      <c r="U886">
        <v>0</v>
      </c>
      <c r="V886">
        <v>0</v>
      </c>
    </row>
    <row r="887" spans="1:22">
      <c r="A887" t="s">
        <v>883</v>
      </c>
      <c r="B887" s="3">
        <v>46186</v>
      </c>
      <c r="C887" t="s">
        <v>14</v>
      </c>
      <c r="D887" t="s">
        <v>28</v>
      </c>
      <c r="E887" t="s">
        <v>16</v>
      </c>
      <c r="F887" t="s">
        <v>35</v>
      </c>
      <c r="G887" t="s">
        <v>18</v>
      </c>
      <c r="H887" t="s">
        <v>19</v>
      </c>
      <c r="I887" t="s">
        <v>20</v>
      </c>
      <c r="J887">
        <v>200</v>
      </c>
      <c r="S887">
        <v>6</v>
      </c>
      <c r="T887">
        <v>0</v>
      </c>
      <c r="U887">
        <v>0</v>
      </c>
      <c r="V887">
        <v>0</v>
      </c>
    </row>
    <row r="888" spans="1:22">
      <c r="A888" t="s">
        <v>884</v>
      </c>
      <c r="B888" s="3">
        <v>46186</v>
      </c>
      <c r="C888" t="s">
        <v>14</v>
      </c>
      <c r="D888" t="s">
        <v>210</v>
      </c>
      <c r="E888" t="s">
        <v>16</v>
      </c>
      <c r="F888" t="s">
        <v>17</v>
      </c>
      <c r="G888" t="s">
        <v>32</v>
      </c>
      <c r="H888" t="s">
        <v>24</v>
      </c>
      <c r="I888" t="s">
        <v>20</v>
      </c>
      <c r="J888">
        <v>300</v>
      </c>
      <c r="S888">
        <v>0</v>
      </c>
      <c r="T888">
        <v>0</v>
      </c>
      <c r="U888">
        <v>0</v>
      </c>
      <c r="V888">
        <v>0</v>
      </c>
    </row>
    <row r="889" spans="1:22">
      <c r="A889" t="s">
        <v>885</v>
      </c>
      <c r="B889" s="3">
        <v>46186</v>
      </c>
      <c r="C889" t="s">
        <v>14</v>
      </c>
      <c r="D889" t="s">
        <v>31</v>
      </c>
      <c r="E889" t="s">
        <v>16</v>
      </c>
      <c r="F889" t="s">
        <v>17</v>
      </c>
      <c r="G889" t="s">
        <v>23</v>
      </c>
      <c r="H889" t="s">
        <v>19</v>
      </c>
      <c r="I889" t="s">
        <v>20</v>
      </c>
      <c r="J889">
        <v>120</v>
      </c>
      <c r="S889">
        <v>9.6</v>
      </c>
      <c r="T889">
        <v>0</v>
      </c>
      <c r="U889">
        <v>1</v>
      </c>
      <c r="V889">
        <v>0</v>
      </c>
    </row>
    <row r="890" spans="1:22">
      <c r="A890" t="s">
        <v>886</v>
      </c>
      <c r="B890" s="3">
        <v>46186</v>
      </c>
      <c r="C890" t="s">
        <v>14</v>
      </c>
      <c r="D890" t="s">
        <v>137</v>
      </c>
      <c r="E890" t="s">
        <v>16</v>
      </c>
      <c r="F890" t="s">
        <v>17</v>
      </c>
      <c r="G890" t="s">
        <v>18</v>
      </c>
      <c r="H890" t="s">
        <v>19</v>
      </c>
      <c r="I890" t="s">
        <v>20</v>
      </c>
      <c r="J890">
        <v>200</v>
      </c>
      <c r="S890">
        <v>20</v>
      </c>
      <c r="T890">
        <v>0</v>
      </c>
      <c r="U890">
        <v>1</v>
      </c>
      <c r="V890">
        <v>0</v>
      </c>
    </row>
    <row r="891" spans="1:22">
      <c r="A891" t="s">
        <v>887</v>
      </c>
      <c r="B891" s="3">
        <v>46186</v>
      </c>
      <c r="C891" t="s">
        <v>14</v>
      </c>
      <c r="D891" t="s">
        <v>37</v>
      </c>
      <c r="E891" t="s">
        <v>16</v>
      </c>
      <c r="F891" t="s">
        <v>17</v>
      </c>
      <c r="G891" t="s">
        <v>32</v>
      </c>
      <c r="H891" t="s">
        <v>19</v>
      </c>
      <c r="I891" t="s">
        <v>20</v>
      </c>
      <c r="J891">
        <v>300</v>
      </c>
      <c r="S891">
        <v>36</v>
      </c>
      <c r="T891">
        <v>0</v>
      </c>
      <c r="U891">
        <v>1</v>
      </c>
      <c r="V891">
        <v>0</v>
      </c>
    </row>
    <row r="892" spans="1:22">
      <c r="A892" t="s">
        <v>888</v>
      </c>
      <c r="B892" s="3">
        <v>46186</v>
      </c>
      <c r="C892" t="s">
        <v>14</v>
      </c>
      <c r="D892" t="s">
        <v>26</v>
      </c>
      <c r="E892" t="s">
        <v>16</v>
      </c>
      <c r="F892" t="s">
        <v>17</v>
      </c>
      <c r="G892" t="s">
        <v>32</v>
      </c>
      <c r="H892" t="s">
        <v>19</v>
      </c>
      <c r="I892" t="s">
        <v>20</v>
      </c>
      <c r="J892">
        <v>300</v>
      </c>
      <c r="S892">
        <v>36</v>
      </c>
      <c r="T892">
        <v>0</v>
      </c>
      <c r="U892">
        <v>1</v>
      </c>
      <c r="V892">
        <v>0</v>
      </c>
    </row>
    <row r="893" spans="1:22">
      <c r="A893" t="s">
        <v>889</v>
      </c>
      <c r="B893" s="3">
        <v>46186</v>
      </c>
      <c r="C893" t="s">
        <v>14</v>
      </c>
      <c r="D893" t="s">
        <v>40</v>
      </c>
      <c r="E893" t="s">
        <v>16</v>
      </c>
      <c r="F893" t="s">
        <v>35</v>
      </c>
      <c r="G893" t="s">
        <v>18</v>
      </c>
      <c r="H893" t="s">
        <v>19</v>
      </c>
      <c r="I893" t="s">
        <v>20</v>
      </c>
      <c r="J893">
        <v>200</v>
      </c>
      <c r="S893">
        <v>6</v>
      </c>
      <c r="T893">
        <v>0</v>
      </c>
      <c r="U893">
        <v>0</v>
      </c>
      <c r="V893">
        <v>0</v>
      </c>
    </row>
    <row r="894" spans="1:22">
      <c r="A894" t="s">
        <v>890</v>
      </c>
      <c r="B894" s="3">
        <v>46186</v>
      </c>
      <c r="C894" t="s">
        <v>14</v>
      </c>
      <c r="D894" t="s">
        <v>131</v>
      </c>
      <c r="E894" t="s">
        <v>16</v>
      </c>
      <c r="F894" t="s">
        <v>17</v>
      </c>
      <c r="G894" t="s">
        <v>32</v>
      </c>
      <c r="H894" t="s">
        <v>24</v>
      </c>
      <c r="I894" t="s">
        <v>20</v>
      </c>
      <c r="J894">
        <v>300</v>
      </c>
      <c r="S894">
        <v>0</v>
      </c>
      <c r="T894">
        <v>0</v>
      </c>
      <c r="U894">
        <v>0</v>
      </c>
      <c r="V894">
        <v>0</v>
      </c>
    </row>
    <row r="895" spans="1:22">
      <c r="A895" t="s">
        <v>891</v>
      </c>
      <c r="B895" s="3">
        <v>46186</v>
      </c>
      <c r="C895" t="s">
        <v>14</v>
      </c>
      <c r="D895" t="s">
        <v>31</v>
      </c>
      <c r="E895" t="s">
        <v>16</v>
      </c>
      <c r="F895" t="s">
        <v>17</v>
      </c>
      <c r="G895" t="s">
        <v>32</v>
      </c>
      <c r="H895" t="s">
        <v>19</v>
      </c>
      <c r="I895" t="s">
        <v>20</v>
      </c>
      <c r="J895">
        <v>255</v>
      </c>
      <c r="L895" t="s">
        <v>29</v>
      </c>
      <c r="S895">
        <v>30.6</v>
      </c>
      <c r="T895">
        <v>0</v>
      </c>
      <c r="U895">
        <v>1</v>
      </c>
      <c r="V895">
        <v>0</v>
      </c>
    </row>
    <row r="896" spans="1:22">
      <c r="A896" t="s">
        <v>892</v>
      </c>
      <c r="B896" s="3">
        <v>46186</v>
      </c>
      <c r="C896" t="s">
        <v>14</v>
      </c>
      <c r="D896" t="s">
        <v>26</v>
      </c>
      <c r="E896" t="s">
        <v>16</v>
      </c>
      <c r="F896" t="s">
        <v>17</v>
      </c>
      <c r="G896" t="s">
        <v>18</v>
      </c>
      <c r="H896" t="s">
        <v>19</v>
      </c>
      <c r="I896" t="s">
        <v>20</v>
      </c>
      <c r="J896">
        <v>200</v>
      </c>
      <c r="S896">
        <v>20</v>
      </c>
      <c r="T896">
        <v>0</v>
      </c>
      <c r="U896">
        <v>1</v>
      </c>
      <c r="V896">
        <v>0</v>
      </c>
    </row>
    <row r="897" spans="1:22">
      <c r="A897" t="s">
        <v>893</v>
      </c>
      <c r="B897" s="3">
        <v>46186</v>
      </c>
      <c r="C897" t="s">
        <v>14</v>
      </c>
      <c r="D897" t="s">
        <v>31</v>
      </c>
      <c r="E897" t="s">
        <v>16</v>
      </c>
      <c r="F897" t="s">
        <v>17</v>
      </c>
      <c r="G897" t="s">
        <v>23</v>
      </c>
      <c r="H897" t="s">
        <v>19</v>
      </c>
      <c r="I897" t="s">
        <v>20</v>
      </c>
      <c r="J897">
        <v>120</v>
      </c>
      <c r="S897">
        <v>9.6</v>
      </c>
      <c r="T897">
        <v>0</v>
      </c>
      <c r="U897">
        <v>1</v>
      </c>
      <c r="V897">
        <v>0</v>
      </c>
    </row>
    <row r="898" spans="1:22">
      <c r="A898" t="s">
        <v>894</v>
      </c>
      <c r="B898" s="3">
        <v>46186</v>
      </c>
      <c r="C898" t="s">
        <v>14</v>
      </c>
      <c r="D898" t="s">
        <v>28</v>
      </c>
      <c r="E898" t="s">
        <v>16</v>
      </c>
      <c r="F898" t="s">
        <v>17</v>
      </c>
      <c r="G898" t="s">
        <v>23</v>
      </c>
      <c r="H898" t="s">
        <v>19</v>
      </c>
      <c r="I898" t="s">
        <v>20</v>
      </c>
      <c r="J898">
        <v>120</v>
      </c>
      <c r="S898">
        <v>9.6</v>
      </c>
      <c r="T898">
        <v>0</v>
      </c>
      <c r="U898">
        <v>1</v>
      </c>
      <c r="V898">
        <v>0</v>
      </c>
    </row>
    <row r="899" spans="1:22">
      <c r="A899" t="s">
        <v>895</v>
      </c>
      <c r="B899" s="3">
        <v>46186</v>
      </c>
      <c r="C899" t="s">
        <v>14</v>
      </c>
      <c r="D899" t="s">
        <v>28</v>
      </c>
      <c r="E899" t="s">
        <v>16</v>
      </c>
      <c r="F899" t="s">
        <v>17</v>
      </c>
      <c r="G899" t="s">
        <v>32</v>
      </c>
      <c r="H899" t="s">
        <v>19</v>
      </c>
      <c r="I899" t="s">
        <v>20</v>
      </c>
      <c r="J899">
        <v>300</v>
      </c>
      <c r="S899">
        <v>36</v>
      </c>
      <c r="T899">
        <v>0</v>
      </c>
      <c r="U899">
        <v>1</v>
      </c>
      <c r="V899">
        <v>0</v>
      </c>
    </row>
    <row r="900" spans="1:22">
      <c r="A900" t="s">
        <v>896</v>
      </c>
      <c r="B900" s="3">
        <v>46186</v>
      </c>
      <c r="C900" t="s">
        <v>47</v>
      </c>
      <c r="D900" t="s">
        <v>55</v>
      </c>
      <c r="E900" t="s">
        <v>16</v>
      </c>
      <c r="F900" t="s">
        <v>17</v>
      </c>
      <c r="G900" t="s">
        <v>23</v>
      </c>
      <c r="H900" t="s">
        <v>19</v>
      </c>
      <c r="I900" t="s">
        <v>20</v>
      </c>
      <c r="J900">
        <v>120</v>
      </c>
      <c r="S900">
        <v>9.6</v>
      </c>
      <c r="T900">
        <v>0</v>
      </c>
      <c r="U900">
        <v>1</v>
      </c>
      <c r="V900">
        <v>0</v>
      </c>
    </row>
    <row r="901" spans="1:22">
      <c r="A901" t="s">
        <v>897</v>
      </c>
      <c r="B901" s="3">
        <v>46186</v>
      </c>
      <c r="C901" t="s">
        <v>47</v>
      </c>
      <c r="D901" t="s">
        <v>64</v>
      </c>
      <c r="E901" t="s">
        <v>16</v>
      </c>
      <c r="F901" t="s">
        <v>17</v>
      </c>
      <c r="G901" t="s">
        <v>18</v>
      </c>
      <c r="H901" t="s">
        <v>19</v>
      </c>
      <c r="I901" t="s">
        <v>20</v>
      </c>
      <c r="J901">
        <v>200</v>
      </c>
      <c r="S901">
        <v>20</v>
      </c>
      <c r="T901">
        <v>0</v>
      </c>
      <c r="U901">
        <v>1</v>
      </c>
      <c r="V901">
        <v>0</v>
      </c>
    </row>
    <row r="902" spans="1:22">
      <c r="A902" t="s">
        <v>898</v>
      </c>
      <c r="B902" s="3">
        <v>46186</v>
      </c>
      <c r="C902" t="s">
        <v>47</v>
      </c>
      <c r="D902" t="s">
        <v>48</v>
      </c>
      <c r="E902" t="s">
        <v>16</v>
      </c>
      <c r="F902" t="s">
        <v>17</v>
      </c>
      <c r="G902" t="s">
        <v>18</v>
      </c>
      <c r="H902" t="s">
        <v>19</v>
      </c>
      <c r="I902" t="s">
        <v>20</v>
      </c>
      <c r="J902">
        <v>200</v>
      </c>
      <c r="S902">
        <v>20</v>
      </c>
      <c r="T902">
        <v>0</v>
      </c>
      <c r="U902">
        <v>1</v>
      </c>
      <c r="V902">
        <v>0</v>
      </c>
    </row>
    <row r="903" spans="1:22">
      <c r="A903" t="s">
        <v>899</v>
      </c>
      <c r="B903" s="3">
        <v>46186</v>
      </c>
      <c r="C903" t="s">
        <v>47</v>
      </c>
      <c r="D903" t="s">
        <v>73</v>
      </c>
      <c r="E903" t="s">
        <v>16</v>
      </c>
      <c r="F903" t="s">
        <v>17</v>
      </c>
      <c r="G903" t="s">
        <v>23</v>
      </c>
      <c r="H903" t="s">
        <v>24</v>
      </c>
      <c r="I903" t="s">
        <v>20</v>
      </c>
      <c r="J903">
        <v>90</v>
      </c>
      <c r="L903" t="s">
        <v>29</v>
      </c>
      <c r="S903">
        <v>0</v>
      </c>
      <c r="T903">
        <v>0</v>
      </c>
      <c r="U903">
        <v>0</v>
      </c>
      <c r="V903">
        <v>0</v>
      </c>
    </row>
    <row r="904" spans="1:22">
      <c r="A904" t="s">
        <v>900</v>
      </c>
      <c r="B904" s="3">
        <v>46186</v>
      </c>
      <c r="C904" t="s">
        <v>47</v>
      </c>
      <c r="D904" t="s">
        <v>73</v>
      </c>
      <c r="E904" t="s">
        <v>16</v>
      </c>
      <c r="F904" t="s">
        <v>17</v>
      </c>
      <c r="G904" t="s">
        <v>32</v>
      </c>
      <c r="H904" t="s">
        <v>19</v>
      </c>
      <c r="I904" t="s">
        <v>20</v>
      </c>
      <c r="J904">
        <v>225</v>
      </c>
      <c r="L904" t="s">
        <v>29</v>
      </c>
      <c r="S904">
        <v>27</v>
      </c>
      <c r="T904">
        <v>0</v>
      </c>
      <c r="U904">
        <v>1</v>
      </c>
      <c r="V904">
        <v>0</v>
      </c>
    </row>
    <row r="905" spans="1:22">
      <c r="A905" t="s">
        <v>901</v>
      </c>
      <c r="B905" s="3">
        <v>46186</v>
      </c>
      <c r="C905" t="s">
        <v>47</v>
      </c>
      <c r="D905" t="s">
        <v>59</v>
      </c>
      <c r="E905" t="s">
        <v>16</v>
      </c>
      <c r="F905" t="s">
        <v>35</v>
      </c>
      <c r="G905" t="s">
        <v>23</v>
      </c>
      <c r="H905" t="s">
        <v>19</v>
      </c>
      <c r="I905" t="s">
        <v>20</v>
      </c>
      <c r="J905">
        <v>120</v>
      </c>
      <c r="S905">
        <v>3.6</v>
      </c>
      <c r="T905">
        <v>0</v>
      </c>
      <c r="U905">
        <v>0</v>
      </c>
      <c r="V905">
        <v>0</v>
      </c>
    </row>
    <row r="906" spans="1:22">
      <c r="A906" t="s">
        <v>902</v>
      </c>
      <c r="B906" s="3">
        <v>46186</v>
      </c>
      <c r="C906" t="s">
        <v>47</v>
      </c>
      <c r="D906" t="s">
        <v>64</v>
      </c>
      <c r="E906" t="s">
        <v>16</v>
      </c>
      <c r="F906" t="s">
        <v>35</v>
      </c>
      <c r="G906" t="s">
        <v>23</v>
      </c>
      <c r="H906" t="s">
        <v>19</v>
      </c>
      <c r="I906" t="s">
        <v>20</v>
      </c>
      <c r="J906">
        <v>120</v>
      </c>
      <c r="S906">
        <v>3.6</v>
      </c>
      <c r="T906">
        <v>0</v>
      </c>
      <c r="U906">
        <v>0</v>
      </c>
      <c r="V906">
        <v>0</v>
      </c>
    </row>
    <row r="907" spans="1:22">
      <c r="A907" t="s">
        <v>903</v>
      </c>
      <c r="B907" s="3">
        <v>46186</v>
      </c>
      <c r="C907" t="s">
        <v>47</v>
      </c>
      <c r="D907" t="s">
        <v>148</v>
      </c>
      <c r="E907" t="s">
        <v>16</v>
      </c>
      <c r="F907" t="s">
        <v>17</v>
      </c>
      <c r="G907" t="s">
        <v>18</v>
      </c>
      <c r="H907" t="s">
        <v>19</v>
      </c>
      <c r="I907" t="s">
        <v>20</v>
      </c>
      <c r="J907">
        <v>170</v>
      </c>
      <c r="L907" t="s">
        <v>29</v>
      </c>
      <c r="S907">
        <v>17</v>
      </c>
      <c r="T907">
        <v>0</v>
      </c>
      <c r="U907">
        <v>1</v>
      </c>
      <c r="V907">
        <v>0</v>
      </c>
    </row>
    <row r="908" spans="1:22">
      <c r="A908" t="s">
        <v>904</v>
      </c>
      <c r="B908" s="3">
        <v>46186</v>
      </c>
      <c r="C908" t="s">
        <v>47</v>
      </c>
      <c r="D908" t="s">
        <v>62</v>
      </c>
      <c r="E908" t="s">
        <v>16</v>
      </c>
      <c r="F908" t="s">
        <v>17</v>
      </c>
      <c r="G908" t="s">
        <v>32</v>
      </c>
      <c r="H908" t="s">
        <v>19</v>
      </c>
      <c r="I908" t="s">
        <v>20</v>
      </c>
      <c r="J908">
        <v>300</v>
      </c>
      <c r="S908">
        <v>36</v>
      </c>
      <c r="T908">
        <v>0</v>
      </c>
      <c r="U908">
        <v>1</v>
      </c>
      <c r="V908">
        <v>0</v>
      </c>
    </row>
    <row r="909" spans="1:22">
      <c r="A909" t="s">
        <v>905</v>
      </c>
      <c r="B909" s="3">
        <v>46186</v>
      </c>
      <c r="C909" t="s">
        <v>47</v>
      </c>
      <c r="D909" t="s">
        <v>73</v>
      </c>
      <c r="E909" t="s">
        <v>16</v>
      </c>
      <c r="F909" t="s">
        <v>17</v>
      </c>
      <c r="G909" t="s">
        <v>32</v>
      </c>
      <c r="H909" t="s">
        <v>19</v>
      </c>
      <c r="I909" t="s">
        <v>20</v>
      </c>
      <c r="J909">
        <v>255</v>
      </c>
      <c r="L909" t="s">
        <v>29</v>
      </c>
      <c r="S909">
        <v>30.6</v>
      </c>
      <c r="T909">
        <v>0</v>
      </c>
      <c r="U909">
        <v>1</v>
      </c>
      <c r="V909">
        <v>0</v>
      </c>
    </row>
    <row r="910" spans="1:22">
      <c r="A910" t="s">
        <v>906</v>
      </c>
      <c r="B910" s="3">
        <v>46186</v>
      </c>
      <c r="C910" t="s">
        <v>47</v>
      </c>
      <c r="D910" t="s">
        <v>48</v>
      </c>
      <c r="E910" t="s">
        <v>16</v>
      </c>
      <c r="F910" t="s">
        <v>17</v>
      </c>
      <c r="G910" t="s">
        <v>23</v>
      </c>
      <c r="H910" t="s">
        <v>19</v>
      </c>
      <c r="I910" t="s">
        <v>20</v>
      </c>
      <c r="J910">
        <v>102</v>
      </c>
      <c r="L910" t="s">
        <v>29</v>
      </c>
      <c r="S910">
        <v>8.16</v>
      </c>
      <c r="T910">
        <v>0</v>
      </c>
      <c r="U910">
        <v>1</v>
      </c>
      <c r="V910">
        <v>0</v>
      </c>
    </row>
    <row r="911" spans="1:22">
      <c r="A911" t="s">
        <v>907</v>
      </c>
      <c r="B911" s="3">
        <v>46186</v>
      </c>
      <c r="C911" t="s">
        <v>47</v>
      </c>
      <c r="D911" t="s">
        <v>71</v>
      </c>
      <c r="E911" t="s">
        <v>16</v>
      </c>
      <c r="F911" t="s">
        <v>17</v>
      </c>
      <c r="G911" t="s">
        <v>23</v>
      </c>
      <c r="H911" t="s">
        <v>19</v>
      </c>
      <c r="I911" t="s">
        <v>53</v>
      </c>
      <c r="J911">
        <v>90</v>
      </c>
      <c r="L911" t="s">
        <v>29</v>
      </c>
      <c r="S911">
        <v>0</v>
      </c>
      <c r="T911">
        <v>0</v>
      </c>
      <c r="U911">
        <v>0</v>
      </c>
      <c r="V911">
        <v>0</v>
      </c>
    </row>
    <row r="912" spans="1:22">
      <c r="A912" t="s">
        <v>908</v>
      </c>
      <c r="B912" s="3">
        <v>46186</v>
      </c>
      <c r="C912" t="s">
        <v>47</v>
      </c>
      <c r="D912" t="s">
        <v>62</v>
      </c>
      <c r="E912" t="s">
        <v>16</v>
      </c>
      <c r="F912" t="s">
        <v>17</v>
      </c>
      <c r="G912" t="s">
        <v>18</v>
      </c>
      <c r="H912" t="s">
        <v>19</v>
      </c>
      <c r="I912" t="s">
        <v>20</v>
      </c>
      <c r="J912">
        <v>200</v>
      </c>
      <c r="S912">
        <v>20</v>
      </c>
      <c r="T912">
        <v>0</v>
      </c>
      <c r="U912">
        <v>1</v>
      </c>
      <c r="V912">
        <v>0</v>
      </c>
    </row>
    <row r="913" spans="1:22">
      <c r="A913" t="s">
        <v>909</v>
      </c>
      <c r="B913" s="3">
        <v>46186</v>
      </c>
      <c r="C913" t="s">
        <v>47</v>
      </c>
      <c r="D913" t="s">
        <v>50</v>
      </c>
      <c r="E913" t="s">
        <v>16</v>
      </c>
      <c r="F913" t="s">
        <v>17</v>
      </c>
      <c r="G913" t="s">
        <v>23</v>
      </c>
      <c r="H913" t="s">
        <v>19</v>
      </c>
      <c r="I913" t="s">
        <v>20</v>
      </c>
      <c r="J913">
        <v>90</v>
      </c>
      <c r="L913" t="s">
        <v>29</v>
      </c>
      <c r="S913">
        <v>7.2</v>
      </c>
      <c r="T913">
        <v>0</v>
      </c>
      <c r="U913">
        <v>1</v>
      </c>
      <c r="V913">
        <v>0</v>
      </c>
    </row>
    <row r="914" spans="1:22">
      <c r="A914" t="s">
        <v>910</v>
      </c>
      <c r="B914" s="3">
        <v>46186</v>
      </c>
      <c r="C914" t="s">
        <v>47</v>
      </c>
      <c r="D914" t="s">
        <v>148</v>
      </c>
      <c r="E914" t="s">
        <v>16</v>
      </c>
      <c r="F914" t="s">
        <v>17</v>
      </c>
      <c r="G914" t="s">
        <v>32</v>
      </c>
      <c r="H914" t="s">
        <v>19</v>
      </c>
      <c r="I914" t="s">
        <v>20</v>
      </c>
      <c r="J914">
        <v>300</v>
      </c>
      <c r="S914">
        <v>36</v>
      </c>
      <c r="T914">
        <v>0</v>
      </c>
      <c r="U914">
        <v>1</v>
      </c>
      <c r="V914">
        <v>0</v>
      </c>
    </row>
    <row r="915" spans="1:22">
      <c r="A915" t="s">
        <v>911</v>
      </c>
      <c r="B915" s="3">
        <v>46186</v>
      </c>
      <c r="C915" t="s">
        <v>47</v>
      </c>
      <c r="D915" t="s">
        <v>148</v>
      </c>
      <c r="E915" t="s">
        <v>16</v>
      </c>
      <c r="F915" t="s">
        <v>17</v>
      </c>
      <c r="G915" t="s">
        <v>32</v>
      </c>
      <c r="H915" t="s">
        <v>19</v>
      </c>
      <c r="I915" t="s">
        <v>20</v>
      </c>
      <c r="J915">
        <v>300</v>
      </c>
      <c r="S915">
        <v>36</v>
      </c>
      <c r="T915">
        <v>0</v>
      </c>
      <c r="U915">
        <v>1</v>
      </c>
      <c r="V915">
        <v>0</v>
      </c>
    </row>
    <row r="916" spans="1:22">
      <c r="A916" t="s">
        <v>912</v>
      </c>
      <c r="B916" s="3">
        <v>46186</v>
      </c>
      <c r="C916" t="s">
        <v>78</v>
      </c>
      <c r="D916" t="s">
        <v>163</v>
      </c>
      <c r="E916" t="s">
        <v>16</v>
      </c>
      <c r="F916" t="s">
        <v>35</v>
      </c>
      <c r="G916" t="s">
        <v>23</v>
      </c>
      <c r="H916" t="s">
        <v>19</v>
      </c>
      <c r="I916" t="s">
        <v>20</v>
      </c>
      <c r="J916">
        <v>120</v>
      </c>
      <c r="S916">
        <v>3.6</v>
      </c>
      <c r="T916">
        <v>0</v>
      </c>
      <c r="U916">
        <v>0</v>
      </c>
      <c r="V916">
        <v>0</v>
      </c>
    </row>
    <row r="917" spans="1:22">
      <c r="A917" t="s">
        <v>913</v>
      </c>
      <c r="B917" s="3">
        <v>46186</v>
      </c>
      <c r="C917" t="s">
        <v>78</v>
      </c>
      <c r="D917" t="s">
        <v>163</v>
      </c>
      <c r="E917" t="s">
        <v>16</v>
      </c>
      <c r="F917" t="s">
        <v>17</v>
      </c>
      <c r="G917" t="s">
        <v>23</v>
      </c>
      <c r="H917" t="s">
        <v>19</v>
      </c>
      <c r="I917" t="s">
        <v>20</v>
      </c>
      <c r="J917">
        <v>120</v>
      </c>
      <c r="S917">
        <v>9.6</v>
      </c>
      <c r="T917">
        <v>0</v>
      </c>
      <c r="U917">
        <v>1</v>
      </c>
      <c r="V917">
        <v>0</v>
      </c>
    </row>
    <row r="918" spans="1:22">
      <c r="A918" t="s">
        <v>914</v>
      </c>
      <c r="B918" s="3">
        <v>46186</v>
      </c>
      <c r="C918" t="s">
        <v>78</v>
      </c>
      <c r="D918" t="s">
        <v>87</v>
      </c>
      <c r="E918" t="s">
        <v>16</v>
      </c>
      <c r="F918" t="s">
        <v>17</v>
      </c>
      <c r="G918" t="s">
        <v>18</v>
      </c>
      <c r="H918" t="s">
        <v>19</v>
      </c>
      <c r="I918" t="s">
        <v>20</v>
      </c>
      <c r="J918">
        <v>200</v>
      </c>
      <c r="S918">
        <v>20</v>
      </c>
      <c r="T918">
        <v>0</v>
      </c>
      <c r="U918">
        <v>1</v>
      </c>
      <c r="V918">
        <v>0</v>
      </c>
    </row>
    <row r="919" spans="1:22">
      <c r="A919" t="s">
        <v>915</v>
      </c>
      <c r="B919" s="3">
        <v>46186</v>
      </c>
      <c r="C919" t="s">
        <v>78</v>
      </c>
      <c r="D919" t="s">
        <v>163</v>
      </c>
      <c r="E919" t="s">
        <v>16</v>
      </c>
      <c r="F919" t="s">
        <v>17</v>
      </c>
      <c r="G919" t="s">
        <v>18</v>
      </c>
      <c r="H919" t="s">
        <v>19</v>
      </c>
      <c r="I919" t="s">
        <v>20</v>
      </c>
      <c r="J919">
        <v>200</v>
      </c>
      <c r="S919">
        <v>20</v>
      </c>
      <c r="T919">
        <v>0</v>
      </c>
      <c r="U919">
        <v>1</v>
      </c>
      <c r="V919">
        <v>0</v>
      </c>
    </row>
    <row r="920" spans="1:22">
      <c r="A920" t="s">
        <v>916</v>
      </c>
      <c r="B920" s="3">
        <v>46186</v>
      </c>
      <c r="C920" t="s">
        <v>78</v>
      </c>
      <c r="D920" t="s">
        <v>163</v>
      </c>
      <c r="E920" t="s">
        <v>16</v>
      </c>
      <c r="F920" t="s">
        <v>17</v>
      </c>
      <c r="G920" t="s">
        <v>32</v>
      </c>
      <c r="H920" t="s">
        <v>19</v>
      </c>
      <c r="I920" t="s">
        <v>20</v>
      </c>
      <c r="J920">
        <v>225</v>
      </c>
      <c r="L920" t="s">
        <v>29</v>
      </c>
      <c r="S920">
        <v>27</v>
      </c>
      <c r="T920">
        <v>0</v>
      </c>
      <c r="U920">
        <v>1</v>
      </c>
      <c r="V920">
        <v>0</v>
      </c>
    </row>
    <row r="921" spans="1:22">
      <c r="A921" t="s">
        <v>917</v>
      </c>
      <c r="B921" s="3">
        <v>46186</v>
      </c>
      <c r="C921" t="s">
        <v>78</v>
      </c>
      <c r="D921" t="s">
        <v>87</v>
      </c>
      <c r="E921" t="s">
        <v>16</v>
      </c>
      <c r="F921" t="s">
        <v>35</v>
      </c>
      <c r="G921" t="s">
        <v>23</v>
      </c>
      <c r="H921" t="s">
        <v>19</v>
      </c>
      <c r="I921" t="s">
        <v>20</v>
      </c>
      <c r="J921">
        <v>120</v>
      </c>
      <c r="S921">
        <v>3.6</v>
      </c>
      <c r="T921">
        <v>0</v>
      </c>
      <c r="U921">
        <v>0</v>
      </c>
      <c r="V921">
        <v>0</v>
      </c>
    </row>
    <row r="922" spans="1:22">
      <c r="A922" t="s">
        <v>918</v>
      </c>
      <c r="B922" s="3">
        <v>46186</v>
      </c>
      <c r="C922" t="s">
        <v>78</v>
      </c>
      <c r="D922" t="s">
        <v>102</v>
      </c>
      <c r="E922" t="s">
        <v>16</v>
      </c>
      <c r="F922" t="s">
        <v>35</v>
      </c>
      <c r="G922" t="s">
        <v>32</v>
      </c>
      <c r="H922" t="s">
        <v>19</v>
      </c>
      <c r="I922" t="s">
        <v>20</v>
      </c>
      <c r="J922">
        <v>255</v>
      </c>
      <c r="L922" t="s">
        <v>29</v>
      </c>
      <c r="S922">
        <v>7.65</v>
      </c>
      <c r="T922">
        <v>0</v>
      </c>
      <c r="U922">
        <v>0</v>
      </c>
      <c r="V922">
        <v>0</v>
      </c>
    </row>
    <row r="923" spans="1:22">
      <c r="A923" t="s">
        <v>919</v>
      </c>
      <c r="B923" s="3">
        <v>46186</v>
      </c>
      <c r="C923" t="s">
        <v>78</v>
      </c>
      <c r="D923" t="s">
        <v>87</v>
      </c>
      <c r="E923" t="s">
        <v>16</v>
      </c>
      <c r="F923" t="s">
        <v>17</v>
      </c>
      <c r="G923" t="s">
        <v>18</v>
      </c>
      <c r="H923" t="s">
        <v>24</v>
      </c>
      <c r="I923" t="s">
        <v>20</v>
      </c>
      <c r="J923">
        <v>200</v>
      </c>
      <c r="S923">
        <v>0</v>
      </c>
      <c r="T923">
        <v>0</v>
      </c>
      <c r="U923">
        <v>0</v>
      </c>
      <c r="V923">
        <v>0</v>
      </c>
    </row>
    <row r="924" spans="1:22">
      <c r="A924" t="s">
        <v>920</v>
      </c>
      <c r="B924" s="3">
        <v>46186</v>
      </c>
      <c r="C924" t="s">
        <v>78</v>
      </c>
      <c r="D924" t="s">
        <v>85</v>
      </c>
      <c r="E924" t="s">
        <v>16</v>
      </c>
      <c r="F924" t="s">
        <v>17</v>
      </c>
      <c r="G924" t="s">
        <v>23</v>
      </c>
      <c r="H924" t="s">
        <v>24</v>
      </c>
      <c r="I924" t="s">
        <v>20</v>
      </c>
      <c r="J924">
        <v>120</v>
      </c>
      <c r="S924">
        <v>0</v>
      </c>
      <c r="T924">
        <v>0</v>
      </c>
      <c r="U924">
        <v>0</v>
      </c>
      <c r="V924">
        <v>0</v>
      </c>
    </row>
    <row r="925" spans="1:22">
      <c r="A925" t="s">
        <v>921</v>
      </c>
      <c r="B925" s="3">
        <v>46186</v>
      </c>
      <c r="C925" t="s">
        <v>78</v>
      </c>
      <c r="D925" t="s">
        <v>97</v>
      </c>
      <c r="E925" t="s">
        <v>16</v>
      </c>
      <c r="F925" t="s">
        <v>35</v>
      </c>
      <c r="G925" t="s">
        <v>18</v>
      </c>
      <c r="H925" t="s">
        <v>19</v>
      </c>
      <c r="I925" t="s">
        <v>20</v>
      </c>
      <c r="J925">
        <v>170</v>
      </c>
      <c r="L925" t="s">
        <v>29</v>
      </c>
      <c r="S925">
        <v>5.0999999999999996</v>
      </c>
      <c r="T925">
        <v>0</v>
      </c>
      <c r="U925">
        <v>0</v>
      </c>
      <c r="V925">
        <v>0</v>
      </c>
    </row>
    <row r="926" spans="1:22">
      <c r="A926" t="s">
        <v>922</v>
      </c>
      <c r="B926" s="3">
        <v>46186</v>
      </c>
      <c r="C926" t="s">
        <v>78</v>
      </c>
      <c r="D926" t="s">
        <v>161</v>
      </c>
      <c r="E926" t="s">
        <v>16</v>
      </c>
      <c r="F926" t="s">
        <v>17</v>
      </c>
      <c r="G926" t="s">
        <v>18</v>
      </c>
      <c r="H926" t="s">
        <v>19</v>
      </c>
      <c r="I926" t="s">
        <v>20</v>
      </c>
      <c r="J926">
        <v>200</v>
      </c>
      <c r="S926">
        <v>20</v>
      </c>
      <c r="T926">
        <v>0</v>
      </c>
      <c r="U926">
        <v>1</v>
      </c>
      <c r="V926">
        <v>0</v>
      </c>
    </row>
    <row r="927" spans="1:22">
      <c r="A927" t="s">
        <v>923</v>
      </c>
      <c r="B927" s="3">
        <v>46186</v>
      </c>
      <c r="C927" t="s">
        <v>78</v>
      </c>
      <c r="D927" t="s">
        <v>97</v>
      </c>
      <c r="E927" t="s">
        <v>16</v>
      </c>
      <c r="F927" t="s">
        <v>17</v>
      </c>
      <c r="G927" t="s">
        <v>18</v>
      </c>
      <c r="H927" t="s">
        <v>24</v>
      </c>
      <c r="I927" t="s">
        <v>20</v>
      </c>
      <c r="J927">
        <v>200</v>
      </c>
      <c r="S927">
        <v>0</v>
      </c>
      <c r="T927">
        <v>0</v>
      </c>
      <c r="U927">
        <v>0</v>
      </c>
      <c r="V927">
        <v>0</v>
      </c>
    </row>
    <row r="928" spans="1:22">
      <c r="A928" t="s">
        <v>924</v>
      </c>
      <c r="B928" s="3">
        <v>46186</v>
      </c>
      <c r="C928" t="s">
        <v>78</v>
      </c>
      <c r="D928" t="s">
        <v>83</v>
      </c>
      <c r="E928" t="s">
        <v>16</v>
      </c>
      <c r="F928" t="s">
        <v>17</v>
      </c>
      <c r="G928" t="s">
        <v>23</v>
      </c>
      <c r="H928" t="s">
        <v>19</v>
      </c>
      <c r="I928" t="s">
        <v>20</v>
      </c>
      <c r="J928">
        <v>120</v>
      </c>
      <c r="S928">
        <v>9.6</v>
      </c>
      <c r="T928">
        <v>0</v>
      </c>
      <c r="U928">
        <v>1</v>
      </c>
      <c r="V928">
        <v>0</v>
      </c>
    </row>
    <row r="929" spans="1:22">
      <c r="A929" t="s">
        <v>925</v>
      </c>
      <c r="B929" s="3">
        <v>46186</v>
      </c>
      <c r="C929" t="s">
        <v>105</v>
      </c>
      <c r="D929" t="s">
        <v>120</v>
      </c>
      <c r="E929" t="s">
        <v>16</v>
      </c>
      <c r="F929" t="s">
        <v>17</v>
      </c>
      <c r="G929" t="s">
        <v>23</v>
      </c>
      <c r="H929" t="s">
        <v>19</v>
      </c>
      <c r="I929" t="s">
        <v>20</v>
      </c>
      <c r="J929">
        <v>120</v>
      </c>
      <c r="S929">
        <v>9.6</v>
      </c>
      <c r="T929">
        <v>0</v>
      </c>
      <c r="U929">
        <v>1</v>
      </c>
      <c r="V929">
        <v>0</v>
      </c>
    </row>
    <row r="930" spans="1:22">
      <c r="A930" t="s">
        <v>926</v>
      </c>
      <c r="B930" s="3">
        <v>46186</v>
      </c>
      <c r="C930" t="s">
        <v>105</v>
      </c>
      <c r="D930" t="s">
        <v>191</v>
      </c>
      <c r="E930" t="s">
        <v>16</v>
      </c>
      <c r="F930" t="s">
        <v>17</v>
      </c>
      <c r="G930" t="s">
        <v>18</v>
      </c>
      <c r="H930" t="s">
        <v>19</v>
      </c>
      <c r="I930" t="s">
        <v>20</v>
      </c>
      <c r="J930">
        <v>170</v>
      </c>
      <c r="L930" t="s">
        <v>29</v>
      </c>
      <c r="S930">
        <v>17</v>
      </c>
      <c r="T930">
        <v>0</v>
      </c>
      <c r="U930">
        <v>1</v>
      </c>
      <c r="V930">
        <v>0</v>
      </c>
    </row>
    <row r="931" spans="1:22">
      <c r="A931" t="s">
        <v>927</v>
      </c>
      <c r="B931" s="3">
        <v>46186</v>
      </c>
      <c r="C931" t="s">
        <v>105</v>
      </c>
      <c r="D931" t="s">
        <v>110</v>
      </c>
      <c r="E931" t="s">
        <v>16</v>
      </c>
      <c r="F931" t="s">
        <v>17</v>
      </c>
      <c r="G931" t="s">
        <v>23</v>
      </c>
      <c r="H931" t="s">
        <v>24</v>
      </c>
      <c r="I931" t="s">
        <v>20</v>
      </c>
      <c r="J931">
        <v>120</v>
      </c>
      <c r="S931">
        <v>0</v>
      </c>
      <c r="T931">
        <v>0</v>
      </c>
      <c r="U931">
        <v>0</v>
      </c>
      <c r="V931">
        <v>0</v>
      </c>
    </row>
    <row r="932" spans="1:22">
      <c r="A932" t="s">
        <v>928</v>
      </c>
      <c r="B932" s="3">
        <v>46186</v>
      </c>
      <c r="C932" t="s">
        <v>105</v>
      </c>
      <c r="D932" t="s">
        <v>116</v>
      </c>
      <c r="E932" t="s">
        <v>16</v>
      </c>
      <c r="F932" t="s">
        <v>17</v>
      </c>
      <c r="G932" t="s">
        <v>18</v>
      </c>
      <c r="H932" t="s">
        <v>19</v>
      </c>
      <c r="I932" t="s">
        <v>20</v>
      </c>
      <c r="J932">
        <v>200</v>
      </c>
      <c r="S932">
        <v>20</v>
      </c>
      <c r="T932">
        <v>0</v>
      </c>
      <c r="U932">
        <v>1</v>
      </c>
      <c r="V932">
        <v>0</v>
      </c>
    </row>
    <row r="933" spans="1:22">
      <c r="A933" t="s">
        <v>929</v>
      </c>
      <c r="B933" s="3">
        <v>46186</v>
      </c>
      <c r="C933" t="s">
        <v>105</v>
      </c>
      <c r="D933" t="s">
        <v>116</v>
      </c>
      <c r="E933" t="s">
        <v>16</v>
      </c>
      <c r="F933" t="s">
        <v>17</v>
      </c>
      <c r="G933" t="s">
        <v>18</v>
      </c>
      <c r="H933" t="s">
        <v>19</v>
      </c>
      <c r="I933" t="s">
        <v>20</v>
      </c>
      <c r="J933">
        <v>200</v>
      </c>
      <c r="S933">
        <v>20</v>
      </c>
      <c r="T933">
        <v>0</v>
      </c>
      <c r="U933">
        <v>1</v>
      </c>
      <c r="V933">
        <v>0</v>
      </c>
    </row>
    <row r="934" spans="1:22">
      <c r="A934" t="s">
        <v>930</v>
      </c>
      <c r="B934" s="3">
        <v>46186</v>
      </c>
      <c r="C934" t="s">
        <v>105</v>
      </c>
      <c r="D934" t="s">
        <v>187</v>
      </c>
      <c r="E934" t="s">
        <v>16</v>
      </c>
      <c r="F934" t="s">
        <v>17</v>
      </c>
      <c r="G934" t="s">
        <v>18</v>
      </c>
      <c r="H934" t="s">
        <v>19</v>
      </c>
      <c r="I934" t="s">
        <v>20</v>
      </c>
      <c r="J934">
        <v>200</v>
      </c>
      <c r="S934">
        <v>20</v>
      </c>
      <c r="T934">
        <v>0</v>
      </c>
      <c r="U934">
        <v>1</v>
      </c>
      <c r="V934">
        <v>0</v>
      </c>
    </row>
    <row r="935" spans="1:22">
      <c r="A935" t="s">
        <v>931</v>
      </c>
      <c r="B935" s="3">
        <v>46186</v>
      </c>
      <c r="C935" t="s">
        <v>105</v>
      </c>
      <c r="D935" t="s">
        <v>182</v>
      </c>
      <c r="E935" t="s">
        <v>16</v>
      </c>
      <c r="F935" t="s">
        <v>17</v>
      </c>
      <c r="G935" t="s">
        <v>32</v>
      </c>
      <c r="H935" t="s">
        <v>19</v>
      </c>
      <c r="I935" t="s">
        <v>20</v>
      </c>
      <c r="J935">
        <v>255</v>
      </c>
      <c r="L935" t="s">
        <v>29</v>
      </c>
      <c r="S935">
        <v>30.6</v>
      </c>
      <c r="T935">
        <v>0</v>
      </c>
      <c r="U935">
        <v>1</v>
      </c>
      <c r="V935">
        <v>0</v>
      </c>
    </row>
    <row r="936" spans="1:22">
      <c r="A936" t="s">
        <v>932</v>
      </c>
      <c r="B936" s="3">
        <v>46186</v>
      </c>
      <c r="C936" t="s">
        <v>105</v>
      </c>
      <c r="D936" t="s">
        <v>108</v>
      </c>
      <c r="E936" t="s">
        <v>16</v>
      </c>
      <c r="F936" t="s">
        <v>17</v>
      </c>
      <c r="G936" t="s">
        <v>32</v>
      </c>
      <c r="H936" t="s">
        <v>19</v>
      </c>
      <c r="I936" t="s">
        <v>20</v>
      </c>
      <c r="J936">
        <v>300</v>
      </c>
      <c r="S936">
        <v>36</v>
      </c>
      <c r="T936">
        <v>0</v>
      </c>
      <c r="U936">
        <v>1</v>
      </c>
      <c r="V936">
        <v>0</v>
      </c>
    </row>
    <row r="937" spans="1:22">
      <c r="A937" t="s">
        <v>933</v>
      </c>
      <c r="B937" s="3">
        <v>46186</v>
      </c>
      <c r="C937" t="s">
        <v>105</v>
      </c>
      <c r="D937" t="s">
        <v>112</v>
      </c>
      <c r="E937" t="s">
        <v>16</v>
      </c>
      <c r="F937" t="s">
        <v>17</v>
      </c>
      <c r="G937" t="s">
        <v>23</v>
      </c>
      <c r="H937" t="s">
        <v>19</v>
      </c>
      <c r="I937" t="s">
        <v>20</v>
      </c>
      <c r="J937">
        <v>120</v>
      </c>
      <c r="S937">
        <v>9.6</v>
      </c>
      <c r="T937">
        <v>0</v>
      </c>
      <c r="U937">
        <v>1</v>
      </c>
      <c r="V937">
        <v>0</v>
      </c>
    </row>
    <row r="938" spans="1:22">
      <c r="A938" t="s">
        <v>934</v>
      </c>
      <c r="B938" s="3">
        <v>46186</v>
      </c>
      <c r="C938" t="s">
        <v>105</v>
      </c>
      <c r="D938" t="s">
        <v>108</v>
      </c>
      <c r="E938" t="s">
        <v>16</v>
      </c>
      <c r="F938" t="s">
        <v>35</v>
      </c>
      <c r="G938" t="s">
        <v>23</v>
      </c>
      <c r="H938" t="s">
        <v>19</v>
      </c>
      <c r="I938" t="s">
        <v>20</v>
      </c>
      <c r="J938">
        <v>120</v>
      </c>
      <c r="S938">
        <v>3.6</v>
      </c>
      <c r="T938">
        <v>0</v>
      </c>
      <c r="U938">
        <v>0</v>
      </c>
      <c r="V938">
        <v>0</v>
      </c>
    </row>
    <row r="939" spans="1:22">
      <c r="A939" t="s">
        <v>935</v>
      </c>
      <c r="B939" s="3">
        <v>46186</v>
      </c>
      <c r="C939" t="s">
        <v>105</v>
      </c>
      <c r="D939" t="s">
        <v>108</v>
      </c>
      <c r="E939" t="s">
        <v>16</v>
      </c>
      <c r="F939" t="s">
        <v>17</v>
      </c>
      <c r="G939" t="s">
        <v>32</v>
      </c>
      <c r="H939" t="s">
        <v>19</v>
      </c>
      <c r="I939" t="s">
        <v>20</v>
      </c>
      <c r="J939">
        <v>225</v>
      </c>
      <c r="L939" t="s">
        <v>29</v>
      </c>
      <c r="S939">
        <v>27</v>
      </c>
      <c r="T939">
        <v>0</v>
      </c>
      <c r="U939">
        <v>1</v>
      </c>
      <c r="V939">
        <v>0</v>
      </c>
    </row>
    <row r="940" spans="1:22">
      <c r="A940" t="s">
        <v>936</v>
      </c>
      <c r="B940" s="3">
        <v>46186</v>
      </c>
      <c r="C940" t="s">
        <v>105</v>
      </c>
      <c r="D940" t="s">
        <v>182</v>
      </c>
      <c r="E940" t="s">
        <v>16</v>
      </c>
      <c r="F940" t="s">
        <v>35</v>
      </c>
      <c r="G940" t="s">
        <v>18</v>
      </c>
      <c r="H940" t="s">
        <v>19</v>
      </c>
      <c r="I940" t="s">
        <v>20</v>
      </c>
      <c r="J940">
        <v>200</v>
      </c>
      <c r="S940">
        <v>6</v>
      </c>
      <c r="T940">
        <v>0</v>
      </c>
      <c r="U940">
        <v>0</v>
      </c>
      <c r="V940">
        <v>0</v>
      </c>
    </row>
    <row r="941" spans="1:22">
      <c r="A941" t="s">
        <v>937</v>
      </c>
      <c r="B941" s="3">
        <v>46186</v>
      </c>
      <c r="C941" t="s">
        <v>105</v>
      </c>
      <c r="D941" t="s">
        <v>265</v>
      </c>
      <c r="E941" t="s">
        <v>16</v>
      </c>
      <c r="F941" t="s">
        <v>17</v>
      </c>
      <c r="G941" t="s">
        <v>23</v>
      </c>
      <c r="H941" t="s">
        <v>19</v>
      </c>
      <c r="I941" t="s">
        <v>20</v>
      </c>
      <c r="J941">
        <v>120</v>
      </c>
      <c r="S941">
        <v>9.6</v>
      </c>
      <c r="T941">
        <v>0</v>
      </c>
      <c r="U941">
        <v>1</v>
      </c>
      <c r="V941">
        <v>0</v>
      </c>
    </row>
    <row r="942" spans="1:22">
      <c r="A942" t="s">
        <v>938</v>
      </c>
      <c r="B942" s="3">
        <v>46186</v>
      </c>
      <c r="C942" t="s">
        <v>105</v>
      </c>
      <c r="D942" t="s">
        <v>112</v>
      </c>
      <c r="E942" t="s">
        <v>16</v>
      </c>
      <c r="F942" t="s">
        <v>17</v>
      </c>
      <c r="G942" t="s">
        <v>23</v>
      </c>
      <c r="H942" t="s">
        <v>24</v>
      </c>
      <c r="I942" t="s">
        <v>20</v>
      </c>
      <c r="J942">
        <v>120</v>
      </c>
      <c r="S942">
        <v>0</v>
      </c>
      <c r="T942">
        <v>0</v>
      </c>
      <c r="U942">
        <v>0</v>
      </c>
      <c r="V942">
        <v>0</v>
      </c>
    </row>
    <row r="943" spans="1:22">
      <c r="A943" t="s">
        <v>939</v>
      </c>
      <c r="B943" s="3">
        <v>46186</v>
      </c>
      <c r="C943" t="s">
        <v>105</v>
      </c>
      <c r="D943" t="s">
        <v>112</v>
      </c>
      <c r="E943" t="s">
        <v>16</v>
      </c>
      <c r="F943" t="s">
        <v>17</v>
      </c>
      <c r="G943" t="s">
        <v>18</v>
      </c>
      <c r="H943" t="s">
        <v>19</v>
      </c>
      <c r="I943" t="s">
        <v>20</v>
      </c>
      <c r="J943">
        <v>200</v>
      </c>
      <c r="S943">
        <v>20</v>
      </c>
      <c r="T943">
        <v>0</v>
      </c>
      <c r="U943">
        <v>1</v>
      </c>
      <c r="V943">
        <v>0</v>
      </c>
    </row>
    <row r="944" spans="1:22">
      <c r="A944" t="s">
        <v>940</v>
      </c>
      <c r="B944" s="3">
        <v>46186</v>
      </c>
      <c r="C944" t="s">
        <v>105</v>
      </c>
      <c r="D944" t="s">
        <v>112</v>
      </c>
      <c r="E944" t="s">
        <v>16</v>
      </c>
      <c r="F944" t="s">
        <v>35</v>
      </c>
      <c r="G944" t="s">
        <v>23</v>
      </c>
      <c r="H944" t="s">
        <v>19</v>
      </c>
      <c r="I944" t="s">
        <v>20</v>
      </c>
      <c r="J944">
        <v>120</v>
      </c>
      <c r="S944">
        <v>3.6</v>
      </c>
      <c r="T944">
        <v>0</v>
      </c>
      <c r="U944">
        <v>0</v>
      </c>
      <c r="V944">
        <v>0</v>
      </c>
    </row>
    <row r="945" spans="1:22">
      <c r="A945" t="s">
        <v>945</v>
      </c>
      <c r="B945" s="3">
        <v>46187</v>
      </c>
      <c r="C945" t="s">
        <v>14</v>
      </c>
      <c r="D945" t="s">
        <v>40</v>
      </c>
      <c r="E945" t="s">
        <v>16</v>
      </c>
      <c r="F945" t="s">
        <v>17</v>
      </c>
      <c r="G945" t="s">
        <v>18</v>
      </c>
      <c r="H945" t="s">
        <v>19</v>
      </c>
      <c r="I945" t="s">
        <v>20</v>
      </c>
      <c r="J945">
        <v>200</v>
      </c>
      <c r="S945">
        <v>20</v>
      </c>
      <c r="T945">
        <v>0</v>
      </c>
      <c r="U945">
        <v>1</v>
      </c>
      <c r="V945">
        <v>0</v>
      </c>
    </row>
    <row r="946" spans="1:22">
      <c r="A946" t="s">
        <v>947</v>
      </c>
      <c r="B946" s="3">
        <v>46187</v>
      </c>
      <c r="C946" t="s">
        <v>14</v>
      </c>
      <c r="D946" t="s">
        <v>31</v>
      </c>
      <c r="E946" t="s">
        <v>16</v>
      </c>
      <c r="F946" t="s">
        <v>35</v>
      </c>
      <c r="G946" t="s">
        <v>18</v>
      </c>
      <c r="H946" t="s">
        <v>19</v>
      </c>
      <c r="I946" t="s">
        <v>20</v>
      </c>
      <c r="J946">
        <v>170</v>
      </c>
      <c r="L946" t="s">
        <v>29</v>
      </c>
      <c r="S946">
        <v>5.0999999999999996</v>
      </c>
      <c r="T946">
        <v>0</v>
      </c>
      <c r="U946">
        <v>0</v>
      </c>
      <c r="V946">
        <v>0</v>
      </c>
    </row>
    <row r="947" spans="1:22">
      <c r="A947" t="s">
        <v>948</v>
      </c>
      <c r="B947" s="3">
        <v>46187</v>
      </c>
      <c r="C947" t="s">
        <v>14</v>
      </c>
      <c r="D947" t="s">
        <v>34</v>
      </c>
      <c r="E947" t="s">
        <v>16</v>
      </c>
      <c r="F947" t="s">
        <v>17</v>
      </c>
      <c r="G947" t="s">
        <v>23</v>
      </c>
      <c r="H947" t="s">
        <v>19</v>
      </c>
      <c r="I947" t="s">
        <v>20</v>
      </c>
      <c r="J947">
        <v>120</v>
      </c>
      <c r="S947">
        <v>9.6</v>
      </c>
      <c r="T947">
        <v>0</v>
      </c>
      <c r="U947">
        <v>1</v>
      </c>
      <c r="V947">
        <v>0</v>
      </c>
    </row>
    <row r="948" spans="1:22">
      <c r="A948" t="s">
        <v>949</v>
      </c>
      <c r="B948" s="3">
        <v>46187</v>
      </c>
      <c r="C948" t="s">
        <v>14</v>
      </c>
      <c r="D948" t="s">
        <v>137</v>
      </c>
      <c r="E948" t="s">
        <v>16</v>
      </c>
      <c r="F948" t="s">
        <v>17</v>
      </c>
      <c r="G948" t="s">
        <v>18</v>
      </c>
      <c r="H948" t="s">
        <v>19</v>
      </c>
      <c r="I948" t="s">
        <v>20</v>
      </c>
      <c r="J948">
        <v>200</v>
      </c>
      <c r="S948">
        <v>20</v>
      </c>
      <c r="T948">
        <v>0</v>
      </c>
      <c r="U948">
        <v>1</v>
      </c>
      <c r="V948">
        <v>0</v>
      </c>
    </row>
    <row r="949" spans="1:22">
      <c r="A949" t="s">
        <v>950</v>
      </c>
      <c r="B949" s="3">
        <v>46187</v>
      </c>
      <c r="C949" t="s">
        <v>14</v>
      </c>
      <c r="D949" t="s">
        <v>28</v>
      </c>
      <c r="E949" t="s">
        <v>16</v>
      </c>
      <c r="F949" t="s">
        <v>17</v>
      </c>
      <c r="G949" t="s">
        <v>32</v>
      </c>
      <c r="H949" t="s">
        <v>19</v>
      </c>
      <c r="I949" t="s">
        <v>20</v>
      </c>
      <c r="J949">
        <v>300</v>
      </c>
      <c r="S949">
        <v>36</v>
      </c>
      <c r="T949">
        <v>0</v>
      </c>
      <c r="U949">
        <v>1</v>
      </c>
      <c r="V949">
        <v>0</v>
      </c>
    </row>
    <row r="950" spans="1:22">
      <c r="A950" t="s">
        <v>951</v>
      </c>
      <c r="B950" s="3">
        <v>46187</v>
      </c>
      <c r="C950" t="s">
        <v>14</v>
      </c>
      <c r="D950" t="s">
        <v>37</v>
      </c>
      <c r="E950" t="s">
        <v>16</v>
      </c>
      <c r="F950" t="s">
        <v>17</v>
      </c>
      <c r="G950" t="s">
        <v>18</v>
      </c>
      <c r="H950" t="s">
        <v>19</v>
      </c>
      <c r="I950" t="s">
        <v>20</v>
      </c>
      <c r="J950">
        <v>200</v>
      </c>
      <c r="S950">
        <v>20</v>
      </c>
      <c r="T950">
        <v>0</v>
      </c>
      <c r="U950">
        <v>1</v>
      </c>
      <c r="V950">
        <v>0</v>
      </c>
    </row>
    <row r="951" spans="1:22">
      <c r="A951" t="s">
        <v>952</v>
      </c>
      <c r="B951" s="3">
        <v>46187</v>
      </c>
      <c r="C951" t="s">
        <v>14</v>
      </c>
      <c r="D951" t="s">
        <v>137</v>
      </c>
      <c r="E951" t="s">
        <v>16</v>
      </c>
      <c r="F951" t="s">
        <v>17</v>
      </c>
      <c r="G951" t="s">
        <v>32</v>
      </c>
      <c r="H951" t="s">
        <v>19</v>
      </c>
      <c r="I951" t="s">
        <v>20</v>
      </c>
      <c r="J951">
        <v>300</v>
      </c>
      <c r="S951">
        <v>36</v>
      </c>
      <c r="T951">
        <v>0</v>
      </c>
      <c r="U951">
        <v>1</v>
      </c>
      <c r="V951">
        <v>0</v>
      </c>
    </row>
    <row r="952" spans="1:22">
      <c r="A952" t="s">
        <v>953</v>
      </c>
      <c r="B952" s="3">
        <v>46187</v>
      </c>
      <c r="C952" t="s">
        <v>14</v>
      </c>
      <c r="D952" t="s">
        <v>42</v>
      </c>
      <c r="E952" t="s">
        <v>16</v>
      </c>
      <c r="F952" t="s">
        <v>17</v>
      </c>
      <c r="G952" t="s">
        <v>32</v>
      </c>
      <c r="H952" t="s">
        <v>24</v>
      </c>
      <c r="I952" t="s">
        <v>20</v>
      </c>
      <c r="J952">
        <v>300</v>
      </c>
      <c r="S952">
        <v>0</v>
      </c>
      <c r="T952">
        <v>0</v>
      </c>
      <c r="U952">
        <v>0</v>
      </c>
      <c r="V952">
        <v>0</v>
      </c>
    </row>
    <row r="953" spans="1:22">
      <c r="A953" t="s">
        <v>954</v>
      </c>
      <c r="B953" s="3">
        <v>46187</v>
      </c>
      <c r="C953" t="s">
        <v>14</v>
      </c>
      <c r="D953" t="s">
        <v>37</v>
      </c>
      <c r="E953" t="s">
        <v>16</v>
      </c>
      <c r="F953" t="s">
        <v>17</v>
      </c>
      <c r="G953" t="s">
        <v>23</v>
      </c>
      <c r="H953" t="s">
        <v>24</v>
      </c>
      <c r="I953" t="s">
        <v>20</v>
      </c>
      <c r="J953">
        <v>120</v>
      </c>
      <c r="S953">
        <v>0</v>
      </c>
      <c r="T953">
        <v>0</v>
      </c>
      <c r="U953">
        <v>0</v>
      </c>
      <c r="V953">
        <v>0</v>
      </c>
    </row>
    <row r="954" spans="1:22">
      <c r="A954" t="s">
        <v>955</v>
      </c>
      <c r="B954" s="3">
        <v>46187</v>
      </c>
      <c r="C954" t="s">
        <v>14</v>
      </c>
      <c r="D954" t="s">
        <v>26</v>
      </c>
      <c r="E954" t="s">
        <v>16</v>
      </c>
      <c r="F954" t="s">
        <v>17</v>
      </c>
      <c r="G954" t="s">
        <v>32</v>
      </c>
      <c r="H954" t="s">
        <v>19</v>
      </c>
      <c r="I954" t="s">
        <v>20</v>
      </c>
      <c r="J954">
        <v>300</v>
      </c>
      <c r="S954">
        <v>36</v>
      </c>
      <c r="T954">
        <v>0</v>
      </c>
      <c r="U954">
        <v>1</v>
      </c>
      <c r="V954">
        <v>0</v>
      </c>
    </row>
    <row r="955" spans="1:22">
      <c r="A955" t="s">
        <v>956</v>
      </c>
      <c r="B955" s="3">
        <v>46187</v>
      </c>
      <c r="C955" t="s">
        <v>14</v>
      </c>
      <c r="D955" t="s">
        <v>40</v>
      </c>
      <c r="E955" t="s">
        <v>16</v>
      </c>
      <c r="F955" t="s">
        <v>35</v>
      </c>
      <c r="G955" t="s">
        <v>32</v>
      </c>
      <c r="H955" t="s">
        <v>19</v>
      </c>
      <c r="I955" t="s">
        <v>20</v>
      </c>
      <c r="J955">
        <v>300</v>
      </c>
      <c r="S955">
        <v>9</v>
      </c>
      <c r="T955">
        <v>0</v>
      </c>
      <c r="U955">
        <v>0</v>
      </c>
      <c r="V955">
        <v>0</v>
      </c>
    </row>
    <row r="956" spans="1:22">
      <c r="A956" t="s">
        <v>957</v>
      </c>
      <c r="B956" s="3">
        <v>46187</v>
      </c>
      <c r="C956" t="s">
        <v>14</v>
      </c>
      <c r="D956" t="s">
        <v>22</v>
      </c>
      <c r="E956" t="s">
        <v>16</v>
      </c>
      <c r="F956" t="s">
        <v>17</v>
      </c>
      <c r="G956" t="s">
        <v>23</v>
      </c>
      <c r="H956" t="s">
        <v>19</v>
      </c>
      <c r="I956" t="s">
        <v>53</v>
      </c>
      <c r="J956">
        <v>120</v>
      </c>
      <c r="S956">
        <v>0</v>
      </c>
      <c r="T956">
        <v>0</v>
      </c>
      <c r="U956">
        <v>0</v>
      </c>
      <c r="V956">
        <v>0</v>
      </c>
    </row>
    <row r="957" spans="1:22">
      <c r="A957" t="s">
        <v>958</v>
      </c>
      <c r="B957" s="3">
        <v>46187</v>
      </c>
      <c r="C957" t="s">
        <v>14</v>
      </c>
      <c r="D957" t="s">
        <v>31</v>
      </c>
      <c r="E957" t="s">
        <v>16</v>
      </c>
      <c r="F957" t="s">
        <v>17</v>
      </c>
      <c r="G957" t="s">
        <v>32</v>
      </c>
      <c r="H957" t="s">
        <v>19</v>
      </c>
      <c r="I957" t="s">
        <v>20</v>
      </c>
      <c r="J957">
        <v>300</v>
      </c>
      <c r="S957">
        <v>36</v>
      </c>
      <c r="T957">
        <v>0</v>
      </c>
      <c r="U957">
        <v>1</v>
      </c>
      <c r="V957">
        <v>0</v>
      </c>
    </row>
    <row r="958" spans="1:22">
      <c r="A958" t="s">
        <v>959</v>
      </c>
      <c r="B958" s="3">
        <v>46187</v>
      </c>
      <c r="C958" t="s">
        <v>47</v>
      </c>
      <c r="D958" t="s">
        <v>66</v>
      </c>
      <c r="E958" t="s">
        <v>16</v>
      </c>
      <c r="F958" t="s">
        <v>17</v>
      </c>
      <c r="G958" t="s">
        <v>23</v>
      </c>
      <c r="H958" t="s">
        <v>19</v>
      </c>
      <c r="I958" t="s">
        <v>20</v>
      </c>
      <c r="J958">
        <v>120</v>
      </c>
      <c r="S958">
        <v>9.6</v>
      </c>
      <c r="T958">
        <v>0</v>
      </c>
      <c r="U958">
        <v>1</v>
      </c>
      <c r="V958">
        <v>0</v>
      </c>
    </row>
    <row r="959" spans="1:22">
      <c r="A959" t="s">
        <v>960</v>
      </c>
      <c r="B959" s="3">
        <v>46187</v>
      </c>
      <c r="C959" t="s">
        <v>47</v>
      </c>
      <c r="D959" t="s">
        <v>148</v>
      </c>
      <c r="E959" t="s">
        <v>16</v>
      </c>
      <c r="F959" t="s">
        <v>35</v>
      </c>
      <c r="G959" t="s">
        <v>23</v>
      </c>
      <c r="H959" t="s">
        <v>19</v>
      </c>
      <c r="I959" t="s">
        <v>20</v>
      </c>
      <c r="J959">
        <v>102</v>
      </c>
      <c r="L959" t="s">
        <v>29</v>
      </c>
      <c r="S959">
        <v>3.06</v>
      </c>
      <c r="T959">
        <v>0</v>
      </c>
      <c r="U959">
        <v>0</v>
      </c>
      <c r="V959">
        <v>0</v>
      </c>
    </row>
    <row r="960" spans="1:22">
      <c r="A960" t="s">
        <v>961</v>
      </c>
      <c r="B960" s="3">
        <v>46187</v>
      </c>
      <c r="C960" t="s">
        <v>47</v>
      </c>
      <c r="D960" t="s">
        <v>62</v>
      </c>
      <c r="E960" t="s">
        <v>16</v>
      </c>
      <c r="F960" t="s">
        <v>35</v>
      </c>
      <c r="G960" t="s">
        <v>32</v>
      </c>
      <c r="H960" t="s">
        <v>19</v>
      </c>
      <c r="I960" t="s">
        <v>53</v>
      </c>
      <c r="J960">
        <v>300</v>
      </c>
      <c r="S960">
        <v>0</v>
      </c>
      <c r="T960">
        <v>0</v>
      </c>
      <c r="U960">
        <v>0</v>
      </c>
      <c r="V960">
        <v>0</v>
      </c>
    </row>
    <row r="961" spans="1:22">
      <c r="A961" t="s">
        <v>962</v>
      </c>
      <c r="B961" s="3">
        <v>46187</v>
      </c>
      <c r="C961" t="s">
        <v>47</v>
      </c>
      <c r="D961" t="s">
        <v>64</v>
      </c>
      <c r="E961" t="s">
        <v>16</v>
      </c>
      <c r="F961" t="s">
        <v>17</v>
      </c>
      <c r="G961" t="s">
        <v>32</v>
      </c>
      <c r="H961" t="s">
        <v>19</v>
      </c>
      <c r="I961" t="s">
        <v>53</v>
      </c>
      <c r="J961">
        <v>300</v>
      </c>
      <c r="S961">
        <v>0</v>
      </c>
      <c r="T961">
        <v>0</v>
      </c>
      <c r="U961">
        <v>0</v>
      </c>
      <c r="V961">
        <v>0</v>
      </c>
    </row>
    <row r="962" spans="1:22">
      <c r="A962" t="s">
        <v>963</v>
      </c>
      <c r="B962" s="3">
        <v>46187</v>
      </c>
      <c r="C962" t="s">
        <v>47</v>
      </c>
      <c r="D962" t="s">
        <v>55</v>
      </c>
      <c r="E962" t="s">
        <v>16</v>
      </c>
      <c r="F962" t="s">
        <v>17</v>
      </c>
      <c r="G962" t="s">
        <v>18</v>
      </c>
      <c r="H962" t="s">
        <v>24</v>
      </c>
      <c r="I962" t="s">
        <v>20</v>
      </c>
      <c r="J962">
        <v>200</v>
      </c>
      <c r="S962">
        <v>0</v>
      </c>
      <c r="T962">
        <v>0</v>
      </c>
      <c r="U962">
        <v>0</v>
      </c>
      <c r="V962">
        <v>0</v>
      </c>
    </row>
    <row r="963" spans="1:22">
      <c r="A963" t="s">
        <v>964</v>
      </c>
      <c r="B963" s="3">
        <v>46187</v>
      </c>
      <c r="C963" t="s">
        <v>47</v>
      </c>
      <c r="D963" t="s">
        <v>64</v>
      </c>
      <c r="E963" t="s">
        <v>16</v>
      </c>
      <c r="F963" t="s">
        <v>35</v>
      </c>
      <c r="G963" t="s">
        <v>18</v>
      </c>
      <c r="H963" t="s">
        <v>19</v>
      </c>
      <c r="I963" t="s">
        <v>20</v>
      </c>
      <c r="J963">
        <v>200</v>
      </c>
      <c r="S963">
        <v>6</v>
      </c>
      <c r="T963">
        <v>0</v>
      </c>
      <c r="U963">
        <v>0</v>
      </c>
      <c r="V963">
        <v>0</v>
      </c>
    </row>
    <row r="964" spans="1:22">
      <c r="A964" t="s">
        <v>965</v>
      </c>
      <c r="B964" s="3">
        <v>46187</v>
      </c>
      <c r="C964" t="s">
        <v>47</v>
      </c>
      <c r="D964" t="s">
        <v>55</v>
      </c>
      <c r="E964" t="s">
        <v>16</v>
      </c>
      <c r="F964" t="s">
        <v>17</v>
      </c>
      <c r="G964" t="s">
        <v>23</v>
      </c>
      <c r="H964" t="s">
        <v>19</v>
      </c>
      <c r="I964" t="s">
        <v>20</v>
      </c>
      <c r="J964">
        <v>120</v>
      </c>
      <c r="S964">
        <v>9.6</v>
      </c>
      <c r="T964">
        <v>0</v>
      </c>
      <c r="U964">
        <v>1</v>
      </c>
      <c r="V964">
        <v>0</v>
      </c>
    </row>
    <row r="965" spans="1:22">
      <c r="A965" t="s">
        <v>966</v>
      </c>
      <c r="B965" s="3">
        <v>46187</v>
      </c>
      <c r="C965" t="s">
        <v>47</v>
      </c>
      <c r="D965" t="s">
        <v>152</v>
      </c>
      <c r="E965" t="s">
        <v>16</v>
      </c>
      <c r="F965" t="s">
        <v>17</v>
      </c>
      <c r="G965" t="s">
        <v>32</v>
      </c>
      <c r="H965" t="s">
        <v>19</v>
      </c>
      <c r="I965" t="s">
        <v>20</v>
      </c>
      <c r="J965">
        <v>300</v>
      </c>
      <c r="S965">
        <v>36</v>
      </c>
      <c r="T965">
        <v>0</v>
      </c>
      <c r="U965">
        <v>1</v>
      </c>
      <c r="V965">
        <v>0</v>
      </c>
    </row>
    <row r="966" spans="1:22">
      <c r="A966" t="s">
        <v>967</v>
      </c>
      <c r="B966" s="3">
        <v>46187</v>
      </c>
      <c r="C966" t="s">
        <v>47</v>
      </c>
      <c r="D966" t="s">
        <v>73</v>
      </c>
      <c r="E966" t="s">
        <v>16</v>
      </c>
      <c r="F966" t="s">
        <v>17</v>
      </c>
      <c r="G966" t="s">
        <v>23</v>
      </c>
      <c r="H966" t="s">
        <v>19</v>
      </c>
      <c r="I966" t="s">
        <v>20</v>
      </c>
      <c r="J966">
        <v>120</v>
      </c>
      <c r="S966">
        <v>9.6</v>
      </c>
      <c r="T966">
        <v>0</v>
      </c>
      <c r="U966">
        <v>1</v>
      </c>
      <c r="V966">
        <v>0</v>
      </c>
    </row>
    <row r="967" spans="1:22">
      <c r="A967" t="s">
        <v>968</v>
      </c>
      <c r="B967" s="3">
        <v>46187</v>
      </c>
      <c r="C967" t="s">
        <v>47</v>
      </c>
      <c r="D967" t="s">
        <v>62</v>
      </c>
      <c r="E967" t="s">
        <v>16</v>
      </c>
      <c r="F967" t="s">
        <v>17</v>
      </c>
      <c r="G967" t="s">
        <v>32</v>
      </c>
      <c r="H967" t="s">
        <v>19</v>
      </c>
      <c r="I967" t="s">
        <v>20</v>
      </c>
      <c r="J967">
        <v>300</v>
      </c>
      <c r="S967">
        <v>36</v>
      </c>
      <c r="T967">
        <v>0</v>
      </c>
      <c r="U967">
        <v>1</v>
      </c>
      <c r="V967">
        <v>0</v>
      </c>
    </row>
    <row r="968" spans="1:22">
      <c r="A968" t="s">
        <v>969</v>
      </c>
      <c r="B968" s="3">
        <v>46187</v>
      </c>
      <c r="C968" t="s">
        <v>47</v>
      </c>
      <c r="D968" t="s">
        <v>64</v>
      </c>
      <c r="E968" t="s">
        <v>16</v>
      </c>
      <c r="F968" t="s">
        <v>17</v>
      </c>
      <c r="G968" t="s">
        <v>18</v>
      </c>
      <c r="H968" t="s">
        <v>19</v>
      </c>
      <c r="I968" t="s">
        <v>20</v>
      </c>
      <c r="J968">
        <v>200</v>
      </c>
      <c r="S968">
        <v>20</v>
      </c>
      <c r="T968">
        <v>0</v>
      </c>
      <c r="U968">
        <v>1</v>
      </c>
      <c r="V968">
        <v>0</v>
      </c>
    </row>
    <row r="969" spans="1:22">
      <c r="A969" t="s">
        <v>970</v>
      </c>
      <c r="B969" s="3">
        <v>46187</v>
      </c>
      <c r="C969" t="s">
        <v>47</v>
      </c>
      <c r="D969" t="s">
        <v>55</v>
      </c>
      <c r="E969" t="s">
        <v>16</v>
      </c>
      <c r="F969" t="s">
        <v>17</v>
      </c>
      <c r="G969" t="s">
        <v>18</v>
      </c>
      <c r="H969" t="s">
        <v>19</v>
      </c>
      <c r="I969" t="s">
        <v>20</v>
      </c>
      <c r="J969">
        <v>200</v>
      </c>
      <c r="S969">
        <v>20</v>
      </c>
      <c r="T969">
        <v>0</v>
      </c>
      <c r="U969">
        <v>1</v>
      </c>
      <c r="V969">
        <v>0</v>
      </c>
    </row>
    <row r="970" spans="1:22">
      <c r="A970" t="s">
        <v>971</v>
      </c>
      <c r="B970" s="3">
        <v>46187</v>
      </c>
      <c r="C970" t="s">
        <v>47</v>
      </c>
      <c r="D970" t="s">
        <v>59</v>
      </c>
      <c r="E970" t="s">
        <v>16</v>
      </c>
      <c r="F970" t="s">
        <v>17</v>
      </c>
      <c r="G970" t="s">
        <v>23</v>
      </c>
      <c r="H970" t="s">
        <v>19</v>
      </c>
      <c r="I970" t="s">
        <v>20</v>
      </c>
      <c r="J970">
        <v>120</v>
      </c>
      <c r="S970">
        <v>9.6</v>
      </c>
      <c r="T970">
        <v>0</v>
      </c>
      <c r="U970">
        <v>1</v>
      </c>
      <c r="V970">
        <v>0</v>
      </c>
    </row>
    <row r="971" spans="1:22">
      <c r="A971" t="s">
        <v>972</v>
      </c>
      <c r="B971" s="3">
        <v>46187</v>
      </c>
      <c r="C971" t="s">
        <v>47</v>
      </c>
      <c r="D971" t="s">
        <v>52</v>
      </c>
      <c r="E971" t="s">
        <v>16</v>
      </c>
      <c r="F971" t="s">
        <v>17</v>
      </c>
      <c r="G971" t="s">
        <v>32</v>
      </c>
      <c r="H971" t="s">
        <v>24</v>
      </c>
      <c r="I971" t="s">
        <v>20</v>
      </c>
      <c r="J971">
        <v>300</v>
      </c>
      <c r="S971">
        <v>0</v>
      </c>
      <c r="T971">
        <v>0</v>
      </c>
      <c r="U971">
        <v>0</v>
      </c>
      <c r="V971">
        <v>0</v>
      </c>
    </row>
    <row r="972" spans="1:22">
      <c r="A972" t="s">
        <v>973</v>
      </c>
      <c r="B972" s="3">
        <v>46187</v>
      </c>
      <c r="C972" t="s">
        <v>47</v>
      </c>
      <c r="D972" t="s">
        <v>148</v>
      </c>
      <c r="E972" t="s">
        <v>16</v>
      </c>
      <c r="F972" t="s">
        <v>17</v>
      </c>
      <c r="G972" t="s">
        <v>32</v>
      </c>
      <c r="H972" t="s">
        <v>19</v>
      </c>
      <c r="I972" t="s">
        <v>20</v>
      </c>
      <c r="J972">
        <v>300</v>
      </c>
      <c r="S972">
        <v>36</v>
      </c>
      <c r="T972">
        <v>0</v>
      </c>
      <c r="U972">
        <v>1</v>
      </c>
      <c r="V972">
        <v>0</v>
      </c>
    </row>
    <row r="973" spans="1:22">
      <c r="A973" t="s">
        <v>974</v>
      </c>
      <c r="B973" s="3">
        <v>46187</v>
      </c>
      <c r="C973" t="s">
        <v>47</v>
      </c>
      <c r="D973" t="s">
        <v>152</v>
      </c>
      <c r="E973" t="s">
        <v>16</v>
      </c>
      <c r="F973" t="s">
        <v>35</v>
      </c>
      <c r="G973" t="s">
        <v>18</v>
      </c>
      <c r="H973" t="s">
        <v>19</v>
      </c>
      <c r="I973" t="s">
        <v>20</v>
      </c>
      <c r="J973">
        <v>170</v>
      </c>
      <c r="L973" t="s">
        <v>29</v>
      </c>
      <c r="S973">
        <v>5.0999999999999996</v>
      </c>
      <c r="T973">
        <v>0</v>
      </c>
      <c r="U973">
        <v>0</v>
      </c>
      <c r="V973">
        <v>0</v>
      </c>
    </row>
    <row r="974" spans="1:22">
      <c r="A974" t="s">
        <v>975</v>
      </c>
      <c r="B974" s="3">
        <v>46187</v>
      </c>
      <c r="C974" t="s">
        <v>78</v>
      </c>
      <c r="D974" t="s">
        <v>93</v>
      </c>
      <c r="E974" t="s">
        <v>16</v>
      </c>
      <c r="F974" t="s">
        <v>17</v>
      </c>
      <c r="G974" t="s">
        <v>32</v>
      </c>
      <c r="H974" t="s">
        <v>19</v>
      </c>
      <c r="I974" t="s">
        <v>20</v>
      </c>
      <c r="J974">
        <v>300</v>
      </c>
      <c r="S974">
        <v>36</v>
      </c>
      <c r="T974">
        <v>0</v>
      </c>
      <c r="U974">
        <v>1</v>
      </c>
      <c r="V974">
        <v>0</v>
      </c>
    </row>
    <row r="975" spans="1:22">
      <c r="A975" t="s">
        <v>976</v>
      </c>
      <c r="B975" s="3">
        <v>46187</v>
      </c>
      <c r="C975" t="s">
        <v>78</v>
      </c>
      <c r="D975" t="s">
        <v>89</v>
      </c>
      <c r="E975" t="s">
        <v>16</v>
      </c>
      <c r="F975" t="s">
        <v>17</v>
      </c>
      <c r="G975" t="s">
        <v>32</v>
      </c>
      <c r="H975" t="s">
        <v>19</v>
      </c>
      <c r="I975" t="s">
        <v>20</v>
      </c>
      <c r="J975">
        <v>255</v>
      </c>
      <c r="L975" t="s">
        <v>29</v>
      </c>
      <c r="S975">
        <v>30.6</v>
      </c>
      <c r="T975">
        <v>0</v>
      </c>
      <c r="U975">
        <v>1</v>
      </c>
      <c r="V975">
        <v>0</v>
      </c>
    </row>
    <row r="976" spans="1:22">
      <c r="A976" t="s">
        <v>977</v>
      </c>
      <c r="B976" s="3">
        <v>46187</v>
      </c>
      <c r="C976" t="s">
        <v>78</v>
      </c>
      <c r="D976" t="s">
        <v>161</v>
      </c>
      <c r="E976" t="s">
        <v>16</v>
      </c>
      <c r="F976" t="s">
        <v>17</v>
      </c>
      <c r="G976" t="s">
        <v>18</v>
      </c>
      <c r="H976" t="s">
        <v>19</v>
      </c>
      <c r="I976" t="s">
        <v>20</v>
      </c>
      <c r="J976">
        <v>200</v>
      </c>
      <c r="S976">
        <v>20</v>
      </c>
      <c r="T976">
        <v>0</v>
      </c>
      <c r="U976">
        <v>1</v>
      </c>
      <c r="V976">
        <v>0</v>
      </c>
    </row>
    <row r="977" spans="1:22">
      <c r="A977" t="s">
        <v>978</v>
      </c>
      <c r="B977" s="3">
        <v>46187</v>
      </c>
      <c r="C977" t="s">
        <v>78</v>
      </c>
      <c r="D977" t="s">
        <v>89</v>
      </c>
      <c r="E977" t="s">
        <v>16</v>
      </c>
      <c r="F977" t="s">
        <v>17</v>
      </c>
      <c r="G977" t="s">
        <v>18</v>
      </c>
      <c r="H977" t="s">
        <v>19</v>
      </c>
      <c r="I977" t="s">
        <v>20</v>
      </c>
      <c r="J977">
        <v>200</v>
      </c>
      <c r="S977">
        <v>20</v>
      </c>
      <c r="T977">
        <v>0</v>
      </c>
      <c r="U977">
        <v>1</v>
      </c>
      <c r="V977">
        <v>0</v>
      </c>
    </row>
    <row r="978" spans="1:22">
      <c r="A978" t="s">
        <v>979</v>
      </c>
      <c r="B978" s="3">
        <v>46187</v>
      </c>
      <c r="C978" t="s">
        <v>78</v>
      </c>
      <c r="D978" t="s">
        <v>87</v>
      </c>
      <c r="E978" t="s">
        <v>16</v>
      </c>
      <c r="F978" t="s">
        <v>17</v>
      </c>
      <c r="G978" t="s">
        <v>18</v>
      </c>
      <c r="H978" t="s">
        <v>19</v>
      </c>
      <c r="I978" t="s">
        <v>20</v>
      </c>
      <c r="J978">
        <v>200</v>
      </c>
      <c r="S978">
        <v>20</v>
      </c>
      <c r="T978">
        <v>0</v>
      </c>
      <c r="U978">
        <v>1</v>
      </c>
      <c r="V978">
        <v>0</v>
      </c>
    </row>
    <row r="979" spans="1:22">
      <c r="A979" t="s">
        <v>980</v>
      </c>
      <c r="B979" s="3">
        <v>46187</v>
      </c>
      <c r="C979" t="s">
        <v>78</v>
      </c>
      <c r="D979" t="s">
        <v>161</v>
      </c>
      <c r="E979" t="s">
        <v>16</v>
      </c>
      <c r="F979" t="s">
        <v>17</v>
      </c>
      <c r="G979" t="s">
        <v>32</v>
      </c>
      <c r="H979" t="s">
        <v>19</v>
      </c>
      <c r="I979" t="s">
        <v>20</v>
      </c>
      <c r="J979">
        <v>300</v>
      </c>
      <c r="S979">
        <v>36</v>
      </c>
      <c r="T979">
        <v>0</v>
      </c>
      <c r="U979">
        <v>1</v>
      </c>
      <c r="V979">
        <v>0</v>
      </c>
    </row>
    <row r="980" spans="1:22">
      <c r="A980" t="s">
        <v>981</v>
      </c>
      <c r="B980" s="3">
        <v>46187</v>
      </c>
      <c r="C980" t="s">
        <v>78</v>
      </c>
      <c r="D980" t="s">
        <v>161</v>
      </c>
      <c r="E980" t="s">
        <v>16</v>
      </c>
      <c r="F980" t="s">
        <v>17</v>
      </c>
      <c r="G980" t="s">
        <v>23</v>
      </c>
      <c r="H980" t="s">
        <v>19</v>
      </c>
      <c r="I980" t="s">
        <v>20</v>
      </c>
      <c r="J980">
        <v>120</v>
      </c>
      <c r="S980">
        <v>9.6</v>
      </c>
      <c r="T980">
        <v>0</v>
      </c>
      <c r="U980">
        <v>1</v>
      </c>
      <c r="V980">
        <v>0</v>
      </c>
    </row>
    <row r="981" spans="1:22">
      <c r="A981" t="s">
        <v>982</v>
      </c>
      <c r="B981" s="3">
        <v>46187</v>
      </c>
      <c r="C981" t="s">
        <v>78</v>
      </c>
      <c r="D981" t="s">
        <v>163</v>
      </c>
      <c r="E981" t="s">
        <v>16</v>
      </c>
      <c r="F981" t="s">
        <v>17</v>
      </c>
      <c r="G981" t="s">
        <v>32</v>
      </c>
      <c r="H981" t="s">
        <v>19</v>
      </c>
      <c r="I981" t="s">
        <v>20</v>
      </c>
      <c r="J981">
        <v>225</v>
      </c>
      <c r="L981" t="s">
        <v>29</v>
      </c>
      <c r="S981">
        <v>27</v>
      </c>
      <c r="T981">
        <v>0</v>
      </c>
      <c r="U981">
        <v>1</v>
      </c>
      <c r="V981">
        <v>0</v>
      </c>
    </row>
    <row r="982" spans="1:22">
      <c r="A982" t="s">
        <v>983</v>
      </c>
      <c r="B982" s="3">
        <v>46187</v>
      </c>
      <c r="C982" t="s">
        <v>78</v>
      </c>
      <c r="D982" t="s">
        <v>79</v>
      </c>
      <c r="E982" t="s">
        <v>16</v>
      </c>
      <c r="F982" t="s">
        <v>17</v>
      </c>
      <c r="G982" t="s">
        <v>23</v>
      </c>
      <c r="H982" t="s">
        <v>19</v>
      </c>
      <c r="I982" t="s">
        <v>20</v>
      </c>
      <c r="J982">
        <v>102</v>
      </c>
      <c r="L982" t="s">
        <v>29</v>
      </c>
      <c r="S982">
        <v>8.16</v>
      </c>
      <c r="T982">
        <v>0</v>
      </c>
      <c r="U982">
        <v>1</v>
      </c>
      <c r="V982">
        <v>0</v>
      </c>
    </row>
    <row r="983" spans="1:22">
      <c r="A983" t="s">
        <v>984</v>
      </c>
      <c r="B983" s="3">
        <v>46187</v>
      </c>
      <c r="C983" t="s">
        <v>78</v>
      </c>
      <c r="D983" t="s">
        <v>93</v>
      </c>
      <c r="E983" t="s">
        <v>16</v>
      </c>
      <c r="F983" t="s">
        <v>17</v>
      </c>
      <c r="G983" t="s">
        <v>23</v>
      </c>
      <c r="H983" t="s">
        <v>19</v>
      </c>
      <c r="I983" t="s">
        <v>20</v>
      </c>
      <c r="J983">
        <v>120</v>
      </c>
      <c r="S983">
        <v>9.6</v>
      </c>
      <c r="T983">
        <v>0</v>
      </c>
      <c r="U983">
        <v>1</v>
      </c>
      <c r="V983">
        <v>0</v>
      </c>
    </row>
    <row r="984" spans="1:22">
      <c r="A984" t="s">
        <v>985</v>
      </c>
      <c r="B984" s="3">
        <v>46187</v>
      </c>
      <c r="C984" t="s">
        <v>78</v>
      </c>
      <c r="D984" t="s">
        <v>93</v>
      </c>
      <c r="E984" t="s">
        <v>16</v>
      </c>
      <c r="F984" t="s">
        <v>35</v>
      </c>
      <c r="G984" t="s">
        <v>23</v>
      </c>
      <c r="H984" t="s">
        <v>19</v>
      </c>
      <c r="I984" t="s">
        <v>53</v>
      </c>
      <c r="J984">
        <v>120</v>
      </c>
      <c r="S984">
        <v>0</v>
      </c>
      <c r="T984">
        <v>0</v>
      </c>
      <c r="U984">
        <v>0</v>
      </c>
      <c r="V984">
        <v>0</v>
      </c>
    </row>
    <row r="985" spans="1:22">
      <c r="A985" t="s">
        <v>986</v>
      </c>
      <c r="B985" s="3">
        <v>46187</v>
      </c>
      <c r="C985" t="s">
        <v>78</v>
      </c>
      <c r="D985" t="s">
        <v>83</v>
      </c>
      <c r="E985" t="s">
        <v>16</v>
      </c>
      <c r="F985" t="s">
        <v>35</v>
      </c>
      <c r="G985" t="s">
        <v>32</v>
      </c>
      <c r="H985" t="s">
        <v>19</v>
      </c>
      <c r="I985" t="s">
        <v>20</v>
      </c>
      <c r="J985">
        <v>255</v>
      </c>
      <c r="L985" t="s">
        <v>29</v>
      </c>
      <c r="S985">
        <v>7.65</v>
      </c>
      <c r="T985">
        <v>0</v>
      </c>
      <c r="U985">
        <v>0</v>
      </c>
      <c r="V985">
        <v>0</v>
      </c>
    </row>
    <row r="986" spans="1:22">
      <c r="A986" t="s">
        <v>987</v>
      </c>
      <c r="B986" s="3">
        <v>46187</v>
      </c>
      <c r="C986" t="s">
        <v>78</v>
      </c>
      <c r="D986" t="s">
        <v>242</v>
      </c>
      <c r="E986" t="s">
        <v>16</v>
      </c>
      <c r="F986" t="s">
        <v>17</v>
      </c>
      <c r="G986" t="s">
        <v>32</v>
      </c>
      <c r="H986" t="s">
        <v>19</v>
      </c>
      <c r="I986" t="s">
        <v>20</v>
      </c>
      <c r="J986">
        <v>300</v>
      </c>
      <c r="S986">
        <v>36</v>
      </c>
      <c r="T986">
        <v>0</v>
      </c>
      <c r="U986">
        <v>1</v>
      </c>
      <c r="V986">
        <v>0</v>
      </c>
    </row>
    <row r="987" spans="1:22">
      <c r="A987" t="s">
        <v>988</v>
      </c>
      <c r="B987" s="3">
        <v>46187</v>
      </c>
      <c r="C987" t="s">
        <v>78</v>
      </c>
      <c r="D987" t="s">
        <v>161</v>
      </c>
      <c r="E987" t="s">
        <v>16</v>
      </c>
      <c r="F987" t="s">
        <v>35</v>
      </c>
      <c r="G987" t="s">
        <v>18</v>
      </c>
      <c r="H987" t="s">
        <v>19</v>
      </c>
      <c r="I987" t="s">
        <v>20</v>
      </c>
      <c r="J987">
        <v>200</v>
      </c>
      <c r="S987">
        <v>6</v>
      </c>
      <c r="T987">
        <v>0</v>
      </c>
      <c r="U987">
        <v>0</v>
      </c>
      <c r="V987">
        <v>0</v>
      </c>
    </row>
    <row r="988" spans="1:22">
      <c r="A988" t="s">
        <v>989</v>
      </c>
      <c r="B988" s="3">
        <v>46187</v>
      </c>
      <c r="C988" t="s">
        <v>78</v>
      </c>
      <c r="D988" t="s">
        <v>242</v>
      </c>
      <c r="E988" t="s">
        <v>16</v>
      </c>
      <c r="F988" t="s">
        <v>17</v>
      </c>
      <c r="G988" t="s">
        <v>32</v>
      </c>
      <c r="H988" t="s">
        <v>19</v>
      </c>
      <c r="I988" t="s">
        <v>20</v>
      </c>
      <c r="J988">
        <v>300</v>
      </c>
      <c r="S988">
        <v>36</v>
      </c>
      <c r="T988">
        <v>0</v>
      </c>
      <c r="U988">
        <v>1</v>
      </c>
      <c r="V988">
        <v>0</v>
      </c>
    </row>
    <row r="989" spans="1:22">
      <c r="A989" t="s">
        <v>990</v>
      </c>
      <c r="B989" s="3">
        <v>46187</v>
      </c>
      <c r="C989" t="s">
        <v>78</v>
      </c>
      <c r="D989" t="s">
        <v>242</v>
      </c>
      <c r="E989" t="s">
        <v>16</v>
      </c>
      <c r="F989" t="s">
        <v>17</v>
      </c>
      <c r="G989" t="s">
        <v>23</v>
      </c>
      <c r="H989" t="s">
        <v>19</v>
      </c>
      <c r="I989" t="s">
        <v>20</v>
      </c>
      <c r="J989">
        <v>120</v>
      </c>
      <c r="S989">
        <v>9.6</v>
      </c>
      <c r="T989">
        <v>0</v>
      </c>
      <c r="U989">
        <v>1</v>
      </c>
      <c r="V989">
        <v>0</v>
      </c>
    </row>
    <row r="990" spans="1:22">
      <c r="A990" t="s">
        <v>991</v>
      </c>
      <c r="B990" s="3">
        <v>46187</v>
      </c>
      <c r="C990" t="s">
        <v>78</v>
      </c>
      <c r="D990" t="s">
        <v>161</v>
      </c>
      <c r="E990" t="s">
        <v>16</v>
      </c>
      <c r="F990" t="s">
        <v>17</v>
      </c>
      <c r="G990" t="s">
        <v>32</v>
      </c>
      <c r="H990" t="s">
        <v>19</v>
      </c>
      <c r="I990" t="s">
        <v>20</v>
      </c>
      <c r="J990">
        <v>225</v>
      </c>
      <c r="L990" t="s">
        <v>29</v>
      </c>
      <c r="S990">
        <v>27</v>
      </c>
      <c r="T990">
        <v>0</v>
      </c>
      <c r="U990">
        <v>1</v>
      </c>
      <c r="V990">
        <v>0</v>
      </c>
    </row>
    <row r="991" spans="1:22">
      <c r="A991" t="s">
        <v>992</v>
      </c>
      <c r="B991" s="3">
        <v>46187</v>
      </c>
      <c r="C991" t="s">
        <v>78</v>
      </c>
      <c r="D991" t="s">
        <v>97</v>
      </c>
      <c r="E991" t="s">
        <v>16</v>
      </c>
      <c r="F991" t="s">
        <v>17</v>
      </c>
      <c r="G991" t="s">
        <v>23</v>
      </c>
      <c r="H991" t="s">
        <v>19</v>
      </c>
      <c r="I991" t="s">
        <v>20</v>
      </c>
      <c r="J991">
        <v>120</v>
      </c>
      <c r="S991">
        <v>9.6</v>
      </c>
      <c r="T991">
        <v>0</v>
      </c>
      <c r="U991">
        <v>1</v>
      </c>
      <c r="V991">
        <v>0</v>
      </c>
    </row>
    <row r="992" spans="1:22">
      <c r="A992" t="s">
        <v>993</v>
      </c>
      <c r="B992" s="3">
        <v>46187</v>
      </c>
      <c r="C992" t="s">
        <v>105</v>
      </c>
      <c r="D992" t="s">
        <v>265</v>
      </c>
      <c r="E992" t="s">
        <v>16</v>
      </c>
      <c r="F992" t="s">
        <v>17</v>
      </c>
      <c r="G992" t="s">
        <v>32</v>
      </c>
      <c r="H992" t="s">
        <v>19</v>
      </c>
      <c r="I992" t="s">
        <v>20</v>
      </c>
      <c r="J992">
        <v>300</v>
      </c>
      <c r="S992">
        <v>36</v>
      </c>
      <c r="T992">
        <v>0</v>
      </c>
      <c r="U992">
        <v>1</v>
      </c>
      <c r="V992">
        <v>0</v>
      </c>
    </row>
    <row r="993" spans="1:22">
      <c r="A993" t="s">
        <v>994</v>
      </c>
      <c r="B993" s="3">
        <v>46187</v>
      </c>
      <c r="C993" t="s">
        <v>105</v>
      </c>
      <c r="D993" t="s">
        <v>110</v>
      </c>
      <c r="E993" t="s">
        <v>16</v>
      </c>
      <c r="F993" t="s">
        <v>17</v>
      </c>
      <c r="G993" t="s">
        <v>23</v>
      </c>
      <c r="H993" t="s">
        <v>19</v>
      </c>
      <c r="I993" t="s">
        <v>20</v>
      </c>
      <c r="J993">
        <v>120</v>
      </c>
      <c r="S993">
        <v>9.6</v>
      </c>
      <c r="T993">
        <v>0</v>
      </c>
      <c r="U993">
        <v>1</v>
      </c>
      <c r="V993">
        <v>0</v>
      </c>
    </row>
    <row r="994" spans="1:22">
      <c r="A994" t="s">
        <v>995</v>
      </c>
      <c r="B994" s="3">
        <v>46187</v>
      </c>
      <c r="C994" t="s">
        <v>105</v>
      </c>
      <c r="D994" t="s">
        <v>120</v>
      </c>
      <c r="E994" t="s">
        <v>16</v>
      </c>
      <c r="F994" t="s">
        <v>17</v>
      </c>
      <c r="G994" t="s">
        <v>18</v>
      </c>
      <c r="H994" t="s">
        <v>19</v>
      </c>
      <c r="I994" t="s">
        <v>20</v>
      </c>
      <c r="J994">
        <v>200</v>
      </c>
      <c r="S994">
        <v>20</v>
      </c>
      <c r="T994">
        <v>0</v>
      </c>
      <c r="U994">
        <v>1</v>
      </c>
      <c r="V994">
        <v>0</v>
      </c>
    </row>
    <row r="995" spans="1:22">
      <c r="A995" t="s">
        <v>996</v>
      </c>
      <c r="B995" s="3">
        <v>46187</v>
      </c>
      <c r="C995" t="s">
        <v>105</v>
      </c>
      <c r="D995" t="s">
        <v>194</v>
      </c>
      <c r="E995" t="s">
        <v>16</v>
      </c>
      <c r="F995" t="s">
        <v>17</v>
      </c>
      <c r="G995" t="s">
        <v>23</v>
      </c>
      <c r="H995" t="s">
        <v>19</v>
      </c>
      <c r="I995" t="s">
        <v>20</v>
      </c>
      <c r="J995">
        <v>120</v>
      </c>
      <c r="S995">
        <v>9.6</v>
      </c>
      <c r="T995">
        <v>0</v>
      </c>
      <c r="U995">
        <v>1</v>
      </c>
      <c r="V995">
        <v>0</v>
      </c>
    </row>
    <row r="996" spans="1:22">
      <c r="A996" t="s">
        <v>997</v>
      </c>
      <c r="B996" s="3">
        <v>46187</v>
      </c>
      <c r="C996" t="s">
        <v>105</v>
      </c>
      <c r="D996" t="s">
        <v>116</v>
      </c>
      <c r="E996" t="s">
        <v>16</v>
      </c>
      <c r="F996" t="s">
        <v>17</v>
      </c>
      <c r="G996" t="s">
        <v>23</v>
      </c>
      <c r="H996" t="s">
        <v>19</v>
      </c>
      <c r="I996" t="s">
        <v>20</v>
      </c>
      <c r="J996">
        <v>120</v>
      </c>
      <c r="S996">
        <v>9.6</v>
      </c>
      <c r="T996">
        <v>0</v>
      </c>
      <c r="U996">
        <v>1</v>
      </c>
      <c r="V996">
        <v>0</v>
      </c>
    </row>
    <row r="997" spans="1:22">
      <c r="A997" t="s">
        <v>998</v>
      </c>
      <c r="B997" s="3">
        <v>46187</v>
      </c>
      <c r="C997" t="s">
        <v>105</v>
      </c>
      <c r="D997" t="s">
        <v>182</v>
      </c>
      <c r="E997" t="s">
        <v>16</v>
      </c>
      <c r="F997" t="s">
        <v>35</v>
      </c>
      <c r="G997" t="s">
        <v>23</v>
      </c>
      <c r="H997" t="s">
        <v>19</v>
      </c>
      <c r="I997" t="s">
        <v>20</v>
      </c>
      <c r="J997">
        <v>120</v>
      </c>
      <c r="S997">
        <v>3.6</v>
      </c>
      <c r="T997">
        <v>0</v>
      </c>
      <c r="U997">
        <v>0</v>
      </c>
      <c r="V997">
        <v>0</v>
      </c>
    </row>
    <row r="998" spans="1:22">
      <c r="A998" t="s">
        <v>999</v>
      </c>
      <c r="B998" s="3">
        <v>46187</v>
      </c>
      <c r="C998" t="s">
        <v>105</v>
      </c>
      <c r="D998" t="s">
        <v>182</v>
      </c>
      <c r="E998" t="s">
        <v>16</v>
      </c>
      <c r="F998" t="s">
        <v>17</v>
      </c>
      <c r="G998" t="s">
        <v>32</v>
      </c>
      <c r="H998" t="s">
        <v>19</v>
      </c>
      <c r="I998" t="s">
        <v>20</v>
      </c>
      <c r="J998">
        <v>300</v>
      </c>
      <c r="S998">
        <v>36</v>
      </c>
      <c r="T998">
        <v>0</v>
      </c>
      <c r="U998">
        <v>1</v>
      </c>
      <c r="V998">
        <v>0</v>
      </c>
    </row>
    <row r="999" spans="1:22">
      <c r="A999" t="s">
        <v>1000</v>
      </c>
      <c r="B999" s="3">
        <v>46187</v>
      </c>
      <c r="C999" t="s">
        <v>105</v>
      </c>
      <c r="D999" t="s">
        <v>116</v>
      </c>
      <c r="E999" t="s">
        <v>16</v>
      </c>
      <c r="F999" t="s">
        <v>35</v>
      </c>
      <c r="G999" t="s">
        <v>32</v>
      </c>
      <c r="H999" t="s">
        <v>19</v>
      </c>
      <c r="I999" t="s">
        <v>20</v>
      </c>
      <c r="J999">
        <v>300</v>
      </c>
      <c r="S999">
        <v>9</v>
      </c>
      <c r="T999">
        <v>0</v>
      </c>
      <c r="U999">
        <v>0</v>
      </c>
      <c r="V999">
        <v>0</v>
      </c>
    </row>
    <row r="1000" spans="1:22">
      <c r="A1000" t="s">
        <v>1001</v>
      </c>
      <c r="B1000" s="3">
        <v>46187</v>
      </c>
      <c r="C1000" t="s">
        <v>105</v>
      </c>
      <c r="D1000" t="s">
        <v>108</v>
      </c>
      <c r="E1000" t="s">
        <v>16</v>
      </c>
      <c r="F1000" t="s">
        <v>17</v>
      </c>
      <c r="G1000" t="s">
        <v>32</v>
      </c>
      <c r="H1000" t="s">
        <v>19</v>
      </c>
      <c r="I1000" t="s">
        <v>20</v>
      </c>
      <c r="J1000">
        <v>300</v>
      </c>
      <c r="S1000">
        <v>36</v>
      </c>
      <c r="T1000">
        <v>0</v>
      </c>
      <c r="U1000">
        <v>1</v>
      </c>
      <c r="V1000">
        <v>0</v>
      </c>
    </row>
    <row r="1001" spans="1:22">
      <c r="A1001" t="s">
        <v>1002</v>
      </c>
      <c r="B1001" s="3">
        <v>46187</v>
      </c>
      <c r="C1001" t="s">
        <v>105</v>
      </c>
      <c r="D1001" t="s">
        <v>194</v>
      </c>
      <c r="E1001" t="s">
        <v>16</v>
      </c>
      <c r="F1001" t="s">
        <v>17</v>
      </c>
      <c r="G1001" t="s">
        <v>23</v>
      </c>
      <c r="H1001" t="s">
        <v>19</v>
      </c>
      <c r="I1001" t="s">
        <v>20</v>
      </c>
      <c r="J1001">
        <v>120</v>
      </c>
      <c r="S1001">
        <v>9.6</v>
      </c>
      <c r="T1001">
        <v>0</v>
      </c>
      <c r="U1001">
        <v>1</v>
      </c>
      <c r="V1001">
        <v>0</v>
      </c>
    </row>
    <row r="1002" spans="1:22">
      <c r="A1002" t="s">
        <v>1003</v>
      </c>
      <c r="B1002" s="3">
        <v>46187</v>
      </c>
      <c r="C1002" t="s">
        <v>105</v>
      </c>
      <c r="D1002" t="s">
        <v>116</v>
      </c>
      <c r="E1002" t="s">
        <v>16</v>
      </c>
      <c r="F1002" t="s">
        <v>17</v>
      </c>
      <c r="G1002" t="s">
        <v>18</v>
      </c>
      <c r="H1002" t="s">
        <v>19</v>
      </c>
      <c r="I1002" t="s">
        <v>20</v>
      </c>
      <c r="J1002">
        <v>200</v>
      </c>
      <c r="S1002">
        <v>20</v>
      </c>
      <c r="T1002">
        <v>0</v>
      </c>
      <c r="U1002">
        <v>1</v>
      </c>
      <c r="V1002">
        <v>0</v>
      </c>
    </row>
    <row r="1003" spans="1:22">
      <c r="A1003" t="s">
        <v>1004</v>
      </c>
      <c r="B1003" s="3">
        <v>46187</v>
      </c>
      <c r="C1003" t="s">
        <v>105</v>
      </c>
      <c r="D1003" t="s">
        <v>106</v>
      </c>
      <c r="E1003" t="s">
        <v>16</v>
      </c>
      <c r="F1003" t="s">
        <v>17</v>
      </c>
      <c r="G1003" t="s">
        <v>23</v>
      </c>
      <c r="H1003" t="s">
        <v>19</v>
      </c>
      <c r="I1003" t="s">
        <v>20</v>
      </c>
      <c r="J1003">
        <v>90</v>
      </c>
      <c r="L1003" t="s">
        <v>29</v>
      </c>
      <c r="S1003">
        <v>7.2</v>
      </c>
      <c r="T1003">
        <v>0</v>
      </c>
      <c r="U1003">
        <v>1</v>
      </c>
      <c r="V1003">
        <v>0</v>
      </c>
    </row>
    <row r="1004" spans="1:22">
      <c r="A1004" t="s">
        <v>1005</v>
      </c>
      <c r="B1004" s="3">
        <v>46187</v>
      </c>
      <c r="C1004" t="s">
        <v>105</v>
      </c>
      <c r="D1004" t="s">
        <v>194</v>
      </c>
      <c r="E1004" t="s">
        <v>16</v>
      </c>
      <c r="F1004" t="s">
        <v>17</v>
      </c>
      <c r="G1004" t="s">
        <v>18</v>
      </c>
      <c r="H1004" t="s">
        <v>19</v>
      </c>
      <c r="I1004" t="s">
        <v>20</v>
      </c>
      <c r="J1004">
        <v>200</v>
      </c>
      <c r="S1004">
        <v>20</v>
      </c>
      <c r="T1004">
        <v>0</v>
      </c>
      <c r="U1004">
        <v>1</v>
      </c>
      <c r="V1004">
        <v>0</v>
      </c>
    </row>
    <row r="1005" spans="1:22">
      <c r="A1005" t="s">
        <v>1006</v>
      </c>
      <c r="B1005" s="3">
        <v>46187</v>
      </c>
      <c r="C1005" t="s">
        <v>105</v>
      </c>
      <c r="D1005" t="s">
        <v>116</v>
      </c>
      <c r="E1005" t="s">
        <v>16</v>
      </c>
      <c r="F1005" t="s">
        <v>17</v>
      </c>
      <c r="G1005" t="s">
        <v>18</v>
      </c>
      <c r="H1005" t="s">
        <v>19</v>
      </c>
      <c r="I1005" t="s">
        <v>20</v>
      </c>
      <c r="J1005">
        <v>200</v>
      </c>
      <c r="S1005">
        <v>20</v>
      </c>
      <c r="T1005">
        <v>0</v>
      </c>
      <c r="U1005">
        <v>1</v>
      </c>
      <c r="V1005">
        <v>0</v>
      </c>
    </row>
    <row r="1006" spans="1:22">
      <c r="A1006" t="s">
        <v>1007</v>
      </c>
      <c r="B1006" s="3">
        <v>46187</v>
      </c>
      <c r="C1006" t="s">
        <v>105</v>
      </c>
      <c r="D1006" t="s">
        <v>108</v>
      </c>
      <c r="E1006" t="s">
        <v>16</v>
      </c>
      <c r="F1006" t="s">
        <v>17</v>
      </c>
      <c r="G1006" t="s">
        <v>23</v>
      </c>
      <c r="H1006" t="s">
        <v>19</v>
      </c>
      <c r="I1006" t="s">
        <v>20</v>
      </c>
      <c r="J1006">
        <v>120</v>
      </c>
      <c r="S1006">
        <v>9.6</v>
      </c>
      <c r="T1006">
        <v>0</v>
      </c>
      <c r="U1006">
        <v>1</v>
      </c>
      <c r="V1006">
        <v>0</v>
      </c>
    </row>
    <row r="1007" spans="1:22">
      <c r="A1007" t="s">
        <v>1008</v>
      </c>
      <c r="B1007" s="3">
        <v>46187</v>
      </c>
      <c r="C1007" t="s">
        <v>105</v>
      </c>
      <c r="D1007" t="s">
        <v>118</v>
      </c>
      <c r="E1007" t="s">
        <v>16</v>
      </c>
      <c r="F1007" t="s">
        <v>35</v>
      </c>
      <c r="G1007" t="s">
        <v>23</v>
      </c>
      <c r="H1007" t="s">
        <v>19</v>
      </c>
      <c r="I1007" t="s">
        <v>20</v>
      </c>
      <c r="J1007">
        <v>120</v>
      </c>
      <c r="S1007">
        <v>3.6</v>
      </c>
      <c r="T1007">
        <v>0</v>
      </c>
      <c r="U1007">
        <v>0</v>
      </c>
      <c r="V1007">
        <v>0</v>
      </c>
    </row>
    <row r="1008" spans="1:22">
      <c r="A1008" t="s">
        <v>1009</v>
      </c>
      <c r="B1008" s="3">
        <v>46187</v>
      </c>
      <c r="C1008" t="s">
        <v>105</v>
      </c>
      <c r="D1008" t="s">
        <v>120</v>
      </c>
      <c r="E1008" t="s">
        <v>16</v>
      </c>
      <c r="F1008" t="s">
        <v>17</v>
      </c>
      <c r="G1008" t="s">
        <v>18</v>
      </c>
      <c r="H1008" t="s">
        <v>19</v>
      </c>
      <c r="I1008" t="s">
        <v>20</v>
      </c>
      <c r="J1008">
        <v>200</v>
      </c>
      <c r="S1008">
        <v>20</v>
      </c>
      <c r="T1008">
        <v>0</v>
      </c>
      <c r="U1008">
        <v>1</v>
      </c>
      <c r="V1008">
        <v>0</v>
      </c>
    </row>
    <row r="1009" spans="1:22">
      <c r="A1009" t="s">
        <v>1010</v>
      </c>
      <c r="B1009" s="3">
        <v>46187</v>
      </c>
      <c r="C1009" t="s">
        <v>105</v>
      </c>
      <c r="D1009" t="s">
        <v>265</v>
      </c>
      <c r="E1009" t="s">
        <v>16</v>
      </c>
      <c r="F1009" t="s">
        <v>17</v>
      </c>
      <c r="G1009" t="s">
        <v>32</v>
      </c>
      <c r="H1009" t="s">
        <v>19</v>
      </c>
      <c r="I1009" t="s">
        <v>20</v>
      </c>
      <c r="J1009">
        <v>300</v>
      </c>
      <c r="S1009">
        <v>36</v>
      </c>
      <c r="T1009">
        <v>0</v>
      </c>
      <c r="U1009">
        <v>1</v>
      </c>
      <c r="V1009">
        <v>0</v>
      </c>
    </row>
    <row r="1010" spans="1:22">
      <c r="A1010" t="s">
        <v>1011</v>
      </c>
      <c r="B1010" s="3">
        <v>46187</v>
      </c>
      <c r="C1010" t="s">
        <v>105</v>
      </c>
      <c r="D1010" t="s">
        <v>106</v>
      </c>
      <c r="E1010" t="s">
        <v>16</v>
      </c>
      <c r="F1010" t="s">
        <v>17</v>
      </c>
      <c r="G1010" t="s">
        <v>18</v>
      </c>
      <c r="H1010" t="s">
        <v>19</v>
      </c>
      <c r="I1010" t="s">
        <v>20</v>
      </c>
      <c r="J1010">
        <v>200</v>
      </c>
      <c r="S1010">
        <v>20</v>
      </c>
      <c r="T1010">
        <v>0</v>
      </c>
      <c r="U1010">
        <v>1</v>
      </c>
      <c r="V1010">
        <v>0</v>
      </c>
    </row>
    <row r="1011" spans="1:22">
      <c r="A1011" t="s">
        <v>1012</v>
      </c>
      <c r="B1011" s="3">
        <v>46188</v>
      </c>
      <c r="C1011" t="s">
        <v>14</v>
      </c>
      <c r="D1011" t="s">
        <v>34</v>
      </c>
      <c r="E1011" t="s">
        <v>16</v>
      </c>
      <c r="F1011" t="s">
        <v>17</v>
      </c>
      <c r="G1011" t="s">
        <v>32</v>
      </c>
      <c r="H1011" t="s">
        <v>19</v>
      </c>
      <c r="I1011" t="s">
        <v>20</v>
      </c>
      <c r="J1011">
        <v>300</v>
      </c>
      <c r="S1011">
        <v>36</v>
      </c>
      <c r="T1011">
        <v>0</v>
      </c>
      <c r="U1011">
        <v>1</v>
      </c>
      <c r="V1011">
        <v>0</v>
      </c>
    </row>
    <row r="1012" spans="1:22">
      <c r="A1012" t="s">
        <v>1014</v>
      </c>
      <c r="B1012" s="3">
        <v>46188</v>
      </c>
      <c r="C1012" t="s">
        <v>14</v>
      </c>
      <c r="D1012" t="s">
        <v>42</v>
      </c>
      <c r="E1012" t="s">
        <v>16</v>
      </c>
      <c r="F1012" t="s">
        <v>17</v>
      </c>
      <c r="G1012" t="s">
        <v>32</v>
      </c>
      <c r="H1012" t="s">
        <v>19</v>
      </c>
      <c r="I1012" t="s">
        <v>20</v>
      </c>
      <c r="J1012">
        <v>300</v>
      </c>
      <c r="S1012">
        <v>36</v>
      </c>
      <c r="T1012">
        <v>0</v>
      </c>
      <c r="U1012">
        <v>1</v>
      </c>
      <c r="V1012">
        <v>0</v>
      </c>
    </row>
    <row r="1013" spans="1:22">
      <c r="A1013" t="s">
        <v>1015</v>
      </c>
      <c r="B1013" s="3">
        <v>46188</v>
      </c>
      <c r="C1013" t="s">
        <v>14</v>
      </c>
      <c r="D1013" t="s">
        <v>131</v>
      </c>
      <c r="E1013" t="s">
        <v>16</v>
      </c>
      <c r="F1013" t="s">
        <v>17</v>
      </c>
      <c r="G1013" t="s">
        <v>32</v>
      </c>
      <c r="H1013" t="s">
        <v>19</v>
      </c>
      <c r="I1013" t="s">
        <v>20</v>
      </c>
      <c r="J1013">
        <v>300</v>
      </c>
      <c r="S1013">
        <v>36</v>
      </c>
      <c r="T1013">
        <v>0</v>
      </c>
      <c r="U1013">
        <v>1</v>
      </c>
      <c r="V1013">
        <v>0</v>
      </c>
    </row>
    <row r="1014" spans="1:22">
      <c r="A1014" t="s">
        <v>1016</v>
      </c>
      <c r="B1014" s="3">
        <v>46188</v>
      </c>
      <c r="C1014" t="s">
        <v>14</v>
      </c>
      <c r="D1014" t="s">
        <v>31</v>
      </c>
      <c r="E1014" t="s">
        <v>16</v>
      </c>
      <c r="F1014" t="s">
        <v>17</v>
      </c>
      <c r="G1014" t="s">
        <v>23</v>
      </c>
      <c r="H1014" t="s">
        <v>19</v>
      </c>
      <c r="I1014" t="s">
        <v>20</v>
      </c>
      <c r="J1014">
        <v>120</v>
      </c>
      <c r="S1014">
        <v>9.6</v>
      </c>
      <c r="T1014">
        <v>0</v>
      </c>
      <c r="U1014">
        <v>1</v>
      </c>
      <c r="V1014">
        <v>0</v>
      </c>
    </row>
    <row r="1015" spans="1:22">
      <c r="A1015" t="s">
        <v>1017</v>
      </c>
      <c r="B1015" s="3">
        <v>46188</v>
      </c>
      <c r="C1015" t="s">
        <v>14</v>
      </c>
      <c r="D1015" t="s">
        <v>131</v>
      </c>
      <c r="E1015" t="s">
        <v>16</v>
      </c>
      <c r="F1015" t="s">
        <v>17</v>
      </c>
      <c r="G1015" t="s">
        <v>23</v>
      </c>
      <c r="H1015" t="s">
        <v>19</v>
      </c>
      <c r="I1015" t="s">
        <v>53</v>
      </c>
      <c r="J1015">
        <v>120</v>
      </c>
      <c r="S1015">
        <v>0</v>
      </c>
      <c r="T1015">
        <v>0</v>
      </c>
      <c r="U1015">
        <v>0</v>
      </c>
      <c r="V1015">
        <v>0</v>
      </c>
    </row>
    <row r="1016" spans="1:22">
      <c r="A1016" t="s">
        <v>1018</v>
      </c>
      <c r="B1016" s="3">
        <v>46188</v>
      </c>
      <c r="C1016" t="s">
        <v>14</v>
      </c>
      <c r="D1016" t="s">
        <v>34</v>
      </c>
      <c r="E1016" t="s">
        <v>16</v>
      </c>
      <c r="F1016" t="s">
        <v>17</v>
      </c>
      <c r="G1016" t="s">
        <v>23</v>
      </c>
      <c r="H1016" t="s">
        <v>19</v>
      </c>
      <c r="I1016" t="s">
        <v>20</v>
      </c>
      <c r="J1016">
        <v>120</v>
      </c>
      <c r="S1016">
        <v>9.6</v>
      </c>
      <c r="T1016">
        <v>0</v>
      </c>
      <c r="U1016">
        <v>1</v>
      </c>
      <c r="V1016">
        <v>0</v>
      </c>
    </row>
    <row r="1017" spans="1:22">
      <c r="A1017" t="s">
        <v>1019</v>
      </c>
      <c r="B1017" s="3">
        <v>46188</v>
      </c>
      <c r="C1017" t="s">
        <v>14</v>
      </c>
      <c r="D1017" t="s">
        <v>37</v>
      </c>
      <c r="E1017" t="s">
        <v>16</v>
      </c>
      <c r="F1017" t="s">
        <v>17</v>
      </c>
      <c r="G1017" t="s">
        <v>18</v>
      </c>
      <c r="H1017" t="s">
        <v>19</v>
      </c>
      <c r="I1017" t="s">
        <v>20</v>
      </c>
      <c r="J1017">
        <v>200</v>
      </c>
      <c r="S1017">
        <v>20</v>
      </c>
      <c r="T1017">
        <v>0</v>
      </c>
      <c r="U1017">
        <v>1</v>
      </c>
      <c r="V1017">
        <v>0</v>
      </c>
    </row>
    <row r="1018" spans="1:22">
      <c r="A1018" t="s">
        <v>1020</v>
      </c>
      <c r="B1018" s="3">
        <v>46188</v>
      </c>
      <c r="C1018" t="s">
        <v>14</v>
      </c>
      <c r="D1018" t="s">
        <v>131</v>
      </c>
      <c r="E1018" t="s">
        <v>16</v>
      </c>
      <c r="F1018" t="s">
        <v>17</v>
      </c>
      <c r="G1018" t="s">
        <v>32</v>
      </c>
      <c r="H1018" t="s">
        <v>19</v>
      </c>
      <c r="I1018" t="s">
        <v>20</v>
      </c>
      <c r="J1018">
        <v>300</v>
      </c>
      <c r="S1018">
        <v>36</v>
      </c>
      <c r="T1018">
        <v>0</v>
      </c>
      <c r="U1018">
        <v>1</v>
      </c>
      <c r="V1018">
        <v>0</v>
      </c>
    </row>
    <row r="1019" spans="1:22">
      <c r="A1019" t="s">
        <v>1021</v>
      </c>
      <c r="B1019" s="3">
        <v>46188</v>
      </c>
      <c r="C1019" t="s">
        <v>14</v>
      </c>
      <c r="D1019" t="s">
        <v>210</v>
      </c>
      <c r="E1019" t="s">
        <v>16</v>
      </c>
      <c r="F1019" t="s">
        <v>17</v>
      </c>
      <c r="G1019" t="s">
        <v>18</v>
      </c>
      <c r="H1019" t="s">
        <v>24</v>
      </c>
      <c r="I1019" t="s">
        <v>20</v>
      </c>
      <c r="J1019">
        <v>170</v>
      </c>
      <c r="L1019" t="s">
        <v>29</v>
      </c>
      <c r="S1019">
        <v>0</v>
      </c>
      <c r="T1019">
        <v>0</v>
      </c>
      <c r="U1019">
        <v>0</v>
      </c>
      <c r="V1019">
        <v>0</v>
      </c>
    </row>
    <row r="1020" spans="1:22">
      <c r="A1020" t="s">
        <v>1022</v>
      </c>
      <c r="B1020" s="3">
        <v>46188</v>
      </c>
      <c r="C1020" t="s">
        <v>14</v>
      </c>
      <c r="D1020" t="s">
        <v>26</v>
      </c>
      <c r="E1020" t="s">
        <v>16</v>
      </c>
      <c r="F1020" t="s">
        <v>17</v>
      </c>
      <c r="G1020" t="s">
        <v>32</v>
      </c>
      <c r="H1020" t="s">
        <v>19</v>
      </c>
      <c r="I1020" t="s">
        <v>20</v>
      </c>
      <c r="J1020">
        <v>300</v>
      </c>
      <c r="S1020">
        <v>36</v>
      </c>
      <c r="T1020">
        <v>0</v>
      </c>
      <c r="U1020">
        <v>1</v>
      </c>
      <c r="V1020">
        <v>0</v>
      </c>
    </row>
    <row r="1021" spans="1:22">
      <c r="A1021" t="s">
        <v>1023</v>
      </c>
      <c r="B1021" s="3">
        <v>46188</v>
      </c>
      <c r="C1021" t="s">
        <v>14</v>
      </c>
      <c r="D1021" t="s">
        <v>37</v>
      </c>
      <c r="E1021" t="s">
        <v>16</v>
      </c>
      <c r="F1021" t="s">
        <v>35</v>
      </c>
      <c r="G1021" t="s">
        <v>23</v>
      </c>
      <c r="H1021" t="s">
        <v>19</v>
      </c>
      <c r="I1021" t="s">
        <v>20</v>
      </c>
      <c r="J1021">
        <v>90</v>
      </c>
      <c r="L1021" t="s">
        <v>29</v>
      </c>
      <c r="S1021">
        <v>2.7</v>
      </c>
      <c r="T1021">
        <v>0</v>
      </c>
      <c r="U1021">
        <v>0</v>
      </c>
      <c r="V1021">
        <v>0</v>
      </c>
    </row>
    <row r="1022" spans="1:22">
      <c r="A1022" t="s">
        <v>1024</v>
      </c>
      <c r="B1022" s="3">
        <v>46188</v>
      </c>
      <c r="C1022" t="s">
        <v>14</v>
      </c>
      <c r="D1022" t="s">
        <v>26</v>
      </c>
      <c r="E1022" t="s">
        <v>16</v>
      </c>
      <c r="F1022" t="s">
        <v>17</v>
      </c>
      <c r="G1022" t="s">
        <v>23</v>
      </c>
      <c r="H1022" t="s">
        <v>19</v>
      </c>
      <c r="I1022" t="s">
        <v>20</v>
      </c>
      <c r="J1022">
        <v>120</v>
      </c>
      <c r="S1022">
        <v>9.6</v>
      </c>
      <c r="T1022">
        <v>0</v>
      </c>
      <c r="U1022">
        <v>1</v>
      </c>
      <c r="V1022">
        <v>0</v>
      </c>
    </row>
    <row r="1023" spans="1:22">
      <c r="A1023" t="s">
        <v>1025</v>
      </c>
      <c r="B1023" s="3">
        <v>46188</v>
      </c>
      <c r="C1023" t="s">
        <v>14</v>
      </c>
      <c r="D1023" t="s">
        <v>42</v>
      </c>
      <c r="E1023" t="s">
        <v>16</v>
      </c>
      <c r="F1023" t="s">
        <v>17</v>
      </c>
      <c r="G1023" t="s">
        <v>32</v>
      </c>
      <c r="H1023" t="s">
        <v>19</v>
      </c>
      <c r="I1023" t="s">
        <v>20</v>
      </c>
      <c r="J1023">
        <v>300</v>
      </c>
      <c r="S1023">
        <v>36</v>
      </c>
      <c r="T1023">
        <v>0</v>
      </c>
      <c r="U1023">
        <v>1</v>
      </c>
      <c r="V1023">
        <v>0</v>
      </c>
    </row>
    <row r="1024" spans="1:22">
      <c r="A1024" t="s">
        <v>1026</v>
      </c>
      <c r="B1024" s="3">
        <v>46188</v>
      </c>
      <c r="C1024" t="s">
        <v>14</v>
      </c>
      <c r="D1024" t="s">
        <v>137</v>
      </c>
      <c r="E1024" t="s">
        <v>16</v>
      </c>
      <c r="F1024" t="s">
        <v>17</v>
      </c>
      <c r="G1024" t="s">
        <v>18</v>
      </c>
      <c r="H1024" t="s">
        <v>19</v>
      </c>
      <c r="I1024" t="s">
        <v>20</v>
      </c>
      <c r="J1024">
        <v>200</v>
      </c>
      <c r="S1024">
        <v>20</v>
      </c>
      <c r="T1024">
        <v>0</v>
      </c>
      <c r="U1024">
        <v>1</v>
      </c>
      <c r="V1024">
        <v>0</v>
      </c>
    </row>
    <row r="1025" spans="1:22">
      <c r="A1025" t="s">
        <v>1027</v>
      </c>
      <c r="B1025" s="3">
        <v>46188</v>
      </c>
      <c r="C1025" t="s">
        <v>14</v>
      </c>
      <c r="D1025" t="s">
        <v>22</v>
      </c>
      <c r="E1025" t="s">
        <v>16</v>
      </c>
      <c r="F1025" t="s">
        <v>17</v>
      </c>
      <c r="G1025" t="s">
        <v>23</v>
      </c>
      <c r="H1025" t="s">
        <v>19</v>
      </c>
      <c r="I1025" t="s">
        <v>20</v>
      </c>
      <c r="J1025">
        <v>120</v>
      </c>
      <c r="S1025">
        <v>9.6</v>
      </c>
      <c r="T1025">
        <v>0</v>
      </c>
      <c r="U1025">
        <v>1</v>
      </c>
      <c r="V1025">
        <v>0</v>
      </c>
    </row>
    <row r="1026" spans="1:22">
      <c r="A1026" t="s">
        <v>1028</v>
      </c>
      <c r="B1026" s="3">
        <v>46188</v>
      </c>
      <c r="C1026" t="s">
        <v>14</v>
      </c>
      <c r="D1026" t="s">
        <v>131</v>
      </c>
      <c r="E1026" t="s">
        <v>16</v>
      </c>
      <c r="F1026" t="s">
        <v>17</v>
      </c>
      <c r="G1026" t="s">
        <v>23</v>
      </c>
      <c r="H1026" t="s">
        <v>19</v>
      </c>
      <c r="I1026" t="s">
        <v>20</v>
      </c>
      <c r="J1026">
        <v>102</v>
      </c>
      <c r="L1026" t="s">
        <v>29</v>
      </c>
      <c r="S1026">
        <v>8.16</v>
      </c>
      <c r="T1026">
        <v>0</v>
      </c>
      <c r="U1026">
        <v>1</v>
      </c>
      <c r="V1026">
        <v>0</v>
      </c>
    </row>
    <row r="1027" spans="1:22">
      <c r="A1027" t="s">
        <v>1029</v>
      </c>
      <c r="B1027" s="3">
        <v>46188</v>
      </c>
      <c r="C1027" t="s">
        <v>47</v>
      </c>
      <c r="D1027" t="s">
        <v>71</v>
      </c>
      <c r="E1027" t="s">
        <v>16</v>
      </c>
      <c r="F1027" t="s">
        <v>17</v>
      </c>
      <c r="G1027" t="s">
        <v>18</v>
      </c>
      <c r="H1027" t="s">
        <v>19</v>
      </c>
      <c r="I1027" t="s">
        <v>20</v>
      </c>
      <c r="J1027">
        <v>170</v>
      </c>
      <c r="L1027" t="s">
        <v>29</v>
      </c>
      <c r="S1027">
        <v>17</v>
      </c>
      <c r="T1027">
        <v>0</v>
      </c>
      <c r="U1027">
        <v>1</v>
      </c>
      <c r="V1027">
        <v>0</v>
      </c>
    </row>
    <row r="1028" spans="1:22">
      <c r="A1028" t="s">
        <v>1030</v>
      </c>
      <c r="B1028" s="3">
        <v>46188</v>
      </c>
      <c r="C1028" t="s">
        <v>47</v>
      </c>
      <c r="D1028" t="s">
        <v>152</v>
      </c>
      <c r="E1028" t="s">
        <v>16</v>
      </c>
      <c r="F1028" t="s">
        <v>17</v>
      </c>
      <c r="G1028" t="s">
        <v>23</v>
      </c>
      <c r="H1028" t="s">
        <v>19</v>
      </c>
      <c r="I1028" t="s">
        <v>20</v>
      </c>
      <c r="J1028">
        <v>120</v>
      </c>
      <c r="S1028">
        <v>9.6</v>
      </c>
      <c r="T1028">
        <v>0</v>
      </c>
      <c r="U1028">
        <v>1</v>
      </c>
      <c r="V1028">
        <v>0</v>
      </c>
    </row>
    <row r="1029" spans="1:22">
      <c r="A1029" t="s">
        <v>1031</v>
      </c>
      <c r="B1029" s="3">
        <v>46188</v>
      </c>
      <c r="C1029" t="s">
        <v>47</v>
      </c>
      <c r="D1029" t="s">
        <v>55</v>
      </c>
      <c r="E1029" t="s">
        <v>16</v>
      </c>
      <c r="F1029" t="s">
        <v>17</v>
      </c>
      <c r="G1029" t="s">
        <v>32</v>
      </c>
      <c r="H1029" t="s">
        <v>19</v>
      </c>
      <c r="I1029" t="s">
        <v>53</v>
      </c>
      <c r="J1029">
        <v>300</v>
      </c>
      <c r="S1029">
        <v>0</v>
      </c>
      <c r="T1029">
        <v>0</v>
      </c>
      <c r="U1029">
        <v>0</v>
      </c>
      <c r="V1029">
        <v>0</v>
      </c>
    </row>
    <row r="1030" spans="1:22">
      <c r="A1030" t="s">
        <v>1032</v>
      </c>
      <c r="B1030" s="3">
        <v>46188</v>
      </c>
      <c r="C1030" t="s">
        <v>47</v>
      </c>
      <c r="D1030" t="s">
        <v>64</v>
      </c>
      <c r="E1030" t="s">
        <v>16</v>
      </c>
      <c r="F1030" t="s">
        <v>35</v>
      </c>
      <c r="G1030" t="s">
        <v>23</v>
      </c>
      <c r="H1030" t="s">
        <v>19</v>
      </c>
      <c r="I1030" t="s">
        <v>20</v>
      </c>
      <c r="J1030">
        <v>120</v>
      </c>
      <c r="S1030">
        <v>3.6</v>
      </c>
      <c r="T1030">
        <v>0</v>
      </c>
      <c r="U1030">
        <v>0</v>
      </c>
      <c r="V1030">
        <v>0</v>
      </c>
    </row>
    <row r="1031" spans="1:22">
      <c r="A1031" t="s">
        <v>1033</v>
      </c>
      <c r="B1031" s="3">
        <v>46188</v>
      </c>
      <c r="C1031" t="s">
        <v>47</v>
      </c>
      <c r="D1031" t="s">
        <v>55</v>
      </c>
      <c r="E1031" t="s">
        <v>16</v>
      </c>
      <c r="F1031" t="s">
        <v>17</v>
      </c>
      <c r="G1031" t="s">
        <v>23</v>
      </c>
      <c r="H1031" t="s">
        <v>19</v>
      </c>
      <c r="I1031" t="s">
        <v>20</v>
      </c>
      <c r="J1031">
        <v>120</v>
      </c>
      <c r="S1031">
        <v>9.6</v>
      </c>
      <c r="T1031">
        <v>0</v>
      </c>
      <c r="U1031">
        <v>1</v>
      </c>
      <c r="V1031">
        <v>0</v>
      </c>
    </row>
    <row r="1032" spans="1:22">
      <c r="A1032" t="s">
        <v>1034</v>
      </c>
      <c r="B1032" s="3">
        <v>46188</v>
      </c>
      <c r="C1032" t="s">
        <v>47</v>
      </c>
      <c r="D1032" t="s">
        <v>62</v>
      </c>
      <c r="E1032" t="s">
        <v>16</v>
      </c>
      <c r="F1032" t="s">
        <v>17</v>
      </c>
      <c r="G1032" t="s">
        <v>32</v>
      </c>
      <c r="H1032" t="s">
        <v>19</v>
      </c>
      <c r="I1032" t="s">
        <v>20</v>
      </c>
      <c r="J1032">
        <v>300</v>
      </c>
      <c r="S1032">
        <v>36</v>
      </c>
      <c r="T1032">
        <v>0</v>
      </c>
      <c r="U1032">
        <v>1</v>
      </c>
      <c r="V1032">
        <v>0</v>
      </c>
    </row>
    <row r="1033" spans="1:22">
      <c r="A1033" t="s">
        <v>1035</v>
      </c>
      <c r="B1033" s="3">
        <v>46188</v>
      </c>
      <c r="C1033" t="s">
        <v>47</v>
      </c>
      <c r="D1033" t="s">
        <v>73</v>
      </c>
      <c r="E1033" t="s">
        <v>16</v>
      </c>
      <c r="F1033" t="s">
        <v>17</v>
      </c>
      <c r="G1033" t="s">
        <v>18</v>
      </c>
      <c r="H1033" t="s">
        <v>19</v>
      </c>
      <c r="I1033" t="s">
        <v>20</v>
      </c>
      <c r="J1033">
        <v>170</v>
      </c>
      <c r="L1033" t="s">
        <v>29</v>
      </c>
      <c r="S1033">
        <v>17</v>
      </c>
      <c r="T1033">
        <v>0</v>
      </c>
      <c r="U1033">
        <v>1</v>
      </c>
      <c r="V1033">
        <v>0</v>
      </c>
    </row>
    <row r="1034" spans="1:22">
      <c r="A1034" t="s">
        <v>1036</v>
      </c>
      <c r="B1034" s="3">
        <v>46188</v>
      </c>
      <c r="C1034" t="s">
        <v>47</v>
      </c>
      <c r="D1034" t="s">
        <v>50</v>
      </c>
      <c r="E1034" t="s">
        <v>16</v>
      </c>
      <c r="F1034" t="s">
        <v>17</v>
      </c>
      <c r="G1034" t="s">
        <v>18</v>
      </c>
      <c r="H1034" t="s">
        <v>19</v>
      </c>
      <c r="I1034" t="s">
        <v>74</v>
      </c>
      <c r="J1034">
        <v>150</v>
      </c>
      <c r="L1034" t="s">
        <v>29</v>
      </c>
      <c r="S1034">
        <v>0</v>
      </c>
      <c r="T1034">
        <v>0</v>
      </c>
      <c r="U1034">
        <v>0</v>
      </c>
      <c r="V1034">
        <v>0</v>
      </c>
    </row>
    <row r="1035" spans="1:22">
      <c r="A1035" t="s">
        <v>1037</v>
      </c>
      <c r="B1035" s="3">
        <v>46188</v>
      </c>
      <c r="C1035" t="s">
        <v>47</v>
      </c>
      <c r="D1035" t="s">
        <v>50</v>
      </c>
      <c r="E1035" t="s">
        <v>16</v>
      </c>
      <c r="F1035" t="s">
        <v>17</v>
      </c>
      <c r="G1035" t="s">
        <v>32</v>
      </c>
      <c r="H1035" t="s">
        <v>19</v>
      </c>
      <c r="I1035" t="s">
        <v>74</v>
      </c>
      <c r="J1035">
        <v>300</v>
      </c>
      <c r="S1035">
        <v>0</v>
      </c>
      <c r="T1035">
        <v>0</v>
      </c>
      <c r="U1035">
        <v>0</v>
      </c>
      <c r="V1035">
        <v>0</v>
      </c>
    </row>
    <row r="1036" spans="1:22">
      <c r="A1036" t="s">
        <v>1038</v>
      </c>
      <c r="B1036" s="3">
        <v>46188</v>
      </c>
      <c r="C1036" t="s">
        <v>47</v>
      </c>
      <c r="D1036" t="s">
        <v>59</v>
      </c>
      <c r="E1036" t="s">
        <v>16</v>
      </c>
      <c r="F1036" t="s">
        <v>17</v>
      </c>
      <c r="G1036" t="s">
        <v>18</v>
      </c>
      <c r="H1036" t="s">
        <v>19</v>
      </c>
      <c r="I1036" t="s">
        <v>20</v>
      </c>
      <c r="J1036">
        <v>200</v>
      </c>
      <c r="S1036">
        <v>20</v>
      </c>
      <c r="T1036">
        <v>0</v>
      </c>
      <c r="U1036">
        <v>1</v>
      </c>
      <c r="V1036">
        <v>0</v>
      </c>
    </row>
    <row r="1037" spans="1:22">
      <c r="A1037" t="s">
        <v>1039</v>
      </c>
      <c r="B1037" s="3">
        <v>46188</v>
      </c>
      <c r="C1037" t="s">
        <v>47</v>
      </c>
      <c r="D1037" t="s">
        <v>48</v>
      </c>
      <c r="E1037" t="s">
        <v>16</v>
      </c>
      <c r="F1037" t="s">
        <v>17</v>
      </c>
      <c r="G1037" t="s">
        <v>32</v>
      </c>
      <c r="H1037" t="s">
        <v>19</v>
      </c>
      <c r="I1037" t="s">
        <v>20</v>
      </c>
      <c r="J1037">
        <v>300</v>
      </c>
      <c r="S1037">
        <v>36</v>
      </c>
      <c r="T1037">
        <v>0</v>
      </c>
      <c r="U1037">
        <v>1</v>
      </c>
      <c r="V1037">
        <v>0</v>
      </c>
    </row>
    <row r="1038" spans="1:22">
      <c r="A1038" t="s">
        <v>1040</v>
      </c>
      <c r="B1038" s="3">
        <v>46188</v>
      </c>
      <c r="C1038" t="s">
        <v>47</v>
      </c>
      <c r="D1038" t="s">
        <v>71</v>
      </c>
      <c r="E1038" t="s">
        <v>16</v>
      </c>
      <c r="F1038" t="s">
        <v>17</v>
      </c>
      <c r="G1038" t="s">
        <v>32</v>
      </c>
      <c r="H1038" t="s">
        <v>19</v>
      </c>
      <c r="I1038" t="s">
        <v>20</v>
      </c>
      <c r="J1038">
        <v>300</v>
      </c>
      <c r="S1038">
        <v>36</v>
      </c>
      <c r="T1038">
        <v>0</v>
      </c>
      <c r="U1038">
        <v>1</v>
      </c>
      <c r="V1038">
        <v>0</v>
      </c>
    </row>
    <row r="1039" spans="1:22">
      <c r="A1039" t="s">
        <v>1041</v>
      </c>
      <c r="B1039" s="3">
        <v>46188</v>
      </c>
      <c r="C1039" t="s">
        <v>47</v>
      </c>
      <c r="D1039" t="s">
        <v>59</v>
      </c>
      <c r="E1039" t="s">
        <v>16</v>
      </c>
      <c r="F1039" t="s">
        <v>17</v>
      </c>
      <c r="G1039" t="s">
        <v>18</v>
      </c>
      <c r="H1039" t="s">
        <v>19</v>
      </c>
      <c r="I1039" t="s">
        <v>20</v>
      </c>
      <c r="J1039">
        <v>200</v>
      </c>
      <c r="S1039">
        <v>20</v>
      </c>
      <c r="T1039">
        <v>0</v>
      </c>
      <c r="U1039">
        <v>1</v>
      </c>
      <c r="V1039">
        <v>0</v>
      </c>
    </row>
    <row r="1040" spans="1:22">
      <c r="A1040" t="s">
        <v>1042</v>
      </c>
      <c r="B1040" s="3">
        <v>46188</v>
      </c>
      <c r="C1040" t="s">
        <v>47</v>
      </c>
      <c r="D1040" t="s">
        <v>48</v>
      </c>
      <c r="E1040" t="s">
        <v>16</v>
      </c>
      <c r="F1040" t="s">
        <v>17</v>
      </c>
      <c r="G1040" t="s">
        <v>32</v>
      </c>
      <c r="H1040" t="s">
        <v>24</v>
      </c>
      <c r="I1040" t="s">
        <v>20</v>
      </c>
      <c r="J1040">
        <v>225</v>
      </c>
      <c r="L1040" t="s">
        <v>29</v>
      </c>
      <c r="S1040">
        <v>0</v>
      </c>
      <c r="T1040">
        <v>0</v>
      </c>
      <c r="U1040">
        <v>0</v>
      </c>
      <c r="V1040">
        <v>0</v>
      </c>
    </row>
    <row r="1041" spans="1:22">
      <c r="A1041" t="s">
        <v>1043</v>
      </c>
      <c r="B1041" s="3">
        <v>46188</v>
      </c>
      <c r="C1041" t="s">
        <v>47</v>
      </c>
      <c r="D1041" t="s">
        <v>66</v>
      </c>
      <c r="E1041" t="s">
        <v>16</v>
      </c>
      <c r="F1041" t="s">
        <v>35</v>
      </c>
      <c r="G1041" t="s">
        <v>18</v>
      </c>
      <c r="H1041" t="s">
        <v>19</v>
      </c>
      <c r="I1041" t="s">
        <v>20</v>
      </c>
      <c r="J1041">
        <v>200</v>
      </c>
      <c r="S1041">
        <v>6</v>
      </c>
      <c r="T1041">
        <v>0</v>
      </c>
      <c r="U1041">
        <v>0</v>
      </c>
      <c r="V1041">
        <v>0</v>
      </c>
    </row>
    <row r="1042" spans="1:22">
      <c r="A1042" t="s">
        <v>1044</v>
      </c>
      <c r="B1042" s="3">
        <v>46188</v>
      </c>
      <c r="C1042" t="s">
        <v>47</v>
      </c>
      <c r="D1042" t="s">
        <v>66</v>
      </c>
      <c r="E1042" t="s">
        <v>16</v>
      </c>
      <c r="F1042" t="s">
        <v>17</v>
      </c>
      <c r="G1042" t="s">
        <v>18</v>
      </c>
      <c r="H1042" t="s">
        <v>19</v>
      </c>
      <c r="I1042" t="s">
        <v>20</v>
      </c>
      <c r="J1042">
        <v>170</v>
      </c>
      <c r="L1042" t="s">
        <v>29</v>
      </c>
      <c r="S1042">
        <v>17</v>
      </c>
      <c r="T1042">
        <v>0</v>
      </c>
      <c r="U1042">
        <v>1</v>
      </c>
      <c r="V1042">
        <v>0</v>
      </c>
    </row>
    <row r="1043" spans="1:22">
      <c r="A1043" t="s">
        <v>1045</v>
      </c>
      <c r="B1043" s="3">
        <v>46188</v>
      </c>
      <c r="C1043" t="s">
        <v>78</v>
      </c>
      <c r="D1043" t="s">
        <v>87</v>
      </c>
      <c r="E1043" t="s">
        <v>16</v>
      </c>
      <c r="F1043" t="s">
        <v>17</v>
      </c>
      <c r="G1043" t="s">
        <v>32</v>
      </c>
      <c r="H1043" t="s">
        <v>24</v>
      </c>
      <c r="I1043" t="s">
        <v>20</v>
      </c>
      <c r="J1043">
        <v>300</v>
      </c>
      <c r="S1043">
        <v>0</v>
      </c>
      <c r="T1043">
        <v>0</v>
      </c>
      <c r="U1043">
        <v>0</v>
      </c>
      <c r="V1043">
        <v>0</v>
      </c>
    </row>
    <row r="1044" spans="1:22">
      <c r="A1044" t="s">
        <v>1046</v>
      </c>
      <c r="B1044" s="3">
        <v>46188</v>
      </c>
      <c r="C1044" t="s">
        <v>78</v>
      </c>
      <c r="D1044" t="s">
        <v>81</v>
      </c>
      <c r="E1044" t="s">
        <v>16</v>
      </c>
      <c r="F1044" t="s">
        <v>17</v>
      </c>
      <c r="G1044" t="s">
        <v>32</v>
      </c>
      <c r="H1044" t="s">
        <v>19</v>
      </c>
      <c r="I1044" t="s">
        <v>20</v>
      </c>
      <c r="J1044">
        <v>300</v>
      </c>
      <c r="S1044">
        <v>36</v>
      </c>
      <c r="T1044">
        <v>0</v>
      </c>
      <c r="U1044">
        <v>1</v>
      </c>
      <c r="V1044">
        <v>0</v>
      </c>
    </row>
    <row r="1045" spans="1:22">
      <c r="A1045" t="s">
        <v>1047</v>
      </c>
      <c r="B1045" s="3">
        <v>46188</v>
      </c>
      <c r="C1045" t="s">
        <v>78</v>
      </c>
      <c r="D1045" t="s">
        <v>83</v>
      </c>
      <c r="E1045" t="s">
        <v>16</v>
      </c>
      <c r="F1045" t="s">
        <v>17</v>
      </c>
      <c r="G1045" t="s">
        <v>23</v>
      </c>
      <c r="H1045" t="s">
        <v>24</v>
      </c>
      <c r="I1045" t="s">
        <v>20</v>
      </c>
      <c r="J1045">
        <v>120</v>
      </c>
      <c r="S1045">
        <v>0</v>
      </c>
      <c r="T1045">
        <v>0</v>
      </c>
      <c r="U1045">
        <v>0</v>
      </c>
      <c r="V1045">
        <v>0</v>
      </c>
    </row>
    <row r="1046" spans="1:22">
      <c r="A1046" t="s">
        <v>1048</v>
      </c>
      <c r="B1046" s="3">
        <v>46188</v>
      </c>
      <c r="C1046" t="s">
        <v>78</v>
      </c>
      <c r="D1046" t="s">
        <v>161</v>
      </c>
      <c r="E1046" t="s">
        <v>16</v>
      </c>
      <c r="F1046" t="s">
        <v>17</v>
      </c>
      <c r="G1046" t="s">
        <v>23</v>
      </c>
      <c r="H1046" t="s">
        <v>19</v>
      </c>
      <c r="I1046" t="s">
        <v>20</v>
      </c>
      <c r="J1046">
        <v>102</v>
      </c>
      <c r="L1046" t="s">
        <v>29</v>
      </c>
      <c r="S1046">
        <v>8.16</v>
      </c>
      <c r="T1046">
        <v>0</v>
      </c>
      <c r="U1046">
        <v>1</v>
      </c>
      <c r="V1046">
        <v>0</v>
      </c>
    </row>
    <row r="1047" spans="1:22">
      <c r="A1047" t="s">
        <v>1049</v>
      </c>
      <c r="B1047" s="3">
        <v>46188</v>
      </c>
      <c r="C1047" t="s">
        <v>78</v>
      </c>
      <c r="D1047" t="s">
        <v>89</v>
      </c>
      <c r="E1047" t="s">
        <v>16</v>
      </c>
      <c r="F1047" t="s">
        <v>17</v>
      </c>
      <c r="G1047" t="s">
        <v>18</v>
      </c>
      <c r="H1047" t="s">
        <v>19</v>
      </c>
      <c r="I1047" t="s">
        <v>20</v>
      </c>
      <c r="J1047">
        <v>170</v>
      </c>
      <c r="L1047" t="s">
        <v>29</v>
      </c>
      <c r="S1047">
        <v>17</v>
      </c>
      <c r="T1047">
        <v>0</v>
      </c>
      <c r="U1047">
        <v>1</v>
      </c>
      <c r="V1047">
        <v>0</v>
      </c>
    </row>
    <row r="1048" spans="1:22">
      <c r="A1048" t="s">
        <v>1050</v>
      </c>
      <c r="B1048" s="3">
        <v>46188</v>
      </c>
      <c r="C1048" t="s">
        <v>78</v>
      </c>
      <c r="D1048" t="s">
        <v>161</v>
      </c>
      <c r="E1048" t="s">
        <v>16</v>
      </c>
      <c r="F1048" t="s">
        <v>35</v>
      </c>
      <c r="G1048" t="s">
        <v>32</v>
      </c>
      <c r="H1048" t="s">
        <v>19</v>
      </c>
      <c r="I1048" t="s">
        <v>20</v>
      </c>
      <c r="J1048">
        <v>300</v>
      </c>
      <c r="S1048">
        <v>9</v>
      </c>
      <c r="T1048">
        <v>0</v>
      </c>
      <c r="U1048">
        <v>0</v>
      </c>
      <c r="V1048">
        <v>0</v>
      </c>
    </row>
    <row r="1049" spans="1:22">
      <c r="A1049" t="s">
        <v>1051</v>
      </c>
      <c r="B1049" s="3">
        <v>46188</v>
      </c>
      <c r="C1049" t="s">
        <v>78</v>
      </c>
      <c r="D1049" t="s">
        <v>163</v>
      </c>
      <c r="E1049" t="s">
        <v>16</v>
      </c>
      <c r="F1049" t="s">
        <v>17</v>
      </c>
      <c r="G1049" t="s">
        <v>18</v>
      </c>
      <c r="H1049" t="s">
        <v>24</v>
      </c>
      <c r="I1049" t="s">
        <v>74</v>
      </c>
      <c r="J1049">
        <v>200</v>
      </c>
      <c r="S1049">
        <v>0</v>
      </c>
      <c r="T1049">
        <v>0</v>
      </c>
      <c r="U1049">
        <v>0</v>
      </c>
      <c r="V1049">
        <v>0</v>
      </c>
    </row>
    <row r="1050" spans="1:22">
      <c r="A1050" t="s">
        <v>1052</v>
      </c>
      <c r="B1050" s="3">
        <v>46188</v>
      </c>
      <c r="C1050" t="s">
        <v>78</v>
      </c>
      <c r="D1050" t="s">
        <v>79</v>
      </c>
      <c r="E1050" t="s">
        <v>16</v>
      </c>
      <c r="F1050" t="s">
        <v>17</v>
      </c>
      <c r="G1050" t="s">
        <v>23</v>
      </c>
      <c r="H1050" t="s">
        <v>19</v>
      </c>
      <c r="I1050" t="s">
        <v>20</v>
      </c>
      <c r="J1050">
        <v>120</v>
      </c>
      <c r="S1050">
        <v>9.6</v>
      </c>
      <c r="T1050">
        <v>0</v>
      </c>
      <c r="U1050">
        <v>1</v>
      </c>
      <c r="V1050">
        <v>0</v>
      </c>
    </row>
    <row r="1051" spans="1:22">
      <c r="A1051" t="s">
        <v>1053</v>
      </c>
      <c r="B1051" s="3">
        <v>46188</v>
      </c>
      <c r="C1051" t="s">
        <v>78</v>
      </c>
      <c r="D1051" t="s">
        <v>83</v>
      </c>
      <c r="E1051" t="s">
        <v>16</v>
      </c>
      <c r="F1051" t="s">
        <v>17</v>
      </c>
      <c r="G1051" t="s">
        <v>23</v>
      </c>
      <c r="H1051" t="s">
        <v>19</v>
      </c>
      <c r="I1051" t="s">
        <v>20</v>
      </c>
      <c r="J1051">
        <v>120</v>
      </c>
      <c r="S1051">
        <v>9.6</v>
      </c>
      <c r="T1051">
        <v>0</v>
      </c>
      <c r="U1051">
        <v>1</v>
      </c>
      <c r="V1051">
        <v>0</v>
      </c>
    </row>
    <row r="1052" spans="1:22">
      <c r="A1052" t="s">
        <v>1054</v>
      </c>
      <c r="B1052" s="3">
        <v>46188</v>
      </c>
      <c r="C1052" t="s">
        <v>78</v>
      </c>
      <c r="D1052" t="s">
        <v>79</v>
      </c>
      <c r="E1052" t="s">
        <v>16</v>
      </c>
      <c r="F1052" t="s">
        <v>35</v>
      </c>
      <c r="G1052" t="s">
        <v>18</v>
      </c>
      <c r="H1052" t="s">
        <v>19</v>
      </c>
      <c r="I1052" t="s">
        <v>20</v>
      </c>
      <c r="J1052">
        <v>200</v>
      </c>
      <c r="S1052">
        <v>6</v>
      </c>
      <c r="T1052">
        <v>0</v>
      </c>
      <c r="U1052">
        <v>0</v>
      </c>
      <c r="V1052">
        <v>0</v>
      </c>
    </row>
    <row r="1053" spans="1:22">
      <c r="A1053" t="s">
        <v>1055</v>
      </c>
      <c r="B1053" s="3">
        <v>46188</v>
      </c>
      <c r="C1053" t="s">
        <v>78</v>
      </c>
      <c r="D1053" t="s">
        <v>89</v>
      </c>
      <c r="E1053" t="s">
        <v>16</v>
      </c>
      <c r="F1053" t="s">
        <v>17</v>
      </c>
      <c r="G1053" t="s">
        <v>32</v>
      </c>
      <c r="H1053" t="s">
        <v>19</v>
      </c>
      <c r="I1053" t="s">
        <v>20</v>
      </c>
      <c r="J1053">
        <v>300</v>
      </c>
      <c r="S1053">
        <v>36</v>
      </c>
      <c r="T1053">
        <v>0</v>
      </c>
      <c r="U1053">
        <v>1</v>
      </c>
      <c r="V1053">
        <v>0</v>
      </c>
    </row>
    <row r="1054" spans="1:22">
      <c r="A1054" t="s">
        <v>1056</v>
      </c>
      <c r="B1054" s="3">
        <v>46188</v>
      </c>
      <c r="C1054" t="s">
        <v>78</v>
      </c>
      <c r="D1054" t="s">
        <v>102</v>
      </c>
      <c r="E1054" t="s">
        <v>16</v>
      </c>
      <c r="F1054" t="s">
        <v>17</v>
      </c>
      <c r="G1054" t="s">
        <v>32</v>
      </c>
      <c r="H1054" t="s">
        <v>19</v>
      </c>
      <c r="I1054" t="s">
        <v>20</v>
      </c>
      <c r="J1054">
        <v>300</v>
      </c>
      <c r="S1054">
        <v>36</v>
      </c>
      <c r="T1054">
        <v>0</v>
      </c>
      <c r="U1054">
        <v>1</v>
      </c>
      <c r="V1054">
        <v>0</v>
      </c>
    </row>
    <row r="1055" spans="1:22">
      <c r="A1055" t="s">
        <v>1057</v>
      </c>
      <c r="B1055" s="3">
        <v>46188</v>
      </c>
      <c r="C1055" t="s">
        <v>78</v>
      </c>
      <c r="D1055" t="s">
        <v>89</v>
      </c>
      <c r="E1055" t="s">
        <v>16</v>
      </c>
      <c r="F1055" t="s">
        <v>17</v>
      </c>
      <c r="G1055" t="s">
        <v>32</v>
      </c>
      <c r="H1055" t="s">
        <v>19</v>
      </c>
      <c r="I1055" t="s">
        <v>20</v>
      </c>
      <c r="J1055">
        <v>300</v>
      </c>
      <c r="S1055">
        <v>36</v>
      </c>
      <c r="T1055">
        <v>0</v>
      </c>
      <c r="U1055">
        <v>1</v>
      </c>
      <c r="V1055">
        <v>0</v>
      </c>
    </row>
    <row r="1056" spans="1:22">
      <c r="A1056" t="s">
        <v>1058</v>
      </c>
      <c r="B1056" s="3">
        <v>46188</v>
      </c>
      <c r="C1056" t="s">
        <v>78</v>
      </c>
      <c r="D1056" t="s">
        <v>163</v>
      </c>
      <c r="E1056" t="s">
        <v>16</v>
      </c>
      <c r="F1056" t="s">
        <v>17</v>
      </c>
      <c r="G1056" t="s">
        <v>32</v>
      </c>
      <c r="H1056" t="s">
        <v>24</v>
      </c>
      <c r="I1056" t="s">
        <v>20</v>
      </c>
      <c r="J1056">
        <v>300</v>
      </c>
      <c r="S1056">
        <v>0</v>
      </c>
      <c r="T1056">
        <v>0</v>
      </c>
      <c r="U1056">
        <v>0</v>
      </c>
      <c r="V1056">
        <v>0</v>
      </c>
    </row>
    <row r="1057" spans="1:22">
      <c r="A1057" t="s">
        <v>1059</v>
      </c>
      <c r="B1057" s="3">
        <v>46188</v>
      </c>
      <c r="C1057" t="s">
        <v>78</v>
      </c>
      <c r="D1057" t="s">
        <v>87</v>
      </c>
      <c r="E1057" t="s">
        <v>16</v>
      </c>
      <c r="F1057" t="s">
        <v>17</v>
      </c>
      <c r="G1057" t="s">
        <v>23</v>
      </c>
      <c r="H1057" t="s">
        <v>19</v>
      </c>
      <c r="I1057" t="s">
        <v>20</v>
      </c>
      <c r="J1057">
        <v>120</v>
      </c>
      <c r="S1057">
        <v>9.6</v>
      </c>
      <c r="T1057">
        <v>0</v>
      </c>
      <c r="U1057">
        <v>1</v>
      </c>
      <c r="V1057">
        <v>0</v>
      </c>
    </row>
    <row r="1058" spans="1:22">
      <c r="A1058" t="s">
        <v>1060</v>
      </c>
      <c r="B1058" s="3">
        <v>46188</v>
      </c>
      <c r="C1058" t="s">
        <v>105</v>
      </c>
      <c r="D1058" t="s">
        <v>265</v>
      </c>
      <c r="E1058" t="s">
        <v>16</v>
      </c>
      <c r="F1058" t="s">
        <v>17</v>
      </c>
      <c r="G1058" t="s">
        <v>32</v>
      </c>
      <c r="H1058" t="s">
        <v>19</v>
      </c>
      <c r="I1058" t="s">
        <v>20</v>
      </c>
      <c r="J1058">
        <v>300</v>
      </c>
      <c r="S1058">
        <v>36</v>
      </c>
      <c r="T1058">
        <v>0</v>
      </c>
      <c r="U1058">
        <v>1</v>
      </c>
      <c r="V1058">
        <v>0</v>
      </c>
    </row>
    <row r="1059" spans="1:22">
      <c r="A1059" t="s">
        <v>1061</v>
      </c>
      <c r="B1059" s="3">
        <v>46188</v>
      </c>
      <c r="C1059" t="s">
        <v>105</v>
      </c>
      <c r="D1059" t="s">
        <v>108</v>
      </c>
      <c r="E1059" t="s">
        <v>16</v>
      </c>
      <c r="F1059" t="s">
        <v>17</v>
      </c>
      <c r="G1059" t="s">
        <v>23</v>
      </c>
      <c r="H1059" t="s">
        <v>19</v>
      </c>
      <c r="I1059" t="s">
        <v>53</v>
      </c>
      <c r="J1059">
        <v>120</v>
      </c>
      <c r="S1059">
        <v>0</v>
      </c>
      <c r="T1059">
        <v>0</v>
      </c>
      <c r="U1059">
        <v>0</v>
      </c>
      <c r="V1059">
        <v>0</v>
      </c>
    </row>
    <row r="1060" spans="1:22">
      <c r="A1060" t="s">
        <v>1062</v>
      </c>
      <c r="B1060" s="3">
        <v>46188</v>
      </c>
      <c r="C1060" t="s">
        <v>105</v>
      </c>
      <c r="D1060" t="s">
        <v>118</v>
      </c>
      <c r="E1060" t="s">
        <v>16</v>
      </c>
      <c r="F1060" t="s">
        <v>17</v>
      </c>
      <c r="G1060" t="s">
        <v>23</v>
      </c>
      <c r="H1060" t="s">
        <v>19</v>
      </c>
      <c r="I1060" t="s">
        <v>20</v>
      </c>
      <c r="J1060">
        <v>120</v>
      </c>
      <c r="S1060">
        <v>9.6</v>
      </c>
      <c r="T1060">
        <v>0</v>
      </c>
      <c r="U1060">
        <v>1</v>
      </c>
      <c r="V1060">
        <v>0</v>
      </c>
    </row>
    <row r="1061" spans="1:22">
      <c r="A1061" t="s">
        <v>1063</v>
      </c>
      <c r="B1061" s="3">
        <v>46188</v>
      </c>
      <c r="C1061" t="s">
        <v>105</v>
      </c>
      <c r="D1061" t="s">
        <v>120</v>
      </c>
      <c r="E1061" t="s">
        <v>16</v>
      </c>
      <c r="F1061" t="s">
        <v>17</v>
      </c>
      <c r="G1061" t="s">
        <v>23</v>
      </c>
      <c r="H1061" t="s">
        <v>24</v>
      </c>
      <c r="I1061" t="s">
        <v>20</v>
      </c>
      <c r="J1061">
        <v>102</v>
      </c>
      <c r="L1061" t="s">
        <v>29</v>
      </c>
      <c r="S1061">
        <v>0</v>
      </c>
      <c r="T1061">
        <v>0</v>
      </c>
      <c r="U1061">
        <v>0</v>
      </c>
      <c r="V1061">
        <v>0</v>
      </c>
    </row>
    <row r="1062" spans="1:22">
      <c r="A1062" t="s">
        <v>1064</v>
      </c>
      <c r="B1062" s="3">
        <v>46188</v>
      </c>
      <c r="C1062" t="s">
        <v>105</v>
      </c>
      <c r="D1062" t="s">
        <v>112</v>
      </c>
      <c r="E1062" t="s">
        <v>16</v>
      </c>
      <c r="F1062" t="s">
        <v>17</v>
      </c>
      <c r="G1062" t="s">
        <v>23</v>
      </c>
      <c r="H1062" t="s">
        <v>19</v>
      </c>
      <c r="I1062" t="s">
        <v>20</v>
      </c>
      <c r="J1062">
        <v>120</v>
      </c>
      <c r="S1062">
        <v>9.6</v>
      </c>
      <c r="T1062">
        <v>0</v>
      </c>
      <c r="U1062">
        <v>1</v>
      </c>
      <c r="V1062">
        <v>0</v>
      </c>
    </row>
    <row r="1063" spans="1:22">
      <c r="A1063" t="s">
        <v>1065</v>
      </c>
      <c r="B1063" s="3">
        <v>46188</v>
      </c>
      <c r="C1063" t="s">
        <v>105</v>
      </c>
      <c r="D1063" t="s">
        <v>182</v>
      </c>
      <c r="E1063" t="s">
        <v>16</v>
      </c>
      <c r="F1063" t="s">
        <v>35</v>
      </c>
      <c r="G1063" t="s">
        <v>32</v>
      </c>
      <c r="H1063" t="s">
        <v>19</v>
      </c>
      <c r="I1063" t="s">
        <v>20</v>
      </c>
      <c r="J1063">
        <v>300</v>
      </c>
      <c r="S1063">
        <v>9</v>
      </c>
      <c r="T1063">
        <v>0</v>
      </c>
      <c r="U1063">
        <v>0</v>
      </c>
      <c r="V1063">
        <v>0</v>
      </c>
    </row>
    <row r="1064" spans="1:22">
      <c r="A1064" t="s">
        <v>1066</v>
      </c>
      <c r="B1064" s="3">
        <v>46188</v>
      </c>
      <c r="C1064" t="s">
        <v>105</v>
      </c>
      <c r="D1064" t="s">
        <v>194</v>
      </c>
      <c r="E1064" t="s">
        <v>16</v>
      </c>
      <c r="F1064" t="s">
        <v>35</v>
      </c>
      <c r="G1064" t="s">
        <v>32</v>
      </c>
      <c r="H1064" t="s">
        <v>19</v>
      </c>
      <c r="I1064" t="s">
        <v>20</v>
      </c>
      <c r="J1064">
        <v>225</v>
      </c>
      <c r="L1064" t="s">
        <v>29</v>
      </c>
      <c r="S1064">
        <v>6.75</v>
      </c>
      <c r="T1064">
        <v>0</v>
      </c>
      <c r="U1064">
        <v>0</v>
      </c>
      <c r="V1064">
        <v>0</v>
      </c>
    </row>
    <row r="1065" spans="1:22">
      <c r="A1065" t="s">
        <v>1067</v>
      </c>
      <c r="B1065" s="3">
        <v>46188</v>
      </c>
      <c r="C1065" t="s">
        <v>105</v>
      </c>
      <c r="D1065" t="s">
        <v>112</v>
      </c>
      <c r="E1065" t="s">
        <v>16</v>
      </c>
      <c r="F1065" t="s">
        <v>17</v>
      </c>
      <c r="G1065" t="s">
        <v>18</v>
      </c>
      <c r="H1065" t="s">
        <v>19</v>
      </c>
      <c r="I1065" t="s">
        <v>20</v>
      </c>
      <c r="J1065">
        <v>200</v>
      </c>
      <c r="S1065">
        <v>20</v>
      </c>
      <c r="T1065">
        <v>0</v>
      </c>
      <c r="U1065">
        <v>1</v>
      </c>
      <c r="V1065">
        <v>0</v>
      </c>
    </row>
    <row r="1066" spans="1:22">
      <c r="A1066" t="s">
        <v>1068</v>
      </c>
      <c r="B1066" s="3">
        <v>46188</v>
      </c>
      <c r="C1066" t="s">
        <v>105</v>
      </c>
      <c r="D1066" t="s">
        <v>108</v>
      </c>
      <c r="E1066" t="s">
        <v>16</v>
      </c>
      <c r="F1066" t="s">
        <v>35</v>
      </c>
      <c r="G1066" t="s">
        <v>23</v>
      </c>
      <c r="H1066" t="s">
        <v>19</v>
      </c>
      <c r="I1066" t="s">
        <v>20</v>
      </c>
      <c r="J1066">
        <v>120</v>
      </c>
      <c r="S1066">
        <v>3.6</v>
      </c>
      <c r="T1066">
        <v>0</v>
      </c>
      <c r="U1066">
        <v>0</v>
      </c>
      <c r="V1066">
        <v>0</v>
      </c>
    </row>
    <row r="1067" spans="1:22">
      <c r="A1067" t="s">
        <v>1069</v>
      </c>
      <c r="B1067" s="3">
        <v>46188</v>
      </c>
      <c r="C1067" t="s">
        <v>105</v>
      </c>
      <c r="D1067" t="s">
        <v>108</v>
      </c>
      <c r="E1067" t="s">
        <v>16</v>
      </c>
      <c r="F1067" t="s">
        <v>17</v>
      </c>
      <c r="G1067" t="s">
        <v>23</v>
      </c>
      <c r="H1067" t="s">
        <v>19</v>
      </c>
      <c r="I1067" t="s">
        <v>20</v>
      </c>
      <c r="J1067">
        <v>120</v>
      </c>
      <c r="S1067">
        <v>9.6</v>
      </c>
      <c r="T1067">
        <v>0</v>
      </c>
      <c r="U1067">
        <v>1</v>
      </c>
      <c r="V1067">
        <v>0</v>
      </c>
    </row>
    <row r="1068" spans="1:22">
      <c r="A1068" t="s">
        <v>1070</v>
      </c>
      <c r="B1068" s="3">
        <v>46188</v>
      </c>
      <c r="C1068" t="s">
        <v>105</v>
      </c>
      <c r="D1068" t="s">
        <v>187</v>
      </c>
      <c r="E1068" t="s">
        <v>16</v>
      </c>
      <c r="F1068" t="s">
        <v>17</v>
      </c>
      <c r="G1068" t="s">
        <v>18</v>
      </c>
      <c r="H1068" t="s">
        <v>19</v>
      </c>
      <c r="I1068" t="s">
        <v>20</v>
      </c>
      <c r="J1068">
        <v>200</v>
      </c>
      <c r="S1068">
        <v>20</v>
      </c>
      <c r="T1068">
        <v>0</v>
      </c>
      <c r="U1068">
        <v>1</v>
      </c>
      <c r="V1068">
        <v>0</v>
      </c>
    </row>
    <row r="1069" spans="1:22">
      <c r="A1069" t="s">
        <v>1071</v>
      </c>
      <c r="B1069" s="3">
        <v>46188</v>
      </c>
      <c r="C1069" t="s">
        <v>105</v>
      </c>
      <c r="D1069" t="s">
        <v>182</v>
      </c>
      <c r="E1069" t="s">
        <v>16</v>
      </c>
      <c r="F1069" t="s">
        <v>17</v>
      </c>
      <c r="G1069" t="s">
        <v>18</v>
      </c>
      <c r="H1069" t="s">
        <v>19</v>
      </c>
      <c r="I1069" t="s">
        <v>20</v>
      </c>
      <c r="J1069">
        <v>200</v>
      </c>
      <c r="S1069">
        <v>20</v>
      </c>
      <c r="T1069">
        <v>0</v>
      </c>
      <c r="U1069">
        <v>1</v>
      </c>
      <c r="V1069">
        <v>0</v>
      </c>
    </row>
    <row r="1070" spans="1:22">
      <c r="A1070" t="s">
        <v>1072</v>
      </c>
      <c r="B1070" s="3">
        <v>46188</v>
      </c>
      <c r="C1070" t="s">
        <v>105</v>
      </c>
      <c r="D1070" t="s">
        <v>194</v>
      </c>
      <c r="E1070" t="s">
        <v>16</v>
      </c>
      <c r="F1070" t="s">
        <v>17</v>
      </c>
      <c r="G1070" t="s">
        <v>18</v>
      </c>
      <c r="H1070" t="s">
        <v>19</v>
      </c>
      <c r="I1070" t="s">
        <v>20</v>
      </c>
      <c r="J1070">
        <v>200</v>
      </c>
      <c r="S1070">
        <v>20</v>
      </c>
      <c r="T1070">
        <v>0</v>
      </c>
      <c r="U1070">
        <v>1</v>
      </c>
      <c r="V1070">
        <v>0</v>
      </c>
    </row>
    <row r="1071" spans="1:22">
      <c r="A1071" t="s">
        <v>1073</v>
      </c>
      <c r="B1071" s="3">
        <v>46188</v>
      </c>
      <c r="C1071" t="s">
        <v>105</v>
      </c>
      <c r="D1071" t="s">
        <v>106</v>
      </c>
      <c r="E1071" t="s">
        <v>16</v>
      </c>
      <c r="F1071" t="s">
        <v>17</v>
      </c>
      <c r="G1071" t="s">
        <v>32</v>
      </c>
      <c r="H1071" t="s">
        <v>19</v>
      </c>
      <c r="I1071" t="s">
        <v>20</v>
      </c>
      <c r="J1071">
        <v>225</v>
      </c>
      <c r="L1071" t="s">
        <v>29</v>
      </c>
      <c r="S1071">
        <v>27</v>
      </c>
      <c r="T1071">
        <v>0</v>
      </c>
      <c r="U1071">
        <v>1</v>
      </c>
      <c r="V1071">
        <v>0</v>
      </c>
    </row>
    <row r="1072" spans="1:22">
      <c r="A1072" t="s">
        <v>1074</v>
      </c>
      <c r="B1072" s="3">
        <v>46188</v>
      </c>
      <c r="C1072" t="s">
        <v>105</v>
      </c>
      <c r="D1072" t="s">
        <v>120</v>
      </c>
      <c r="E1072" t="s">
        <v>16</v>
      </c>
      <c r="F1072" t="s">
        <v>17</v>
      </c>
      <c r="G1072" t="s">
        <v>18</v>
      </c>
      <c r="H1072" t="s">
        <v>19</v>
      </c>
      <c r="I1072" t="s">
        <v>20</v>
      </c>
      <c r="J1072">
        <v>200</v>
      </c>
      <c r="S1072">
        <v>20</v>
      </c>
      <c r="T1072">
        <v>0</v>
      </c>
      <c r="U1072">
        <v>1</v>
      </c>
      <c r="V1072">
        <v>0</v>
      </c>
    </row>
    <row r="1073" spans="1:22">
      <c r="A1073" t="s">
        <v>1075</v>
      </c>
      <c r="B1073" s="3">
        <v>46189</v>
      </c>
      <c r="C1073" t="s">
        <v>14</v>
      </c>
      <c r="D1073" t="s">
        <v>131</v>
      </c>
      <c r="E1073" t="s">
        <v>16</v>
      </c>
      <c r="F1073" t="s">
        <v>17</v>
      </c>
      <c r="G1073" t="s">
        <v>18</v>
      </c>
      <c r="H1073" t="s">
        <v>19</v>
      </c>
      <c r="I1073" t="s">
        <v>20</v>
      </c>
      <c r="J1073">
        <v>200</v>
      </c>
      <c r="S1073">
        <v>20</v>
      </c>
      <c r="T1073">
        <v>0</v>
      </c>
      <c r="U1073">
        <v>1</v>
      </c>
      <c r="V1073">
        <v>0</v>
      </c>
    </row>
    <row r="1074" spans="1:22">
      <c r="A1074" t="s">
        <v>1077</v>
      </c>
      <c r="B1074" s="3">
        <v>46189</v>
      </c>
      <c r="C1074" t="s">
        <v>14</v>
      </c>
      <c r="D1074" t="s">
        <v>40</v>
      </c>
      <c r="E1074" t="s">
        <v>16</v>
      </c>
      <c r="F1074" t="s">
        <v>17</v>
      </c>
      <c r="G1074" t="s">
        <v>18</v>
      </c>
      <c r="H1074" t="s">
        <v>19</v>
      </c>
      <c r="I1074" t="s">
        <v>20</v>
      </c>
      <c r="J1074">
        <v>200</v>
      </c>
      <c r="S1074">
        <v>20</v>
      </c>
      <c r="T1074">
        <v>0</v>
      </c>
      <c r="U1074">
        <v>1</v>
      </c>
      <c r="V1074">
        <v>0</v>
      </c>
    </row>
    <row r="1075" spans="1:22">
      <c r="A1075" t="s">
        <v>1078</v>
      </c>
      <c r="B1075" s="3">
        <v>46189</v>
      </c>
      <c r="C1075" t="s">
        <v>14</v>
      </c>
      <c r="D1075" t="s">
        <v>42</v>
      </c>
      <c r="E1075" t="s">
        <v>16</v>
      </c>
      <c r="F1075" t="s">
        <v>17</v>
      </c>
      <c r="G1075" t="s">
        <v>18</v>
      </c>
      <c r="H1075" t="s">
        <v>19</v>
      </c>
      <c r="I1075" t="s">
        <v>20</v>
      </c>
      <c r="J1075">
        <v>200</v>
      </c>
      <c r="S1075">
        <v>20</v>
      </c>
      <c r="T1075">
        <v>0</v>
      </c>
      <c r="U1075">
        <v>1</v>
      </c>
      <c r="V1075">
        <v>0</v>
      </c>
    </row>
    <row r="1076" spans="1:22">
      <c r="A1076" t="s">
        <v>1079</v>
      </c>
      <c r="B1076" s="3">
        <v>46189</v>
      </c>
      <c r="C1076" t="s">
        <v>14</v>
      </c>
      <c r="D1076" t="s">
        <v>15</v>
      </c>
      <c r="E1076" t="s">
        <v>16</v>
      </c>
      <c r="F1076" t="s">
        <v>17</v>
      </c>
      <c r="G1076" t="s">
        <v>18</v>
      </c>
      <c r="H1076" t="s">
        <v>24</v>
      </c>
      <c r="I1076" t="s">
        <v>20</v>
      </c>
      <c r="J1076">
        <v>200</v>
      </c>
      <c r="S1076">
        <v>0</v>
      </c>
      <c r="T1076">
        <v>0</v>
      </c>
      <c r="U1076">
        <v>0</v>
      </c>
      <c r="V1076">
        <v>0</v>
      </c>
    </row>
    <row r="1077" spans="1:22">
      <c r="A1077" t="s">
        <v>1080</v>
      </c>
      <c r="B1077" s="3">
        <v>46189</v>
      </c>
      <c r="C1077" t="s">
        <v>14</v>
      </c>
      <c r="D1077" t="s">
        <v>15</v>
      </c>
      <c r="E1077" t="s">
        <v>16</v>
      </c>
      <c r="F1077" t="s">
        <v>17</v>
      </c>
      <c r="G1077" t="s">
        <v>23</v>
      </c>
      <c r="H1077" t="s">
        <v>19</v>
      </c>
      <c r="I1077" t="s">
        <v>20</v>
      </c>
      <c r="J1077">
        <v>90</v>
      </c>
      <c r="L1077" t="s">
        <v>29</v>
      </c>
      <c r="S1077">
        <v>7.2</v>
      </c>
      <c r="T1077">
        <v>0</v>
      </c>
      <c r="U1077">
        <v>1</v>
      </c>
      <c r="V1077">
        <v>0</v>
      </c>
    </row>
    <row r="1078" spans="1:22">
      <c r="A1078" t="s">
        <v>1081</v>
      </c>
      <c r="B1078" s="3">
        <v>46189</v>
      </c>
      <c r="C1078" t="s">
        <v>14</v>
      </c>
      <c r="D1078" t="s">
        <v>131</v>
      </c>
      <c r="E1078" t="s">
        <v>16</v>
      </c>
      <c r="F1078" t="s">
        <v>17</v>
      </c>
      <c r="G1078" t="s">
        <v>18</v>
      </c>
      <c r="H1078" t="s">
        <v>19</v>
      </c>
      <c r="I1078" t="s">
        <v>20</v>
      </c>
      <c r="J1078">
        <v>200</v>
      </c>
      <c r="S1078">
        <v>20</v>
      </c>
      <c r="T1078">
        <v>0</v>
      </c>
      <c r="U1078">
        <v>1</v>
      </c>
      <c r="V1078">
        <v>0</v>
      </c>
    </row>
    <row r="1079" spans="1:22">
      <c r="A1079" t="s">
        <v>1082</v>
      </c>
      <c r="B1079" s="3">
        <v>46189</v>
      </c>
      <c r="C1079" t="s">
        <v>14</v>
      </c>
      <c r="D1079" t="s">
        <v>40</v>
      </c>
      <c r="E1079" t="s">
        <v>16</v>
      </c>
      <c r="F1079" t="s">
        <v>17</v>
      </c>
      <c r="G1079" t="s">
        <v>23</v>
      </c>
      <c r="H1079" t="s">
        <v>19</v>
      </c>
      <c r="I1079" t="s">
        <v>20</v>
      </c>
      <c r="J1079">
        <v>120</v>
      </c>
      <c r="S1079">
        <v>9.6</v>
      </c>
      <c r="T1079">
        <v>0</v>
      </c>
      <c r="U1079">
        <v>1</v>
      </c>
      <c r="V1079">
        <v>0</v>
      </c>
    </row>
    <row r="1080" spans="1:22">
      <c r="A1080" t="s">
        <v>1083</v>
      </c>
      <c r="B1080" s="3">
        <v>46189</v>
      </c>
      <c r="C1080" t="s">
        <v>14</v>
      </c>
      <c r="D1080" t="s">
        <v>31</v>
      </c>
      <c r="E1080" t="s">
        <v>16</v>
      </c>
      <c r="F1080" t="s">
        <v>35</v>
      </c>
      <c r="G1080" t="s">
        <v>23</v>
      </c>
      <c r="H1080" t="s">
        <v>19</v>
      </c>
      <c r="I1080" t="s">
        <v>20</v>
      </c>
      <c r="J1080">
        <v>120</v>
      </c>
      <c r="S1080">
        <v>3.6</v>
      </c>
      <c r="T1080">
        <v>0</v>
      </c>
      <c r="U1080">
        <v>0</v>
      </c>
      <c r="V1080">
        <v>0</v>
      </c>
    </row>
    <row r="1081" spans="1:22">
      <c r="A1081" t="s">
        <v>1084</v>
      </c>
      <c r="B1081" s="3">
        <v>46189</v>
      </c>
      <c r="C1081" t="s">
        <v>14</v>
      </c>
      <c r="D1081" t="s">
        <v>31</v>
      </c>
      <c r="E1081" t="s">
        <v>16</v>
      </c>
      <c r="F1081" t="s">
        <v>17</v>
      </c>
      <c r="G1081" t="s">
        <v>23</v>
      </c>
      <c r="H1081" t="s">
        <v>19</v>
      </c>
      <c r="I1081" t="s">
        <v>20</v>
      </c>
      <c r="J1081">
        <v>120</v>
      </c>
      <c r="S1081">
        <v>9.6</v>
      </c>
      <c r="T1081">
        <v>0</v>
      </c>
      <c r="U1081">
        <v>1</v>
      </c>
      <c r="V1081">
        <v>0</v>
      </c>
    </row>
    <row r="1082" spans="1:22">
      <c r="A1082" t="s">
        <v>1085</v>
      </c>
      <c r="B1082" s="3">
        <v>46189</v>
      </c>
      <c r="C1082" t="s">
        <v>14</v>
      </c>
      <c r="D1082" t="s">
        <v>31</v>
      </c>
      <c r="E1082" t="s">
        <v>16</v>
      </c>
      <c r="F1082" t="s">
        <v>35</v>
      </c>
      <c r="G1082" t="s">
        <v>23</v>
      </c>
      <c r="H1082" t="s">
        <v>19</v>
      </c>
      <c r="I1082" t="s">
        <v>20</v>
      </c>
      <c r="J1082">
        <v>120</v>
      </c>
      <c r="S1082">
        <v>3.6</v>
      </c>
      <c r="T1082">
        <v>0</v>
      </c>
      <c r="U1082">
        <v>0</v>
      </c>
      <c r="V1082">
        <v>0</v>
      </c>
    </row>
    <row r="1083" spans="1:22">
      <c r="A1083" t="s">
        <v>1086</v>
      </c>
      <c r="B1083" s="3">
        <v>46189</v>
      </c>
      <c r="C1083" t="s">
        <v>14</v>
      </c>
      <c r="D1083" t="s">
        <v>137</v>
      </c>
      <c r="E1083" t="s">
        <v>16</v>
      </c>
      <c r="F1083" t="s">
        <v>17</v>
      </c>
      <c r="G1083" t="s">
        <v>23</v>
      </c>
      <c r="H1083" t="s">
        <v>19</v>
      </c>
      <c r="I1083" t="s">
        <v>20</v>
      </c>
      <c r="J1083">
        <v>120</v>
      </c>
      <c r="S1083">
        <v>9.6</v>
      </c>
      <c r="T1083">
        <v>0</v>
      </c>
      <c r="U1083">
        <v>1</v>
      </c>
      <c r="V1083">
        <v>0</v>
      </c>
    </row>
    <row r="1084" spans="1:22">
      <c r="A1084" t="s">
        <v>1087</v>
      </c>
      <c r="B1084" s="3">
        <v>46189</v>
      </c>
      <c r="C1084" t="s">
        <v>14</v>
      </c>
      <c r="D1084" t="s">
        <v>28</v>
      </c>
      <c r="E1084" t="s">
        <v>16</v>
      </c>
      <c r="F1084" t="s">
        <v>35</v>
      </c>
      <c r="G1084" t="s">
        <v>18</v>
      </c>
      <c r="H1084" t="s">
        <v>19</v>
      </c>
      <c r="I1084" t="s">
        <v>20</v>
      </c>
      <c r="J1084">
        <v>200</v>
      </c>
      <c r="S1084">
        <v>6</v>
      </c>
      <c r="T1084">
        <v>0</v>
      </c>
      <c r="U1084">
        <v>0</v>
      </c>
      <c r="V1084">
        <v>0</v>
      </c>
    </row>
    <row r="1085" spans="1:22">
      <c r="A1085" t="s">
        <v>1088</v>
      </c>
      <c r="B1085" s="3">
        <v>46189</v>
      </c>
      <c r="C1085" t="s">
        <v>14</v>
      </c>
      <c r="D1085" t="s">
        <v>131</v>
      </c>
      <c r="E1085" t="s">
        <v>16</v>
      </c>
      <c r="F1085" t="s">
        <v>17</v>
      </c>
      <c r="G1085" t="s">
        <v>18</v>
      </c>
      <c r="H1085" t="s">
        <v>19</v>
      </c>
      <c r="I1085" t="s">
        <v>20</v>
      </c>
      <c r="J1085">
        <v>150</v>
      </c>
      <c r="L1085" t="s">
        <v>29</v>
      </c>
      <c r="S1085">
        <v>15</v>
      </c>
      <c r="T1085">
        <v>0</v>
      </c>
      <c r="U1085">
        <v>1</v>
      </c>
      <c r="V1085">
        <v>0</v>
      </c>
    </row>
    <row r="1086" spans="1:22">
      <c r="A1086" t="s">
        <v>1089</v>
      </c>
      <c r="B1086" s="3">
        <v>46189</v>
      </c>
      <c r="C1086" t="s">
        <v>14</v>
      </c>
      <c r="D1086" t="s">
        <v>42</v>
      </c>
      <c r="E1086" t="s">
        <v>16</v>
      </c>
      <c r="F1086" t="s">
        <v>17</v>
      </c>
      <c r="G1086" t="s">
        <v>23</v>
      </c>
      <c r="H1086" t="s">
        <v>19</v>
      </c>
      <c r="I1086" t="s">
        <v>20</v>
      </c>
      <c r="J1086">
        <v>120</v>
      </c>
      <c r="S1086">
        <v>9.6</v>
      </c>
      <c r="T1086">
        <v>0</v>
      </c>
      <c r="U1086">
        <v>1</v>
      </c>
      <c r="V1086">
        <v>0</v>
      </c>
    </row>
    <row r="1087" spans="1:22">
      <c r="A1087" t="s">
        <v>1090</v>
      </c>
      <c r="B1087" s="3">
        <v>46189</v>
      </c>
      <c r="C1087" t="s">
        <v>47</v>
      </c>
      <c r="D1087" t="s">
        <v>50</v>
      </c>
      <c r="E1087" t="s">
        <v>16</v>
      </c>
      <c r="F1087" t="s">
        <v>17</v>
      </c>
      <c r="G1087" t="s">
        <v>23</v>
      </c>
      <c r="H1087" t="s">
        <v>19</v>
      </c>
      <c r="I1087" t="s">
        <v>20</v>
      </c>
      <c r="J1087">
        <v>120</v>
      </c>
      <c r="S1087">
        <v>9.6</v>
      </c>
      <c r="T1087">
        <v>0</v>
      </c>
      <c r="U1087">
        <v>1</v>
      </c>
      <c r="V1087">
        <v>0</v>
      </c>
    </row>
    <row r="1088" spans="1:22">
      <c r="A1088" t="s">
        <v>1091</v>
      </c>
      <c r="B1088" s="3">
        <v>46189</v>
      </c>
      <c r="C1088" t="s">
        <v>47</v>
      </c>
      <c r="D1088" t="s">
        <v>148</v>
      </c>
      <c r="E1088" t="s">
        <v>16</v>
      </c>
      <c r="F1088" t="s">
        <v>17</v>
      </c>
      <c r="G1088" t="s">
        <v>32</v>
      </c>
      <c r="H1088" t="s">
        <v>19</v>
      </c>
      <c r="I1088" t="s">
        <v>20</v>
      </c>
      <c r="J1088">
        <v>300</v>
      </c>
      <c r="S1088">
        <v>36</v>
      </c>
      <c r="T1088">
        <v>0</v>
      </c>
      <c r="U1088">
        <v>1</v>
      </c>
      <c r="V1088">
        <v>0</v>
      </c>
    </row>
    <row r="1089" spans="1:22">
      <c r="A1089" t="s">
        <v>1092</v>
      </c>
      <c r="B1089" s="3">
        <v>46189</v>
      </c>
      <c r="C1089" t="s">
        <v>47</v>
      </c>
      <c r="D1089" t="s">
        <v>55</v>
      </c>
      <c r="E1089" t="s">
        <v>16</v>
      </c>
      <c r="F1089" t="s">
        <v>35</v>
      </c>
      <c r="G1089" t="s">
        <v>32</v>
      </c>
      <c r="H1089" t="s">
        <v>19</v>
      </c>
      <c r="I1089" t="s">
        <v>20</v>
      </c>
      <c r="J1089">
        <v>300</v>
      </c>
      <c r="S1089">
        <v>9</v>
      </c>
      <c r="T1089">
        <v>0</v>
      </c>
      <c r="U1089">
        <v>0</v>
      </c>
      <c r="V1089">
        <v>0</v>
      </c>
    </row>
    <row r="1090" spans="1:22">
      <c r="A1090" t="s">
        <v>1093</v>
      </c>
      <c r="B1090" s="3">
        <v>46189</v>
      </c>
      <c r="C1090" t="s">
        <v>47</v>
      </c>
      <c r="D1090" t="s">
        <v>59</v>
      </c>
      <c r="E1090" t="s">
        <v>16</v>
      </c>
      <c r="F1090" t="s">
        <v>17</v>
      </c>
      <c r="G1090" t="s">
        <v>23</v>
      </c>
      <c r="H1090" t="s">
        <v>19</v>
      </c>
      <c r="I1090" t="s">
        <v>20</v>
      </c>
      <c r="J1090">
        <v>120</v>
      </c>
      <c r="S1090">
        <v>9.6</v>
      </c>
      <c r="T1090">
        <v>0</v>
      </c>
      <c r="U1090">
        <v>1</v>
      </c>
      <c r="V1090">
        <v>0</v>
      </c>
    </row>
    <row r="1091" spans="1:22">
      <c r="A1091" t="s">
        <v>1094</v>
      </c>
      <c r="B1091" s="3">
        <v>46189</v>
      </c>
      <c r="C1091" t="s">
        <v>47</v>
      </c>
      <c r="D1091" t="s">
        <v>55</v>
      </c>
      <c r="E1091" t="s">
        <v>16</v>
      </c>
      <c r="F1091" t="s">
        <v>17</v>
      </c>
      <c r="G1091" t="s">
        <v>23</v>
      </c>
      <c r="H1091" t="s">
        <v>19</v>
      </c>
      <c r="I1091" t="s">
        <v>20</v>
      </c>
      <c r="J1091">
        <v>120</v>
      </c>
      <c r="S1091">
        <v>9.6</v>
      </c>
      <c r="T1091">
        <v>0</v>
      </c>
      <c r="U1091">
        <v>1</v>
      </c>
      <c r="V1091">
        <v>0</v>
      </c>
    </row>
    <row r="1092" spans="1:22">
      <c r="A1092" t="s">
        <v>1095</v>
      </c>
      <c r="B1092" s="3">
        <v>46189</v>
      </c>
      <c r="C1092" t="s">
        <v>47</v>
      </c>
      <c r="D1092" t="s">
        <v>66</v>
      </c>
      <c r="E1092" t="s">
        <v>16</v>
      </c>
      <c r="F1092" t="s">
        <v>17</v>
      </c>
      <c r="G1092" t="s">
        <v>23</v>
      </c>
      <c r="H1092" t="s">
        <v>24</v>
      </c>
      <c r="I1092" t="s">
        <v>20</v>
      </c>
      <c r="J1092">
        <v>120</v>
      </c>
      <c r="S1092">
        <v>0</v>
      </c>
      <c r="T1092">
        <v>0</v>
      </c>
      <c r="U1092">
        <v>0</v>
      </c>
      <c r="V1092">
        <v>0</v>
      </c>
    </row>
    <row r="1093" spans="1:22">
      <c r="A1093" t="s">
        <v>1096</v>
      </c>
      <c r="B1093" s="3">
        <v>46189</v>
      </c>
      <c r="C1093" t="s">
        <v>47</v>
      </c>
      <c r="D1093" t="s">
        <v>152</v>
      </c>
      <c r="E1093" t="s">
        <v>16</v>
      </c>
      <c r="F1093" t="s">
        <v>17</v>
      </c>
      <c r="G1093" t="s">
        <v>18</v>
      </c>
      <c r="H1093" t="s">
        <v>19</v>
      </c>
      <c r="I1093" t="s">
        <v>20</v>
      </c>
      <c r="J1093">
        <v>200</v>
      </c>
      <c r="S1093">
        <v>20</v>
      </c>
      <c r="T1093">
        <v>0</v>
      </c>
      <c r="U1093">
        <v>1</v>
      </c>
      <c r="V1093">
        <v>0</v>
      </c>
    </row>
    <row r="1094" spans="1:22">
      <c r="A1094" t="s">
        <v>1097</v>
      </c>
      <c r="B1094" s="3">
        <v>46189</v>
      </c>
      <c r="C1094" t="s">
        <v>47</v>
      </c>
      <c r="D1094" t="s">
        <v>73</v>
      </c>
      <c r="E1094" t="s">
        <v>16</v>
      </c>
      <c r="F1094" t="s">
        <v>17</v>
      </c>
      <c r="G1094" t="s">
        <v>23</v>
      </c>
      <c r="H1094" t="s">
        <v>19</v>
      </c>
      <c r="I1094" t="s">
        <v>20</v>
      </c>
      <c r="J1094">
        <v>120</v>
      </c>
      <c r="S1094">
        <v>9.6</v>
      </c>
      <c r="T1094">
        <v>0</v>
      </c>
      <c r="U1094">
        <v>1</v>
      </c>
      <c r="V1094">
        <v>0</v>
      </c>
    </row>
    <row r="1095" spans="1:22">
      <c r="A1095" t="s">
        <v>1098</v>
      </c>
      <c r="B1095" s="3">
        <v>46189</v>
      </c>
      <c r="C1095" t="s">
        <v>47</v>
      </c>
      <c r="D1095" t="s">
        <v>73</v>
      </c>
      <c r="E1095" t="s">
        <v>16</v>
      </c>
      <c r="F1095" t="s">
        <v>17</v>
      </c>
      <c r="G1095" t="s">
        <v>18</v>
      </c>
      <c r="H1095" t="s">
        <v>24</v>
      </c>
      <c r="I1095" t="s">
        <v>20</v>
      </c>
      <c r="J1095">
        <v>200</v>
      </c>
      <c r="S1095">
        <v>0</v>
      </c>
      <c r="T1095">
        <v>0</v>
      </c>
      <c r="U1095">
        <v>0</v>
      </c>
      <c r="V1095">
        <v>0</v>
      </c>
    </row>
    <row r="1096" spans="1:22">
      <c r="A1096" t="s">
        <v>1099</v>
      </c>
      <c r="B1096" s="3">
        <v>46189</v>
      </c>
      <c r="C1096" t="s">
        <v>47</v>
      </c>
      <c r="D1096" t="s">
        <v>73</v>
      </c>
      <c r="E1096" t="s">
        <v>16</v>
      </c>
      <c r="F1096" t="s">
        <v>17</v>
      </c>
      <c r="G1096" t="s">
        <v>18</v>
      </c>
      <c r="H1096" t="s">
        <v>19</v>
      </c>
      <c r="I1096" t="s">
        <v>20</v>
      </c>
      <c r="J1096">
        <v>200</v>
      </c>
      <c r="S1096">
        <v>20</v>
      </c>
      <c r="T1096">
        <v>0</v>
      </c>
      <c r="U1096">
        <v>1</v>
      </c>
      <c r="V1096">
        <v>0</v>
      </c>
    </row>
    <row r="1097" spans="1:22">
      <c r="A1097" t="s">
        <v>1100</v>
      </c>
      <c r="B1097" s="3">
        <v>46189</v>
      </c>
      <c r="C1097" t="s">
        <v>47</v>
      </c>
      <c r="D1097" t="s">
        <v>59</v>
      </c>
      <c r="E1097" t="s">
        <v>16</v>
      </c>
      <c r="F1097" t="s">
        <v>35</v>
      </c>
      <c r="G1097" t="s">
        <v>32</v>
      </c>
      <c r="H1097" t="s">
        <v>19</v>
      </c>
      <c r="I1097" t="s">
        <v>20</v>
      </c>
      <c r="J1097">
        <v>300</v>
      </c>
      <c r="S1097">
        <v>9</v>
      </c>
      <c r="T1097">
        <v>0</v>
      </c>
      <c r="U1097">
        <v>0</v>
      </c>
      <c r="V1097">
        <v>0</v>
      </c>
    </row>
    <row r="1098" spans="1:22">
      <c r="A1098" t="s">
        <v>1101</v>
      </c>
      <c r="B1098" s="3">
        <v>46189</v>
      </c>
      <c r="C1098" t="s">
        <v>47</v>
      </c>
      <c r="D1098" t="s">
        <v>152</v>
      </c>
      <c r="E1098" t="s">
        <v>16</v>
      </c>
      <c r="F1098" t="s">
        <v>35</v>
      </c>
      <c r="G1098" t="s">
        <v>18</v>
      </c>
      <c r="H1098" t="s">
        <v>19</v>
      </c>
      <c r="I1098" t="s">
        <v>20</v>
      </c>
      <c r="J1098">
        <v>200</v>
      </c>
      <c r="S1098">
        <v>6</v>
      </c>
      <c r="T1098">
        <v>0</v>
      </c>
      <c r="U1098">
        <v>0</v>
      </c>
      <c r="V1098">
        <v>0</v>
      </c>
    </row>
    <row r="1099" spans="1:22">
      <c r="A1099" t="s">
        <v>1102</v>
      </c>
      <c r="B1099" s="3">
        <v>46189</v>
      </c>
      <c r="C1099" t="s">
        <v>47</v>
      </c>
      <c r="D1099" t="s">
        <v>55</v>
      </c>
      <c r="E1099" t="s">
        <v>16</v>
      </c>
      <c r="F1099" t="s">
        <v>17</v>
      </c>
      <c r="G1099" t="s">
        <v>18</v>
      </c>
      <c r="H1099" t="s">
        <v>19</v>
      </c>
      <c r="I1099" t="s">
        <v>20</v>
      </c>
      <c r="J1099">
        <v>150</v>
      </c>
      <c r="L1099" t="s">
        <v>29</v>
      </c>
      <c r="S1099">
        <v>15</v>
      </c>
      <c r="T1099">
        <v>0</v>
      </c>
      <c r="U1099">
        <v>1</v>
      </c>
      <c r="V1099">
        <v>0</v>
      </c>
    </row>
    <row r="1100" spans="1:22">
      <c r="A1100" t="s">
        <v>1103</v>
      </c>
      <c r="B1100" s="3">
        <v>46189</v>
      </c>
      <c r="C1100" t="s">
        <v>47</v>
      </c>
      <c r="D1100" t="s">
        <v>50</v>
      </c>
      <c r="E1100" t="s">
        <v>16</v>
      </c>
      <c r="F1100" t="s">
        <v>17</v>
      </c>
      <c r="G1100" t="s">
        <v>32</v>
      </c>
      <c r="H1100" t="s">
        <v>19</v>
      </c>
      <c r="I1100" t="s">
        <v>20</v>
      </c>
      <c r="J1100">
        <v>300</v>
      </c>
      <c r="S1100">
        <v>36</v>
      </c>
      <c r="T1100">
        <v>0</v>
      </c>
      <c r="U1100">
        <v>1</v>
      </c>
      <c r="V1100">
        <v>0</v>
      </c>
    </row>
    <row r="1101" spans="1:22">
      <c r="A1101" t="s">
        <v>1104</v>
      </c>
      <c r="B1101" s="3">
        <v>46189</v>
      </c>
      <c r="C1101" t="s">
        <v>47</v>
      </c>
      <c r="D1101" t="s">
        <v>59</v>
      </c>
      <c r="E1101" t="s">
        <v>16</v>
      </c>
      <c r="F1101" t="s">
        <v>17</v>
      </c>
      <c r="G1101" t="s">
        <v>32</v>
      </c>
      <c r="H1101" t="s">
        <v>19</v>
      </c>
      <c r="I1101" t="s">
        <v>20</v>
      </c>
      <c r="J1101">
        <v>300</v>
      </c>
      <c r="S1101">
        <v>36</v>
      </c>
      <c r="T1101">
        <v>0</v>
      </c>
      <c r="U1101">
        <v>1</v>
      </c>
      <c r="V1101">
        <v>0</v>
      </c>
    </row>
    <row r="1102" spans="1:22">
      <c r="A1102" t="s">
        <v>1105</v>
      </c>
      <c r="B1102" s="3">
        <v>46189</v>
      </c>
      <c r="C1102" t="s">
        <v>78</v>
      </c>
      <c r="D1102" t="s">
        <v>85</v>
      </c>
      <c r="E1102" t="s">
        <v>16</v>
      </c>
      <c r="F1102" t="s">
        <v>35</v>
      </c>
      <c r="G1102" t="s">
        <v>18</v>
      </c>
      <c r="H1102" t="s">
        <v>19</v>
      </c>
      <c r="I1102" t="s">
        <v>20</v>
      </c>
      <c r="J1102">
        <v>200</v>
      </c>
      <c r="S1102">
        <v>6</v>
      </c>
      <c r="T1102">
        <v>0</v>
      </c>
      <c r="U1102">
        <v>0</v>
      </c>
      <c r="V1102">
        <v>0</v>
      </c>
    </row>
    <row r="1103" spans="1:22">
      <c r="A1103" t="s">
        <v>1106</v>
      </c>
      <c r="B1103" s="3">
        <v>46189</v>
      </c>
      <c r="C1103" t="s">
        <v>78</v>
      </c>
      <c r="D1103" t="s">
        <v>93</v>
      </c>
      <c r="E1103" t="s">
        <v>16</v>
      </c>
      <c r="F1103" t="s">
        <v>35</v>
      </c>
      <c r="G1103" t="s">
        <v>23</v>
      </c>
      <c r="H1103" t="s">
        <v>19</v>
      </c>
      <c r="I1103" t="s">
        <v>20</v>
      </c>
      <c r="J1103">
        <v>120</v>
      </c>
      <c r="S1103">
        <v>3.6</v>
      </c>
      <c r="T1103">
        <v>0</v>
      </c>
      <c r="U1103">
        <v>0</v>
      </c>
      <c r="V1103">
        <v>0</v>
      </c>
    </row>
    <row r="1104" spans="1:22">
      <c r="A1104" t="s">
        <v>1107</v>
      </c>
      <c r="B1104" s="3">
        <v>46189</v>
      </c>
      <c r="C1104" t="s">
        <v>78</v>
      </c>
      <c r="D1104" t="s">
        <v>97</v>
      </c>
      <c r="E1104" t="s">
        <v>16</v>
      </c>
      <c r="F1104" t="s">
        <v>17</v>
      </c>
      <c r="G1104" t="s">
        <v>18</v>
      </c>
      <c r="H1104" t="s">
        <v>19</v>
      </c>
      <c r="I1104" t="s">
        <v>20</v>
      </c>
      <c r="J1104">
        <v>200</v>
      </c>
      <c r="S1104">
        <v>20</v>
      </c>
      <c r="T1104">
        <v>0</v>
      </c>
      <c r="U1104">
        <v>1</v>
      </c>
      <c r="V1104">
        <v>0</v>
      </c>
    </row>
    <row r="1105" spans="1:22">
      <c r="A1105" t="s">
        <v>1108</v>
      </c>
      <c r="B1105" s="3">
        <v>46189</v>
      </c>
      <c r="C1105" t="s">
        <v>78</v>
      </c>
      <c r="D1105" t="s">
        <v>79</v>
      </c>
      <c r="E1105" t="s">
        <v>16</v>
      </c>
      <c r="F1105" t="s">
        <v>17</v>
      </c>
      <c r="G1105" t="s">
        <v>18</v>
      </c>
      <c r="H1105" t="s">
        <v>19</v>
      </c>
      <c r="I1105" t="s">
        <v>20</v>
      </c>
      <c r="J1105">
        <v>200</v>
      </c>
      <c r="S1105">
        <v>20</v>
      </c>
      <c r="T1105">
        <v>0</v>
      </c>
      <c r="U1105">
        <v>1</v>
      </c>
      <c r="V1105">
        <v>0</v>
      </c>
    </row>
    <row r="1106" spans="1:22">
      <c r="A1106" t="s">
        <v>1109</v>
      </c>
      <c r="B1106" s="3">
        <v>46189</v>
      </c>
      <c r="C1106" t="s">
        <v>78</v>
      </c>
      <c r="D1106" t="s">
        <v>97</v>
      </c>
      <c r="E1106" t="s">
        <v>16</v>
      </c>
      <c r="F1106" t="s">
        <v>17</v>
      </c>
      <c r="G1106" t="s">
        <v>23</v>
      </c>
      <c r="H1106" t="s">
        <v>24</v>
      </c>
      <c r="I1106" t="s">
        <v>20</v>
      </c>
      <c r="J1106">
        <v>120</v>
      </c>
      <c r="S1106">
        <v>0</v>
      </c>
      <c r="T1106">
        <v>0</v>
      </c>
      <c r="U1106">
        <v>0</v>
      </c>
      <c r="V1106">
        <v>0</v>
      </c>
    </row>
    <row r="1107" spans="1:22">
      <c r="A1107" t="s">
        <v>1110</v>
      </c>
      <c r="B1107" s="3">
        <v>46189</v>
      </c>
      <c r="C1107" t="s">
        <v>78</v>
      </c>
      <c r="D1107" t="s">
        <v>85</v>
      </c>
      <c r="E1107" t="s">
        <v>16</v>
      </c>
      <c r="F1107" t="s">
        <v>35</v>
      </c>
      <c r="G1107" t="s">
        <v>18</v>
      </c>
      <c r="H1107" t="s">
        <v>19</v>
      </c>
      <c r="I1107" t="s">
        <v>20</v>
      </c>
      <c r="J1107">
        <v>200</v>
      </c>
      <c r="S1107">
        <v>6</v>
      </c>
      <c r="T1107">
        <v>0</v>
      </c>
      <c r="U1107">
        <v>0</v>
      </c>
      <c r="V1107">
        <v>0</v>
      </c>
    </row>
    <row r="1108" spans="1:22">
      <c r="A1108" t="s">
        <v>1111</v>
      </c>
      <c r="B1108" s="3">
        <v>46189</v>
      </c>
      <c r="C1108" t="s">
        <v>78</v>
      </c>
      <c r="D1108" t="s">
        <v>97</v>
      </c>
      <c r="E1108" t="s">
        <v>16</v>
      </c>
      <c r="F1108" t="s">
        <v>17</v>
      </c>
      <c r="G1108" t="s">
        <v>32</v>
      </c>
      <c r="H1108" t="s">
        <v>19</v>
      </c>
      <c r="I1108" t="s">
        <v>20</v>
      </c>
      <c r="J1108">
        <v>300</v>
      </c>
      <c r="S1108">
        <v>36</v>
      </c>
      <c r="T1108">
        <v>0</v>
      </c>
      <c r="U1108">
        <v>1</v>
      </c>
      <c r="V1108">
        <v>0</v>
      </c>
    </row>
    <row r="1109" spans="1:22">
      <c r="A1109" t="s">
        <v>1112</v>
      </c>
      <c r="B1109" s="3">
        <v>46189</v>
      </c>
      <c r="C1109" t="s">
        <v>78</v>
      </c>
      <c r="D1109" t="s">
        <v>81</v>
      </c>
      <c r="E1109" t="s">
        <v>16</v>
      </c>
      <c r="F1109" t="s">
        <v>35</v>
      </c>
      <c r="G1109" t="s">
        <v>32</v>
      </c>
      <c r="H1109" t="s">
        <v>19</v>
      </c>
      <c r="I1109" t="s">
        <v>20</v>
      </c>
      <c r="J1109">
        <v>300</v>
      </c>
      <c r="S1109">
        <v>9</v>
      </c>
      <c r="T1109">
        <v>0</v>
      </c>
      <c r="U1109">
        <v>0</v>
      </c>
      <c r="V1109">
        <v>0</v>
      </c>
    </row>
    <row r="1110" spans="1:22">
      <c r="A1110" t="s">
        <v>1113</v>
      </c>
      <c r="B1110" s="3">
        <v>46189</v>
      </c>
      <c r="C1110" t="s">
        <v>78</v>
      </c>
      <c r="D1110" t="s">
        <v>83</v>
      </c>
      <c r="E1110" t="s">
        <v>16</v>
      </c>
      <c r="F1110" t="s">
        <v>17</v>
      </c>
      <c r="G1110" t="s">
        <v>18</v>
      </c>
      <c r="H1110" t="s">
        <v>19</v>
      </c>
      <c r="I1110" t="s">
        <v>20</v>
      </c>
      <c r="J1110">
        <v>200</v>
      </c>
      <c r="S1110">
        <v>20</v>
      </c>
      <c r="T1110">
        <v>0</v>
      </c>
      <c r="U1110">
        <v>1</v>
      </c>
      <c r="V1110">
        <v>0</v>
      </c>
    </row>
    <row r="1111" spans="1:22">
      <c r="A1111" t="s">
        <v>1114</v>
      </c>
      <c r="B1111" s="3">
        <v>46189</v>
      </c>
      <c r="C1111" t="s">
        <v>78</v>
      </c>
      <c r="D1111" t="s">
        <v>102</v>
      </c>
      <c r="E1111" t="s">
        <v>16</v>
      </c>
      <c r="F1111" t="s">
        <v>17</v>
      </c>
      <c r="G1111" t="s">
        <v>23</v>
      </c>
      <c r="H1111" t="s">
        <v>19</v>
      </c>
      <c r="I1111" t="s">
        <v>20</v>
      </c>
      <c r="J1111">
        <v>120</v>
      </c>
      <c r="S1111">
        <v>9.6</v>
      </c>
      <c r="T1111">
        <v>0</v>
      </c>
      <c r="U1111">
        <v>1</v>
      </c>
      <c r="V1111">
        <v>0</v>
      </c>
    </row>
    <row r="1112" spans="1:22">
      <c r="A1112" t="s">
        <v>1115</v>
      </c>
      <c r="B1112" s="3">
        <v>46189</v>
      </c>
      <c r="C1112" t="s">
        <v>78</v>
      </c>
      <c r="D1112" t="s">
        <v>85</v>
      </c>
      <c r="E1112" t="s">
        <v>16</v>
      </c>
      <c r="F1112" t="s">
        <v>35</v>
      </c>
      <c r="G1112" t="s">
        <v>23</v>
      </c>
      <c r="H1112" t="s">
        <v>19</v>
      </c>
      <c r="I1112" t="s">
        <v>20</v>
      </c>
      <c r="J1112">
        <v>120</v>
      </c>
      <c r="S1112">
        <v>3.6</v>
      </c>
      <c r="T1112">
        <v>0</v>
      </c>
      <c r="U1112">
        <v>0</v>
      </c>
      <c r="V1112">
        <v>0</v>
      </c>
    </row>
    <row r="1113" spans="1:22">
      <c r="A1113" t="s">
        <v>1116</v>
      </c>
      <c r="B1113" s="3">
        <v>46189</v>
      </c>
      <c r="C1113" t="s">
        <v>78</v>
      </c>
      <c r="D1113" t="s">
        <v>89</v>
      </c>
      <c r="E1113" t="s">
        <v>16</v>
      </c>
      <c r="F1113" t="s">
        <v>17</v>
      </c>
      <c r="G1113" t="s">
        <v>18</v>
      </c>
      <c r="H1113" t="s">
        <v>19</v>
      </c>
      <c r="I1113" t="s">
        <v>20</v>
      </c>
      <c r="J1113">
        <v>200</v>
      </c>
      <c r="S1113">
        <v>20</v>
      </c>
      <c r="T1113">
        <v>0</v>
      </c>
      <c r="U1113">
        <v>1</v>
      </c>
      <c r="V1113">
        <v>0</v>
      </c>
    </row>
    <row r="1114" spans="1:22">
      <c r="A1114" t="s">
        <v>1117</v>
      </c>
      <c r="B1114" s="3">
        <v>46189</v>
      </c>
      <c r="C1114" t="s">
        <v>78</v>
      </c>
      <c r="D1114" t="s">
        <v>93</v>
      </c>
      <c r="E1114" t="s">
        <v>16</v>
      </c>
      <c r="F1114" t="s">
        <v>17</v>
      </c>
      <c r="G1114" t="s">
        <v>23</v>
      </c>
      <c r="H1114" t="s">
        <v>19</v>
      </c>
      <c r="I1114" t="s">
        <v>20</v>
      </c>
      <c r="J1114">
        <v>120</v>
      </c>
      <c r="S1114">
        <v>9.6</v>
      </c>
      <c r="T1114">
        <v>0</v>
      </c>
      <c r="U1114">
        <v>1</v>
      </c>
      <c r="V1114">
        <v>0</v>
      </c>
    </row>
    <row r="1115" spans="1:22">
      <c r="A1115" t="s">
        <v>1118</v>
      </c>
      <c r="B1115" s="3">
        <v>46189</v>
      </c>
      <c r="C1115" t="s">
        <v>78</v>
      </c>
      <c r="D1115" t="s">
        <v>102</v>
      </c>
      <c r="E1115" t="s">
        <v>16</v>
      </c>
      <c r="F1115" t="s">
        <v>17</v>
      </c>
      <c r="G1115" t="s">
        <v>18</v>
      </c>
      <c r="H1115" t="s">
        <v>19</v>
      </c>
      <c r="I1115" t="s">
        <v>20</v>
      </c>
      <c r="J1115">
        <v>200</v>
      </c>
      <c r="S1115">
        <v>20</v>
      </c>
      <c r="T1115">
        <v>0</v>
      </c>
      <c r="U1115">
        <v>1</v>
      </c>
      <c r="V1115">
        <v>0</v>
      </c>
    </row>
    <row r="1116" spans="1:22">
      <c r="A1116" t="s">
        <v>1119</v>
      </c>
      <c r="B1116" s="3">
        <v>46189</v>
      </c>
      <c r="C1116" t="s">
        <v>78</v>
      </c>
      <c r="D1116" t="s">
        <v>102</v>
      </c>
      <c r="E1116" t="s">
        <v>16</v>
      </c>
      <c r="F1116" t="s">
        <v>17</v>
      </c>
      <c r="G1116" t="s">
        <v>32</v>
      </c>
      <c r="H1116" t="s">
        <v>19</v>
      </c>
      <c r="I1116" t="s">
        <v>20</v>
      </c>
      <c r="J1116">
        <v>255</v>
      </c>
      <c r="L1116" t="s">
        <v>29</v>
      </c>
      <c r="S1116">
        <v>30.6</v>
      </c>
      <c r="T1116">
        <v>0</v>
      </c>
      <c r="U1116">
        <v>1</v>
      </c>
      <c r="V1116">
        <v>0</v>
      </c>
    </row>
    <row r="1117" spans="1:22">
      <c r="A1117" t="s">
        <v>1120</v>
      </c>
      <c r="B1117" s="3">
        <v>46189</v>
      </c>
      <c r="C1117" t="s">
        <v>78</v>
      </c>
      <c r="D1117" t="s">
        <v>93</v>
      </c>
      <c r="E1117" t="s">
        <v>16</v>
      </c>
      <c r="F1117" t="s">
        <v>17</v>
      </c>
      <c r="G1117" t="s">
        <v>23</v>
      </c>
      <c r="H1117" t="s">
        <v>19</v>
      </c>
      <c r="I1117" t="s">
        <v>53</v>
      </c>
      <c r="J1117">
        <v>120</v>
      </c>
      <c r="S1117">
        <v>0</v>
      </c>
      <c r="T1117">
        <v>0</v>
      </c>
      <c r="U1117">
        <v>0</v>
      </c>
      <c r="V1117">
        <v>0</v>
      </c>
    </row>
    <row r="1118" spans="1:22">
      <c r="A1118" t="s">
        <v>1121</v>
      </c>
      <c r="B1118" s="3">
        <v>46189</v>
      </c>
      <c r="C1118" t="s">
        <v>78</v>
      </c>
      <c r="D1118" t="s">
        <v>97</v>
      </c>
      <c r="E1118" t="s">
        <v>16</v>
      </c>
      <c r="F1118" t="s">
        <v>17</v>
      </c>
      <c r="G1118" t="s">
        <v>18</v>
      </c>
      <c r="H1118" t="s">
        <v>24</v>
      </c>
      <c r="I1118" t="s">
        <v>20</v>
      </c>
      <c r="J1118">
        <v>200</v>
      </c>
      <c r="S1118">
        <v>0</v>
      </c>
      <c r="T1118">
        <v>0</v>
      </c>
      <c r="U1118">
        <v>0</v>
      </c>
      <c r="V1118">
        <v>0</v>
      </c>
    </row>
    <row r="1119" spans="1:22">
      <c r="A1119" t="s">
        <v>1122</v>
      </c>
      <c r="B1119" s="3">
        <v>46189</v>
      </c>
      <c r="C1119" t="s">
        <v>78</v>
      </c>
      <c r="D1119" t="s">
        <v>93</v>
      </c>
      <c r="E1119" t="s">
        <v>16</v>
      </c>
      <c r="F1119" t="s">
        <v>17</v>
      </c>
      <c r="G1119" t="s">
        <v>32</v>
      </c>
      <c r="H1119" t="s">
        <v>19</v>
      </c>
      <c r="I1119" t="s">
        <v>20</v>
      </c>
      <c r="J1119">
        <v>300</v>
      </c>
      <c r="S1119">
        <v>36</v>
      </c>
      <c r="T1119">
        <v>0</v>
      </c>
      <c r="U1119">
        <v>1</v>
      </c>
      <c r="V1119">
        <v>0</v>
      </c>
    </row>
    <row r="1120" spans="1:22">
      <c r="A1120" t="s">
        <v>1123</v>
      </c>
      <c r="B1120" s="3">
        <v>46189</v>
      </c>
      <c r="C1120" t="s">
        <v>105</v>
      </c>
      <c r="D1120" t="s">
        <v>112</v>
      </c>
      <c r="E1120" t="s">
        <v>16</v>
      </c>
      <c r="F1120" t="s">
        <v>17</v>
      </c>
      <c r="G1120" t="s">
        <v>32</v>
      </c>
      <c r="H1120" t="s">
        <v>19</v>
      </c>
      <c r="I1120" t="s">
        <v>20</v>
      </c>
      <c r="J1120">
        <v>300</v>
      </c>
      <c r="S1120">
        <v>36</v>
      </c>
      <c r="T1120">
        <v>0</v>
      </c>
      <c r="U1120">
        <v>1</v>
      </c>
      <c r="V1120">
        <v>0</v>
      </c>
    </row>
    <row r="1121" spans="1:22">
      <c r="A1121" t="s">
        <v>1124</v>
      </c>
      <c r="B1121" s="3">
        <v>46189</v>
      </c>
      <c r="C1121" t="s">
        <v>105</v>
      </c>
      <c r="D1121" t="s">
        <v>182</v>
      </c>
      <c r="E1121" t="s">
        <v>16</v>
      </c>
      <c r="F1121" t="s">
        <v>17</v>
      </c>
      <c r="G1121" t="s">
        <v>23</v>
      </c>
      <c r="H1121" t="s">
        <v>24</v>
      </c>
      <c r="I1121" t="s">
        <v>20</v>
      </c>
      <c r="J1121">
        <v>90</v>
      </c>
      <c r="L1121" t="s">
        <v>29</v>
      </c>
      <c r="S1121">
        <v>0</v>
      </c>
      <c r="T1121">
        <v>0</v>
      </c>
      <c r="U1121">
        <v>0</v>
      </c>
      <c r="V1121">
        <v>0</v>
      </c>
    </row>
    <row r="1122" spans="1:22">
      <c r="A1122" t="s">
        <v>1125</v>
      </c>
      <c r="B1122" s="3">
        <v>46189</v>
      </c>
      <c r="C1122" t="s">
        <v>105</v>
      </c>
      <c r="D1122" t="s">
        <v>106</v>
      </c>
      <c r="E1122" t="s">
        <v>16</v>
      </c>
      <c r="F1122" t="s">
        <v>35</v>
      </c>
      <c r="G1122" t="s">
        <v>23</v>
      </c>
      <c r="H1122" t="s">
        <v>19</v>
      </c>
      <c r="I1122" t="s">
        <v>20</v>
      </c>
      <c r="J1122">
        <v>120</v>
      </c>
      <c r="S1122">
        <v>3.6</v>
      </c>
      <c r="T1122">
        <v>0</v>
      </c>
      <c r="U1122">
        <v>0</v>
      </c>
      <c r="V1122">
        <v>0</v>
      </c>
    </row>
    <row r="1123" spans="1:22">
      <c r="A1123" t="s">
        <v>1126</v>
      </c>
      <c r="B1123" s="3">
        <v>46189</v>
      </c>
      <c r="C1123" t="s">
        <v>105</v>
      </c>
      <c r="D1123" t="s">
        <v>112</v>
      </c>
      <c r="E1123" t="s">
        <v>16</v>
      </c>
      <c r="F1123" t="s">
        <v>17</v>
      </c>
      <c r="G1123" t="s">
        <v>23</v>
      </c>
      <c r="H1123" t="s">
        <v>19</v>
      </c>
      <c r="I1123" t="s">
        <v>20</v>
      </c>
      <c r="J1123">
        <v>120</v>
      </c>
      <c r="S1123">
        <v>9.6</v>
      </c>
      <c r="T1123">
        <v>0</v>
      </c>
      <c r="U1123">
        <v>1</v>
      </c>
      <c r="V1123">
        <v>0</v>
      </c>
    </row>
    <row r="1124" spans="1:22">
      <c r="A1124" t="s">
        <v>1127</v>
      </c>
      <c r="B1124" s="3">
        <v>46189</v>
      </c>
      <c r="C1124" t="s">
        <v>105</v>
      </c>
      <c r="D1124" t="s">
        <v>187</v>
      </c>
      <c r="E1124" t="s">
        <v>16</v>
      </c>
      <c r="F1124" t="s">
        <v>35</v>
      </c>
      <c r="G1124" t="s">
        <v>32</v>
      </c>
      <c r="H1124" t="s">
        <v>19</v>
      </c>
      <c r="I1124" t="s">
        <v>20</v>
      </c>
      <c r="J1124">
        <v>300</v>
      </c>
      <c r="S1124">
        <v>9</v>
      </c>
      <c r="T1124">
        <v>0</v>
      </c>
      <c r="U1124">
        <v>0</v>
      </c>
      <c r="V1124">
        <v>0</v>
      </c>
    </row>
    <row r="1125" spans="1:22">
      <c r="A1125" t="s">
        <v>1128</v>
      </c>
      <c r="B1125" s="3">
        <v>46189</v>
      </c>
      <c r="C1125" t="s">
        <v>105</v>
      </c>
      <c r="D1125" t="s">
        <v>182</v>
      </c>
      <c r="E1125" t="s">
        <v>16</v>
      </c>
      <c r="F1125" t="s">
        <v>17</v>
      </c>
      <c r="G1125" t="s">
        <v>23</v>
      </c>
      <c r="H1125" t="s">
        <v>19</v>
      </c>
      <c r="I1125" t="s">
        <v>20</v>
      </c>
      <c r="J1125">
        <v>120</v>
      </c>
      <c r="S1125">
        <v>9.6</v>
      </c>
      <c r="T1125">
        <v>0</v>
      </c>
      <c r="U1125">
        <v>1</v>
      </c>
      <c r="V1125">
        <v>0</v>
      </c>
    </row>
    <row r="1126" spans="1:22">
      <c r="A1126" t="s">
        <v>1129</v>
      </c>
      <c r="B1126" s="3">
        <v>46189</v>
      </c>
      <c r="C1126" t="s">
        <v>105</v>
      </c>
      <c r="D1126" t="s">
        <v>108</v>
      </c>
      <c r="E1126" t="s">
        <v>16</v>
      </c>
      <c r="F1126" t="s">
        <v>17</v>
      </c>
      <c r="G1126" t="s">
        <v>23</v>
      </c>
      <c r="H1126" t="s">
        <v>19</v>
      </c>
      <c r="I1126" t="s">
        <v>20</v>
      </c>
      <c r="J1126">
        <v>120</v>
      </c>
      <c r="S1126">
        <v>9.6</v>
      </c>
      <c r="T1126">
        <v>0</v>
      </c>
      <c r="U1126">
        <v>1</v>
      </c>
      <c r="V1126">
        <v>0</v>
      </c>
    </row>
    <row r="1127" spans="1:22">
      <c r="A1127" t="s">
        <v>1130</v>
      </c>
      <c r="B1127" s="3">
        <v>46189</v>
      </c>
      <c r="C1127" t="s">
        <v>105</v>
      </c>
      <c r="D1127" t="s">
        <v>108</v>
      </c>
      <c r="E1127" t="s">
        <v>16</v>
      </c>
      <c r="F1127" t="s">
        <v>35</v>
      </c>
      <c r="G1127" t="s">
        <v>23</v>
      </c>
      <c r="H1127" t="s">
        <v>19</v>
      </c>
      <c r="I1127" t="s">
        <v>20</v>
      </c>
      <c r="J1127">
        <v>120</v>
      </c>
      <c r="S1127">
        <v>3.6</v>
      </c>
      <c r="T1127">
        <v>0</v>
      </c>
      <c r="U1127">
        <v>0</v>
      </c>
      <c r="V1127">
        <v>0</v>
      </c>
    </row>
    <row r="1128" spans="1:22">
      <c r="A1128" t="s">
        <v>1131</v>
      </c>
      <c r="B1128" s="3">
        <v>46189</v>
      </c>
      <c r="C1128" t="s">
        <v>105</v>
      </c>
      <c r="D1128" t="s">
        <v>187</v>
      </c>
      <c r="E1128" t="s">
        <v>16</v>
      </c>
      <c r="F1128" t="s">
        <v>35</v>
      </c>
      <c r="G1128" t="s">
        <v>23</v>
      </c>
      <c r="H1128" t="s">
        <v>19</v>
      </c>
      <c r="I1128" t="s">
        <v>20</v>
      </c>
      <c r="J1128">
        <v>120</v>
      </c>
      <c r="S1128">
        <v>3.6</v>
      </c>
      <c r="T1128">
        <v>0</v>
      </c>
      <c r="U1128">
        <v>0</v>
      </c>
      <c r="V1128">
        <v>0</v>
      </c>
    </row>
    <row r="1129" spans="1:22">
      <c r="A1129" t="s">
        <v>1132</v>
      </c>
      <c r="B1129" s="3">
        <v>46189</v>
      </c>
      <c r="C1129" t="s">
        <v>105</v>
      </c>
      <c r="D1129" t="s">
        <v>118</v>
      </c>
      <c r="E1129" t="s">
        <v>16</v>
      </c>
      <c r="F1129" t="s">
        <v>17</v>
      </c>
      <c r="G1129" t="s">
        <v>23</v>
      </c>
      <c r="H1129" t="s">
        <v>19</v>
      </c>
      <c r="I1129" t="s">
        <v>20</v>
      </c>
      <c r="J1129">
        <v>120</v>
      </c>
      <c r="S1129">
        <v>9.6</v>
      </c>
      <c r="T1129">
        <v>0</v>
      </c>
      <c r="U1129">
        <v>1</v>
      </c>
      <c r="V1129">
        <v>0</v>
      </c>
    </row>
    <row r="1130" spans="1:22">
      <c r="A1130" t="s">
        <v>1133</v>
      </c>
      <c r="B1130" s="3">
        <v>46189</v>
      </c>
      <c r="C1130" t="s">
        <v>105</v>
      </c>
      <c r="D1130" t="s">
        <v>110</v>
      </c>
      <c r="E1130" t="s">
        <v>16</v>
      </c>
      <c r="F1130" t="s">
        <v>17</v>
      </c>
      <c r="G1130" t="s">
        <v>32</v>
      </c>
      <c r="H1130" t="s">
        <v>19</v>
      </c>
      <c r="I1130" t="s">
        <v>20</v>
      </c>
      <c r="J1130">
        <v>300</v>
      </c>
      <c r="S1130">
        <v>36</v>
      </c>
      <c r="T1130">
        <v>0</v>
      </c>
      <c r="U1130">
        <v>1</v>
      </c>
      <c r="V1130">
        <v>0</v>
      </c>
    </row>
    <row r="1131" spans="1:22">
      <c r="A1131" t="s">
        <v>1134</v>
      </c>
      <c r="B1131" s="3">
        <v>46189</v>
      </c>
      <c r="C1131" t="s">
        <v>105</v>
      </c>
      <c r="D1131" t="s">
        <v>191</v>
      </c>
      <c r="E1131" t="s">
        <v>16</v>
      </c>
      <c r="F1131" t="s">
        <v>17</v>
      </c>
      <c r="G1131" t="s">
        <v>18</v>
      </c>
      <c r="H1131" t="s">
        <v>24</v>
      </c>
      <c r="I1131" t="s">
        <v>20</v>
      </c>
      <c r="J1131">
        <v>200</v>
      </c>
      <c r="S1131">
        <v>0</v>
      </c>
      <c r="T1131">
        <v>0</v>
      </c>
      <c r="U1131">
        <v>0</v>
      </c>
      <c r="V1131">
        <v>0</v>
      </c>
    </row>
    <row r="1132" spans="1:22">
      <c r="A1132" t="s">
        <v>1135</v>
      </c>
      <c r="B1132" s="3">
        <v>46189</v>
      </c>
      <c r="C1132" t="s">
        <v>105</v>
      </c>
      <c r="D1132" t="s">
        <v>194</v>
      </c>
      <c r="E1132" t="s">
        <v>16</v>
      </c>
      <c r="F1132" t="s">
        <v>17</v>
      </c>
      <c r="G1132" t="s">
        <v>23</v>
      </c>
      <c r="H1132" t="s">
        <v>19</v>
      </c>
      <c r="I1132" t="s">
        <v>20</v>
      </c>
      <c r="J1132">
        <v>120</v>
      </c>
      <c r="S1132">
        <v>9.6</v>
      </c>
      <c r="T1132">
        <v>0</v>
      </c>
      <c r="U1132">
        <v>1</v>
      </c>
      <c r="V1132">
        <v>0</v>
      </c>
    </row>
    <row r="1133" spans="1:22">
      <c r="A1133" t="s">
        <v>1136</v>
      </c>
      <c r="B1133" s="3">
        <v>46189</v>
      </c>
      <c r="C1133" t="s">
        <v>105</v>
      </c>
      <c r="D1133" t="s">
        <v>187</v>
      </c>
      <c r="E1133" t="s">
        <v>16</v>
      </c>
      <c r="F1133" t="s">
        <v>17</v>
      </c>
      <c r="G1133" t="s">
        <v>32</v>
      </c>
      <c r="H1133" t="s">
        <v>19</v>
      </c>
      <c r="I1133" t="s">
        <v>20</v>
      </c>
      <c r="J1133">
        <v>300</v>
      </c>
      <c r="S1133">
        <v>36</v>
      </c>
      <c r="T1133">
        <v>0</v>
      </c>
      <c r="U1133">
        <v>1</v>
      </c>
      <c r="V1133">
        <v>0</v>
      </c>
    </row>
    <row r="1134" spans="1:22">
      <c r="A1134" t="s">
        <v>1137</v>
      </c>
      <c r="B1134" s="3">
        <v>46189</v>
      </c>
      <c r="C1134" t="s">
        <v>105</v>
      </c>
      <c r="D1134" t="s">
        <v>108</v>
      </c>
      <c r="E1134" t="s">
        <v>16</v>
      </c>
      <c r="F1134" t="s">
        <v>17</v>
      </c>
      <c r="G1134" t="s">
        <v>18</v>
      </c>
      <c r="H1134" t="s">
        <v>19</v>
      </c>
      <c r="I1134" t="s">
        <v>20</v>
      </c>
      <c r="J1134">
        <v>200</v>
      </c>
      <c r="S1134">
        <v>20</v>
      </c>
      <c r="T1134">
        <v>0</v>
      </c>
      <c r="U1134">
        <v>1</v>
      </c>
      <c r="V1134">
        <v>0</v>
      </c>
    </row>
    <row r="1135" spans="1:22">
      <c r="A1135" t="s">
        <v>1138</v>
      </c>
      <c r="B1135" s="3">
        <v>46189</v>
      </c>
      <c r="C1135" t="s">
        <v>105</v>
      </c>
      <c r="D1135" t="s">
        <v>116</v>
      </c>
      <c r="E1135" t="s">
        <v>16</v>
      </c>
      <c r="F1135" t="s">
        <v>17</v>
      </c>
      <c r="G1135" t="s">
        <v>23</v>
      </c>
      <c r="H1135" t="s">
        <v>19</v>
      </c>
      <c r="I1135" t="s">
        <v>20</v>
      </c>
      <c r="J1135">
        <v>120</v>
      </c>
      <c r="S1135">
        <v>9.6</v>
      </c>
      <c r="T1135">
        <v>0</v>
      </c>
      <c r="U1135">
        <v>1</v>
      </c>
      <c r="V1135">
        <v>0</v>
      </c>
    </row>
    <row r="1136" spans="1:22">
      <c r="A1136" t="s">
        <v>1139</v>
      </c>
      <c r="B1136" s="3">
        <v>46189</v>
      </c>
      <c r="C1136" t="s">
        <v>105</v>
      </c>
      <c r="D1136" t="s">
        <v>108</v>
      </c>
      <c r="E1136" t="s">
        <v>16</v>
      </c>
      <c r="F1136" t="s">
        <v>17</v>
      </c>
      <c r="G1136" t="s">
        <v>32</v>
      </c>
      <c r="H1136" t="s">
        <v>19</v>
      </c>
      <c r="I1136" t="s">
        <v>20</v>
      </c>
      <c r="J1136">
        <v>225</v>
      </c>
      <c r="L1136" t="s">
        <v>29</v>
      </c>
      <c r="S1136">
        <v>27</v>
      </c>
      <c r="T1136">
        <v>0</v>
      </c>
      <c r="U1136">
        <v>1</v>
      </c>
      <c r="V1136">
        <v>0</v>
      </c>
    </row>
    <row r="1137" spans="1:22">
      <c r="A1137" t="s">
        <v>1140</v>
      </c>
      <c r="B1137" s="3">
        <v>46189</v>
      </c>
      <c r="C1137" t="s">
        <v>105</v>
      </c>
      <c r="D1137" t="s">
        <v>110</v>
      </c>
      <c r="E1137" t="s">
        <v>16</v>
      </c>
      <c r="F1137" t="s">
        <v>17</v>
      </c>
      <c r="G1137" t="s">
        <v>32</v>
      </c>
      <c r="H1137" t="s">
        <v>19</v>
      </c>
      <c r="I1137" t="s">
        <v>20</v>
      </c>
      <c r="J1137">
        <v>300</v>
      </c>
      <c r="S1137">
        <v>36</v>
      </c>
      <c r="T1137">
        <v>0</v>
      </c>
      <c r="U1137">
        <v>1</v>
      </c>
      <c r="V1137">
        <v>0</v>
      </c>
    </row>
    <row r="1138" spans="1:22">
      <c r="A1138" t="s">
        <v>1141</v>
      </c>
      <c r="B1138" s="3">
        <v>46189</v>
      </c>
      <c r="C1138" t="s">
        <v>105</v>
      </c>
      <c r="D1138" t="s">
        <v>120</v>
      </c>
      <c r="E1138" t="s">
        <v>16</v>
      </c>
      <c r="F1138" t="s">
        <v>35</v>
      </c>
      <c r="G1138" t="s">
        <v>18</v>
      </c>
      <c r="H1138" t="s">
        <v>19</v>
      </c>
      <c r="I1138" t="s">
        <v>20</v>
      </c>
      <c r="J1138">
        <v>200</v>
      </c>
      <c r="S1138">
        <v>6</v>
      </c>
      <c r="T1138">
        <v>0</v>
      </c>
      <c r="U1138">
        <v>0</v>
      </c>
      <c r="V1138">
        <v>0</v>
      </c>
    </row>
    <row r="1139" spans="1:22">
      <c r="A1139" t="s">
        <v>1144</v>
      </c>
      <c r="B1139" s="3">
        <v>46190</v>
      </c>
      <c r="C1139" t="s">
        <v>14</v>
      </c>
      <c r="D1139" t="s">
        <v>137</v>
      </c>
      <c r="E1139" t="s">
        <v>16</v>
      </c>
      <c r="F1139" t="s">
        <v>17</v>
      </c>
      <c r="G1139" t="s">
        <v>23</v>
      </c>
      <c r="H1139" t="s">
        <v>19</v>
      </c>
      <c r="I1139" t="s">
        <v>74</v>
      </c>
      <c r="J1139">
        <v>90</v>
      </c>
      <c r="L1139" t="s">
        <v>29</v>
      </c>
      <c r="S1139">
        <v>0</v>
      </c>
      <c r="T1139">
        <v>0</v>
      </c>
      <c r="U1139">
        <v>0</v>
      </c>
      <c r="V1139">
        <v>0</v>
      </c>
    </row>
    <row r="1140" spans="1:22">
      <c r="A1140" t="s">
        <v>1146</v>
      </c>
      <c r="B1140" s="3">
        <v>46190</v>
      </c>
      <c r="C1140" t="s">
        <v>14</v>
      </c>
      <c r="D1140" t="s">
        <v>15</v>
      </c>
      <c r="E1140" t="s">
        <v>16</v>
      </c>
      <c r="F1140" t="s">
        <v>17</v>
      </c>
      <c r="G1140" t="s">
        <v>32</v>
      </c>
      <c r="H1140" t="s">
        <v>19</v>
      </c>
      <c r="I1140" t="s">
        <v>20</v>
      </c>
      <c r="J1140">
        <v>300</v>
      </c>
      <c r="S1140">
        <v>36</v>
      </c>
      <c r="T1140">
        <v>0</v>
      </c>
      <c r="U1140">
        <v>1</v>
      </c>
      <c r="V1140">
        <v>0</v>
      </c>
    </row>
    <row r="1141" spans="1:22">
      <c r="A1141" t="s">
        <v>1147</v>
      </c>
      <c r="B1141" s="3">
        <v>46190</v>
      </c>
      <c r="C1141" t="s">
        <v>14</v>
      </c>
      <c r="D1141" t="s">
        <v>40</v>
      </c>
      <c r="E1141" t="s">
        <v>16</v>
      </c>
      <c r="F1141" t="s">
        <v>17</v>
      </c>
      <c r="G1141" t="s">
        <v>18</v>
      </c>
      <c r="H1141" t="s">
        <v>19</v>
      </c>
      <c r="I1141" t="s">
        <v>20</v>
      </c>
      <c r="J1141">
        <v>200</v>
      </c>
      <c r="S1141">
        <v>20</v>
      </c>
      <c r="T1141">
        <v>0</v>
      </c>
      <c r="U1141">
        <v>1</v>
      </c>
      <c r="V1141">
        <v>0</v>
      </c>
    </row>
    <row r="1142" spans="1:22">
      <c r="A1142" t="s">
        <v>1148</v>
      </c>
      <c r="B1142" s="3">
        <v>46190</v>
      </c>
      <c r="C1142" t="s">
        <v>14</v>
      </c>
      <c r="D1142" t="s">
        <v>37</v>
      </c>
      <c r="E1142" t="s">
        <v>16</v>
      </c>
      <c r="F1142" t="s">
        <v>35</v>
      </c>
      <c r="G1142" t="s">
        <v>18</v>
      </c>
      <c r="H1142" t="s">
        <v>19</v>
      </c>
      <c r="I1142" t="s">
        <v>20</v>
      </c>
      <c r="J1142">
        <v>200</v>
      </c>
      <c r="S1142">
        <v>6</v>
      </c>
      <c r="T1142">
        <v>0</v>
      </c>
      <c r="U1142">
        <v>0</v>
      </c>
      <c r="V1142">
        <v>0</v>
      </c>
    </row>
    <row r="1143" spans="1:22">
      <c r="A1143" t="s">
        <v>1149</v>
      </c>
      <c r="B1143" s="3">
        <v>46190</v>
      </c>
      <c r="C1143" t="s">
        <v>14</v>
      </c>
      <c r="D1143" t="s">
        <v>40</v>
      </c>
      <c r="E1143" t="s">
        <v>16</v>
      </c>
      <c r="F1143" t="s">
        <v>17</v>
      </c>
      <c r="G1143" t="s">
        <v>18</v>
      </c>
      <c r="H1143" t="s">
        <v>19</v>
      </c>
      <c r="I1143" t="s">
        <v>20</v>
      </c>
      <c r="J1143">
        <v>200</v>
      </c>
      <c r="S1143">
        <v>20</v>
      </c>
      <c r="T1143">
        <v>0</v>
      </c>
      <c r="U1143">
        <v>1</v>
      </c>
      <c r="V1143">
        <v>0</v>
      </c>
    </row>
    <row r="1144" spans="1:22">
      <c r="A1144" t="s">
        <v>1150</v>
      </c>
      <c r="B1144" s="3">
        <v>46190</v>
      </c>
      <c r="C1144" t="s">
        <v>14</v>
      </c>
      <c r="D1144" t="s">
        <v>31</v>
      </c>
      <c r="E1144" t="s">
        <v>16</v>
      </c>
      <c r="F1144" t="s">
        <v>17</v>
      </c>
      <c r="G1144" t="s">
        <v>18</v>
      </c>
      <c r="H1144" t="s">
        <v>19</v>
      </c>
      <c r="I1144" t="s">
        <v>20</v>
      </c>
      <c r="J1144">
        <v>200</v>
      </c>
      <c r="S1144">
        <v>20</v>
      </c>
      <c r="T1144">
        <v>0</v>
      </c>
      <c r="U1144">
        <v>1</v>
      </c>
      <c r="V1144">
        <v>0</v>
      </c>
    </row>
    <row r="1145" spans="1:22">
      <c r="A1145" t="s">
        <v>1151</v>
      </c>
      <c r="B1145" s="3">
        <v>46190</v>
      </c>
      <c r="C1145" t="s">
        <v>14</v>
      </c>
      <c r="D1145" t="s">
        <v>137</v>
      </c>
      <c r="E1145" t="s">
        <v>16</v>
      </c>
      <c r="F1145" t="s">
        <v>35</v>
      </c>
      <c r="G1145" t="s">
        <v>23</v>
      </c>
      <c r="H1145" t="s">
        <v>19</v>
      </c>
      <c r="I1145" t="s">
        <v>20</v>
      </c>
      <c r="J1145">
        <v>120</v>
      </c>
      <c r="S1145">
        <v>3.6</v>
      </c>
      <c r="T1145">
        <v>0</v>
      </c>
      <c r="U1145">
        <v>0</v>
      </c>
      <c r="V1145">
        <v>0</v>
      </c>
    </row>
    <row r="1146" spans="1:22">
      <c r="A1146" t="s">
        <v>1152</v>
      </c>
      <c r="B1146" s="3">
        <v>46190</v>
      </c>
      <c r="C1146" t="s">
        <v>14</v>
      </c>
      <c r="D1146" t="s">
        <v>34</v>
      </c>
      <c r="E1146" t="s">
        <v>16</v>
      </c>
      <c r="F1146" t="s">
        <v>17</v>
      </c>
      <c r="G1146" t="s">
        <v>18</v>
      </c>
      <c r="H1146" t="s">
        <v>19</v>
      </c>
      <c r="I1146" t="s">
        <v>20</v>
      </c>
      <c r="J1146">
        <v>150</v>
      </c>
      <c r="L1146" t="s">
        <v>29</v>
      </c>
      <c r="S1146">
        <v>15</v>
      </c>
      <c r="T1146">
        <v>0</v>
      </c>
      <c r="U1146">
        <v>1</v>
      </c>
      <c r="V1146">
        <v>0</v>
      </c>
    </row>
    <row r="1147" spans="1:22">
      <c r="A1147" t="s">
        <v>1153</v>
      </c>
      <c r="B1147" s="3">
        <v>46190</v>
      </c>
      <c r="C1147" t="s">
        <v>14</v>
      </c>
      <c r="D1147" t="s">
        <v>34</v>
      </c>
      <c r="E1147" t="s">
        <v>16</v>
      </c>
      <c r="F1147" t="s">
        <v>17</v>
      </c>
      <c r="G1147" t="s">
        <v>18</v>
      </c>
      <c r="H1147" t="s">
        <v>19</v>
      </c>
      <c r="I1147" t="s">
        <v>20</v>
      </c>
      <c r="J1147">
        <v>200</v>
      </c>
      <c r="S1147">
        <v>20</v>
      </c>
      <c r="T1147">
        <v>0</v>
      </c>
      <c r="U1147">
        <v>1</v>
      </c>
      <c r="V1147">
        <v>0</v>
      </c>
    </row>
    <row r="1148" spans="1:22">
      <c r="A1148" t="s">
        <v>1154</v>
      </c>
      <c r="B1148" s="3">
        <v>46190</v>
      </c>
      <c r="C1148" t="s">
        <v>14</v>
      </c>
      <c r="D1148" t="s">
        <v>131</v>
      </c>
      <c r="E1148" t="s">
        <v>16</v>
      </c>
      <c r="F1148" t="s">
        <v>35</v>
      </c>
      <c r="G1148" t="s">
        <v>32</v>
      </c>
      <c r="H1148" t="s">
        <v>19</v>
      </c>
      <c r="I1148" t="s">
        <v>20</v>
      </c>
      <c r="J1148">
        <v>300</v>
      </c>
      <c r="S1148">
        <v>9</v>
      </c>
      <c r="T1148">
        <v>0</v>
      </c>
      <c r="U1148">
        <v>0</v>
      </c>
      <c r="V1148">
        <v>0</v>
      </c>
    </row>
    <row r="1149" spans="1:22">
      <c r="A1149" t="s">
        <v>1155</v>
      </c>
      <c r="B1149" s="3">
        <v>46190</v>
      </c>
      <c r="C1149" t="s">
        <v>14</v>
      </c>
      <c r="D1149" t="s">
        <v>22</v>
      </c>
      <c r="E1149" t="s">
        <v>16</v>
      </c>
      <c r="F1149" t="s">
        <v>17</v>
      </c>
      <c r="G1149" t="s">
        <v>18</v>
      </c>
      <c r="H1149" t="s">
        <v>19</v>
      </c>
      <c r="I1149" t="s">
        <v>20</v>
      </c>
      <c r="J1149">
        <v>200</v>
      </c>
      <c r="S1149">
        <v>20</v>
      </c>
      <c r="T1149">
        <v>0</v>
      </c>
      <c r="U1149">
        <v>1</v>
      </c>
      <c r="V1149">
        <v>0</v>
      </c>
    </row>
    <row r="1150" spans="1:22">
      <c r="A1150" t="s">
        <v>1156</v>
      </c>
      <c r="B1150" s="3">
        <v>46190</v>
      </c>
      <c r="C1150" t="s">
        <v>14</v>
      </c>
      <c r="D1150" t="s">
        <v>40</v>
      </c>
      <c r="E1150" t="s">
        <v>16</v>
      </c>
      <c r="F1150" t="s">
        <v>17</v>
      </c>
      <c r="G1150" t="s">
        <v>32</v>
      </c>
      <c r="H1150" t="s">
        <v>19</v>
      </c>
      <c r="I1150" t="s">
        <v>20</v>
      </c>
      <c r="J1150">
        <v>300</v>
      </c>
      <c r="S1150">
        <v>36</v>
      </c>
      <c r="T1150">
        <v>0</v>
      </c>
      <c r="U1150">
        <v>1</v>
      </c>
      <c r="V1150">
        <v>0</v>
      </c>
    </row>
    <row r="1151" spans="1:22">
      <c r="A1151" t="s">
        <v>1157</v>
      </c>
      <c r="B1151" s="3">
        <v>46190</v>
      </c>
      <c r="C1151" t="s">
        <v>14</v>
      </c>
      <c r="D1151" t="s">
        <v>28</v>
      </c>
      <c r="E1151" t="s">
        <v>16</v>
      </c>
      <c r="F1151" t="s">
        <v>17</v>
      </c>
      <c r="G1151" t="s">
        <v>18</v>
      </c>
      <c r="H1151" t="s">
        <v>19</v>
      </c>
      <c r="I1151" t="s">
        <v>20</v>
      </c>
      <c r="J1151">
        <v>200</v>
      </c>
      <c r="S1151">
        <v>20</v>
      </c>
      <c r="T1151">
        <v>0</v>
      </c>
      <c r="U1151">
        <v>1</v>
      </c>
      <c r="V1151">
        <v>0</v>
      </c>
    </row>
    <row r="1152" spans="1:22">
      <c r="A1152" t="s">
        <v>1158</v>
      </c>
      <c r="B1152" s="3">
        <v>46190</v>
      </c>
      <c r="C1152" t="s">
        <v>14</v>
      </c>
      <c r="D1152" t="s">
        <v>210</v>
      </c>
      <c r="E1152" t="s">
        <v>16</v>
      </c>
      <c r="F1152" t="s">
        <v>35</v>
      </c>
      <c r="G1152" t="s">
        <v>23</v>
      </c>
      <c r="H1152" t="s">
        <v>19</v>
      </c>
      <c r="I1152" t="s">
        <v>74</v>
      </c>
      <c r="J1152">
        <v>120</v>
      </c>
      <c r="S1152">
        <v>0</v>
      </c>
      <c r="T1152">
        <v>0</v>
      </c>
      <c r="U1152">
        <v>0</v>
      </c>
      <c r="V1152">
        <v>0</v>
      </c>
    </row>
    <row r="1153" spans="1:22">
      <c r="A1153" t="s">
        <v>1159</v>
      </c>
      <c r="B1153" s="3">
        <v>46190</v>
      </c>
      <c r="C1153" t="s">
        <v>14</v>
      </c>
      <c r="D1153" t="s">
        <v>40</v>
      </c>
      <c r="E1153" t="s">
        <v>16</v>
      </c>
      <c r="F1153" t="s">
        <v>17</v>
      </c>
      <c r="G1153" t="s">
        <v>18</v>
      </c>
      <c r="H1153" t="s">
        <v>19</v>
      </c>
      <c r="I1153" t="s">
        <v>20</v>
      </c>
      <c r="J1153">
        <v>200</v>
      </c>
      <c r="S1153">
        <v>20</v>
      </c>
      <c r="T1153">
        <v>0</v>
      </c>
      <c r="U1153">
        <v>1</v>
      </c>
      <c r="V1153">
        <v>0</v>
      </c>
    </row>
    <row r="1154" spans="1:22">
      <c r="A1154" t="s">
        <v>1160</v>
      </c>
      <c r="B1154" s="3">
        <v>46190</v>
      </c>
      <c r="C1154" t="s">
        <v>14</v>
      </c>
      <c r="D1154" t="s">
        <v>131</v>
      </c>
      <c r="E1154" t="s">
        <v>16</v>
      </c>
      <c r="F1154" t="s">
        <v>17</v>
      </c>
      <c r="G1154" t="s">
        <v>23</v>
      </c>
      <c r="H1154" t="s">
        <v>19</v>
      </c>
      <c r="I1154" t="s">
        <v>20</v>
      </c>
      <c r="J1154">
        <v>90</v>
      </c>
      <c r="L1154" t="s">
        <v>29</v>
      </c>
      <c r="S1154">
        <v>7.2</v>
      </c>
      <c r="T1154">
        <v>0</v>
      </c>
      <c r="U1154">
        <v>1</v>
      </c>
      <c r="V1154">
        <v>0</v>
      </c>
    </row>
    <row r="1155" spans="1:22">
      <c r="A1155" t="s">
        <v>1161</v>
      </c>
      <c r="B1155" s="3">
        <v>46190</v>
      </c>
      <c r="C1155" t="s">
        <v>14</v>
      </c>
      <c r="D1155" t="s">
        <v>31</v>
      </c>
      <c r="E1155" t="s">
        <v>16</v>
      </c>
      <c r="F1155" t="s">
        <v>17</v>
      </c>
      <c r="G1155" t="s">
        <v>32</v>
      </c>
      <c r="H1155" t="s">
        <v>19</v>
      </c>
      <c r="I1155" t="s">
        <v>20</v>
      </c>
      <c r="J1155">
        <v>300</v>
      </c>
      <c r="S1155">
        <v>36</v>
      </c>
      <c r="T1155">
        <v>0</v>
      </c>
      <c r="U1155">
        <v>1</v>
      </c>
      <c r="V1155">
        <v>0</v>
      </c>
    </row>
    <row r="1156" spans="1:22">
      <c r="A1156" t="s">
        <v>1162</v>
      </c>
      <c r="B1156" s="3">
        <v>46190</v>
      </c>
      <c r="C1156" t="s">
        <v>14</v>
      </c>
      <c r="D1156" t="s">
        <v>131</v>
      </c>
      <c r="E1156" t="s">
        <v>16</v>
      </c>
      <c r="F1156" t="s">
        <v>17</v>
      </c>
      <c r="G1156" t="s">
        <v>32</v>
      </c>
      <c r="H1156" t="s">
        <v>19</v>
      </c>
      <c r="I1156" t="s">
        <v>20</v>
      </c>
      <c r="J1156">
        <v>300</v>
      </c>
      <c r="S1156">
        <v>36</v>
      </c>
      <c r="T1156">
        <v>0</v>
      </c>
      <c r="U1156">
        <v>1</v>
      </c>
      <c r="V1156">
        <v>0</v>
      </c>
    </row>
    <row r="1157" spans="1:22">
      <c r="A1157" t="s">
        <v>1163</v>
      </c>
      <c r="B1157" s="3">
        <v>46190</v>
      </c>
      <c r="C1157" t="s">
        <v>47</v>
      </c>
      <c r="D1157" t="s">
        <v>64</v>
      </c>
      <c r="E1157" t="s">
        <v>16</v>
      </c>
      <c r="F1157" t="s">
        <v>17</v>
      </c>
      <c r="G1157" t="s">
        <v>23</v>
      </c>
      <c r="H1157" t="s">
        <v>19</v>
      </c>
      <c r="I1157" t="s">
        <v>20</v>
      </c>
      <c r="J1157">
        <v>120</v>
      </c>
      <c r="S1157">
        <v>9.6</v>
      </c>
      <c r="T1157">
        <v>0</v>
      </c>
      <c r="U1157">
        <v>1</v>
      </c>
      <c r="V1157">
        <v>0</v>
      </c>
    </row>
    <row r="1158" spans="1:22">
      <c r="A1158" t="s">
        <v>1164</v>
      </c>
      <c r="B1158" s="3">
        <v>46190</v>
      </c>
      <c r="C1158" t="s">
        <v>47</v>
      </c>
      <c r="D1158" t="s">
        <v>52</v>
      </c>
      <c r="E1158" t="s">
        <v>16</v>
      </c>
      <c r="F1158" t="s">
        <v>17</v>
      </c>
      <c r="G1158" t="s">
        <v>32</v>
      </c>
      <c r="H1158" t="s">
        <v>19</v>
      </c>
      <c r="I1158" t="s">
        <v>20</v>
      </c>
      <c r="J1158">
        <v>300</v>
      </c>
      <c r="S1158">
        <v>36</v>
      </c>
      <c r="T1158">
        <v>0</v>
      </c>
      <c r="U1158">
        <v>1</v>
      </c>
      <c r="V1158">
        <v>0</v>
      </c>
    </row>
    <row r="1159" spans="1:22">
      <c r="A1159" t="s">
        <v>1165</v>
      </c>
      <c r="B1159" s="3">
        <v>46190</v>
      </c>
      <c r="C1159" t="s">
        <v>47</v>
      </c>
      <c r="D1159" t="s">
        <v>152</v>
      </c>
      <c r="E1159" t="s">
        <v>16</v>
      </c>
      <c r="F1159" t="s">
        <v>17</v>
      </c>
      <c r="G1159" t="s">
        <v>23</v>
      </c>
      <c r="H1159" t="s">
        <v>19</v>
      </c>
      <c r="I1159" t="s">
        <v>20</v>
      </c>
      <c r="J1159">
        <v>120</v>
      </c>
      <c r="S1159">
        <v>9.6</v>
      </c>
      <c r="T1159">
        <v>0</v>
      </c>
      <c r="U1159">
        <v>1</v>
      </c>
      <c r="V1159">
        <v>0</v>
      </c>
    </row>
    <row r="1160" spans="1:22">
      <c r="A1160" t="s">
        <v>1166</v>
      </c>
      <c r="B1160" s="3">
        <v>46190</v>
      </c>
      <c r="C1160" t="s">
        <v>47</v>
      </c>
      <c r="D1160" t="s">
        <v>59</v>
      </c>
      <c r="E1160" t="s">
        <v>16</v>
      </c>
      <c r="F1160" t="s">
        <v>17</v>
      </c>
      <c r="G1160" t="s">
        <v>23</v>
      </c>
      <c r="H1160" t="s">
        <v>24</v>
      </c>
      <c r="I1160" t="s">
        <v>20</v>
      </c>
      <c r="J1160">
        <v>120</v>
      </c>
      <c r="S1160">
        <v>0</v>
      </c>
      <c r="T1160">
        <v>0</v>
      </c>
      <c r="U1160">
        <v>0</v>
      </c>
      <c r="V1160">
        <v>0</v>
      </c>
    </row>
    <row r="1161" spans="1:22">
      <c r="A1161" t="s">
        <v>1167</v>
      </c>
      <c r="B1161" s="3">
        <v>46190</v>
      </c>
      <c r="C1161" t="s">
        <v>47</v>
      </c>
      <c r="D1161" t="s">
        <v>50</v>
      </c>
      <c r="E1161" t="s">
        <v>16</v>
      </c>
      <c r="F1161" t="s">
        <v>17</v>
      </c>
      <c r="G1161" t="s">
        <v>23</v>
      </c>
      <c r="H1161" t="s">
        <v>19</v>
      </c>
      <c r="I1161" t="s">
        <v>20</v>
      </c>
      <c r="J1161">
        <v>90</v>
      </c>
      <c r="L1161" t="s">
        <v>29</v>
      </c>
      <c r="S1161">
        <v>7.2</v>
      </c>
      <c r="T1161">
        <v>0</v>
      </c>
      <c r="U1161">
        <v>1</v>
      </c>
      <c r="V1161">
        <v>0</v>
      </c>
    </row>
    <row r="1162" spans="1:22">
      <c r="A1162" t="s">
        <v>1168</v>
      </c>
      <c r="B1162" s="3">
        <v>46190</v>
      </c>
      <c r="C1162" t="s">
        <v>47</v>
      </c>
      <c r="D1162" t="s">
        <v>148</v>
      </c>
      <c r="E1162" t="s">
        <v>16</v>
      </c>
      <c r="F1162" t="s">
        <v>17</v>
      </c>
      <c r="G1162" t="s">
        <v>23</v>
      </c>
      <c r="H1162" t="s">
        <v>19</v>
      </c>
      <c r="I1162" t="s">
        <v>20</v>
      </c>
      <c r="J1162">
        <v>120</v>
      </c>
      <c r="S1162">
        <v>9.6</v>
      </c>
      <c r="T1162">
        <v>0</v>
      </c>
      <c r="U1162">
        <v>1</v>
      </c>
      <c r="V1162">
        <v>0</v>
      </c>
    </row>
    <row r="1163" spans="1:22">
      <c r="A1163" t="s">
        <v>1169</v>
      </c>
      <c r="B1163" s="3">
        <v>46190</v>
      </c>
      <c r="C1163" t="s">
        <v>47</v>
      </c>
      <c r="D1163" t="s">
        <v>152</v>
      </c>
      <c r="E1163" t="s">
        <v>16</v>
      </c>
      <c r="F1163" t="s">
        <v>17</v>
      </c>
      <c r="G1163" t="s">
        <v>32</v>
      </c>
      <c r="H1163" t="s">
        <v>19</v>
      </c>
      <c r="I1163" t="s">
        <v>20</v>
      </c>
      <c r="J1163">
        <v>300</v>
      </c>
      <c r="S1163">
        <v>36</v>
      </c>
      <c r="T1163">
        <v>0</v>
      </c>
      <c r="U1163">
        <v>1</v>
      </c>
      <c r="V1163">
        <v>0</v>
      </c>
    </row>
    <row r="1164" spans="1:22">
      <c r="A1164" t="s">
        <v>1170</v>
      </c>
      <c r="B1164" s="3">
        <v>46190</v>
      </c>
      <c r="C1164" t="s">
        <v>47</v>
      </c>
      <c r="D1164" t="s">
        <v>50</v>
      </c>
      <c r="E1164" t="s">
        <v>16</v>
      </c>
      <c r="F1164" t="s">
        <v>17</v>
      </c>
      <c r="G1164" t="s">
        <v>32</v>
      </c>
      <c r="H1164" t="s">
        <v>19</v>
      </c>
      <c r="I1164" t="s">
        <v>20</v>
      </c>
      <c r="J1164">
        <v>300</v>
      </c>
      <c r="S1164">
        <v>36</v>
      </c>
      <c r="T1164">
        <v>0</v>
      </c>
      <c r="U1164">
        <v>1</v>
      </c>
      <c r="V1164">
        <v>0</v>
      </c>
    </row>
    <row r="1165" spans="1:22">
      <c r="A1165" t="s">
        <v>1171</v>
      </c>
      <c r="B1165" s="3">
        <v>46190</v>
      </c>
      <c r="C1165" t="s">
        <v>47</v>
      </c>
      <c r="D1165" t="s">
        <v>73</v>
      </c>
      <c r="E1165" t="s">
        <v>16</v>
      </c>
      <c r="F1165" t="s">
        <v>17</v>
      </c>
      <c r="G1165" t="s">
        <v>23</v>
      </c>
      <c r="H1165" t="s">
        <v>19</v>
      </c>
      <c r="I1165" t="s">
        <v>20</v>
      </c>
      <c r="J1165">
        <v>120</v>
      </c>
      <c r="S1165">
        <v>9.6</v>
      </c>
      <c r="T1165">
        <v>0</v>
      </c>
      <c r="U1165">
        <v>1</v>
      </c>
      <c r="V1165">
        <v>0</v>
      </c>
    </row>
    <row r="1166" spans="1:22">
      <c r="A1166" t="s">
        <v>1172</v>
      </c>
      <c r="B1166" s="3">
        <v>46190</v>
      </c>
      <c r="C1166" t="s">
        <v>47</v>
      </c>
      <c r="D1166" t="s">
        <v>148</v>
      </c>
      <c r="E1166" t="s">
        <v>16</v>
      </c>
      <c r="F1166" t="s">
        <v>17</v>
      </c>
      <c r="G1166" t="s">
        <v>18</v>
      </c>
      <c r="H1166" t="s">
        <v>19</v>
      </c>
      <c r="I1166" t="s">
        <v>20</v>
      </c>
      <c r="J1166">
        <v>200</v>
      </c>
      <c r="S1166">
        <v>20</v>
      </c>
      <c r="T1166">
        <v>0</v>
      </c>
      <c r="U1166">
        <v>1</v>
      </c>
      <c r="V1166">
        <v>0</v>
      </c>
    </row>
    <row r="1167" spans="1:22">
      <c r="A1167" t="s">
        <v>1173</v>
      </c>
      <c r="B1167" s="3">
        <v>46190</v>
      </c>
      <c r="C1167" t="s">
        <v>47</v>
      </c>
      <c r="D1167" t="s">
        <v>50</v>
      </c>
      <c r="E1167" t="s">
        <v>16</v>
      </c>
      <c r="F1167" t="s">
        <v>17</v>
      </c>
      <c r="G1167" t="s">
        <v>32</v>
      </c>
      <c r="H1167" t="s">
        <v>19</v>
      </c>
      <c r="I1167" t="s">
        <v>20</v>
      </c>
      <c r="J1167">
        <v>225</v>
      </c>
      <c r="L1167" t="s">
        <v>29</v>
      </c>
      <c r="S1167">
        <v>27</v>
      </c>
      <c r="T1167">
        <v>0</v>
      </c>
      <c r="U1167">
        <v>1</v>
      </c>
      <c r="V1167">
        <v>0</v>
      </c>
    </row>
    <row r="1168" spans="1:22">
      <c r="A1168" t="s">
        <v>1174</v>
      </c>
      <c r="B1168" s="3">
        <v>46190</v>
      </c>
      <c r="C1168" t="s">
        <v>47</v>
      </c>
      <c r="D1168" t="s">
        <v>152</v>
      </c>
      <c r="E1168" t="s">
        <v>16</v>
      </c>
      <c r="F1168" t="s">
        <v>17</v>
      </c>
      <c r="G1168" t="s">
        <v>23</v>
      </c>
      <c r="H1168" t="s">
        <v>19</v>
      </c>
      <c r="I1168" t="s">
        <v>20</v>
      </c>
      <c r="J1168">
        <v>120</v>
      </c>
      <c r="S1168">
        <v>9.6</v>
      </c>
      <c r="T1168">
        <v>0</v>
      </c>
      <c r="U1168">
        <v>1</v>
      </c>
      <c r="V1168">
        <v>0</v>
      </c>
    </row>
    <row r="1169" spans="1:22">
      <c r="A1169" t="s">
        <v>1175</v>
      </c>
      <c r="B1169" s="3">
        <v>46190</v>
      </c>
      <c r="C1169" t="s">
        <v>47</v>
      </c>
      <c r="D1169" t="s">
        <v>52</v>
      </c>
      <c r="E1169" t="s">
        <v>16</v>
      </c>
      <c r="F1169" t="s">
        <v>17</v>
      </c>
      <c r="G1169" t="s">
        <v>18</v>
      </c>
      <c r="H1169" t="s">
        <v>19</v>
      </c>
      <c r="I1169" t="s">
        <v>20</v>
      </c>
      <c r="J1169">
        <v>200</v>
      </c>
      <c r="S1169">
        <v>20</v>
      </c>
      <c r="T1169">
        <v>0</v>
      </c>
      <c r="U1169">
        <v>1</v>
      </c>
      <c r="V1169">
        <v>0</v>
      </c>
    </row>
    <row r="1170" spans="1:22">
      <c r="A1170" t="s">
        <v>1176</v>
      </c>
      <c r="B1170" s="3">
        <v>46190</v>
      </c>
      <c r="C1170" t="s">
        <v>47</v>
      </c>
      <c r="D1170" t="s">
        <v>73</v>
      </c>
      <c r="E1170" t="s">
        <v>16</v>
      </c>
      <c r="F1170" t="s">
        <v>17</v>
      </c>
      <c r="G1170" t="s">
        <v>18</v>
      </c>
      <c r="H1170" t="s">
        <v>19</v>
      </c>
      <c r="I1170" t="s">
        <v>20</v>
      </c>
      <c r="J1170">
        <v>200</v>
      </c>
      <c r="S1170">
        <v>20</v>
      </c>
      <c r="T1170">
        <v>0</v>
      </c>
      <c r="U1170">
        <v>1</v>
      </c>
      <c r="V1170">
        <v>0</v>
      </c>
    </row>
    <row r="1171" spans="1:22">
      <c r="A1171" t="s">
        <v>1177</v>
      </c>
      <c r="B1171" s="3">
        <v>46190</v>
      </c>
      <c r="C1171" t="s">
        <v>47</v>
      </c>
      <c r="D1171" t="s">
        <v>55</v>
      </c>
      <c r="E1171" t="s">
        <v>16</v>
      </c>
      <c r="F1171" t="s">
        <v>17</v>
      </c>
      <c r="G1171" t="s">
        <v>23</v>
      </c>
      <c r="H1171" t="s">
        <v>19</v>
      </c>
      <c r="I1171" t="s">
        <v>20</v>
      </c>
      <c r="J1171">
        <v>120</v>
      </c>
      <c r="S1171">
        <v>9.6</v>
      </c>
      <c r="T1171">
        <v>0</v>
      </c>
      <c r="U1171">
        <v>1</v>
      </c>
      <c r="V1171">
        <v>0</v>
      </c>
    </row>
    <row r="1172" spans="1:22">
      <c r="A1172" t="s">
        <v>1178</v>
      </c>
      <c r="B1172" s="3">
        <v>46190</v>
      </c>
      <c r="C1172" t="s">
        <v>47</v>
      </c>
      <c r="D1172" t="s">
        <v>73</v>
      </c>
      <c r="E1172" t="s">
        <v>16</v>
      </c>
      <c r="F1172" t="s">
        <v>17</v>
      </c>
      <c r="G1172" t="s">
        <v>32</v>
      </c>
      <c r="H1172" t="s">
        <v>19</v>
      </c>
      <c r="I1172" t="s">
        <v>20</v>
      </c>
      <c r="J1172">
        <v>300</v>
      </c>
      <c r="S1172">
        <v>36</v>
      </c>
      <c r="T1172">
        <v>0</v>
      </c>
      <c r="U1172">
        <v>1</v>
      </c>
      <c r="V1172">
        <v>0</v>
      </c>
    </row>
    <row r="1173" spans="1:22">
      <c r="A1173" t="s">
        <v>1179</v>
      </c>
      <c r="B1173" s="3">
        <v>46190</v>
      </c>
      <c r="C1173" t="s">
        <v>47</v>
      </c>
      <c r="D1173" t="s">
        <v>73</v>
      </c>
      <c r="E1173" t="s">
        <v>16</v>
      </c>
      <c r="F1173" t="s">
        <v>17</v>
      </c>
      <c r="G1173" t="s">
        <v>32</v>
      </c>
      <c r="H1173" t="s">
        <v>19</v>
      </c>
      <c r="I1173" t="s">
        <v>20</v>
      </c>
      <c r="J1173">
        <v>300</v>
      </c>
      <c r="S1173">
        <v>36</v>
      </c>
      <c r="T1173">
        <v>0</v>
      </c>
      <c r="U1173">
        <v>1</v>
      </c>
      <c r="V1173">
        <v>0</v>
      </c>
    </row>
    <row r="1174" spans="1:22">
      <c r="A1174" t="s">
        <v>1180</v>
      </c>
      <c r="B1174" s="3">
        <v>46190</v>
      </c>
      <c r="C1174" t="s">
        <v>47</v>
      </c>
      <c r="D1174" t="s">
        <v>62</v>
      </c>
      <c r="E1174" t="s">
        <v>16</v>
      </c>
      <c r="F1174" t="s">
        <v>17</v>
      </c>
      <c r="G1174" t="s">
        <v>18</v>
      </c>
      <c r="H1174" t="s">
        <v>19</v>
      </c>
      <c r="I1174" t="s">
        <v>20</v>
      </c>
      <c r="J1174">
        <v>200</v>
      </c>
      <c r="S1174">
        <v>20</v>
      </c>
      <c r="T1174">
        <v>0</v>
      </c>
      <c r="U1174">
        <v>1</v>
      </c>
      <c r="V1174">
        <v>0</v>
      </c>
    </row>
    <row r="1175" spans="1:22">
      <c r="A1175" t="s">
        <v>1181</v>
      </c>
      <c r="B1175" s="3">
        <v>46190</v>
      </c>
      <c r="C1175" t="s">
        <v>78</v>
      </c>
      <c r="D1175" t="s">
        <v>83</v>
      </c>
      <c r="E1175" t="s">
        <v>16</v>
      </c>
      <c r="F1175" t="s">
        <v>17</v>
      </c>
      <c r="G1175" t="s">
        <v>18</v>
      </c>
      <c r="H1175" t="s">
        <v>19</v>
      </c>
      <c r="I1175" t="s">
        <v>20</v>
      </c>
      <c r="J1175">
        <v>200</v>
      </c>
      <c r="S1175">
        <v>20</v>
      </c>
      <c r="T1175">
        <v>0</v>
      </c>
      <c r="U1175">
        <v>1</v>
      </c>
      <c r="V1175">
        <v>0</v>
      </c>
    </row>
    <row r="1176" spans="1:22">
      <c r="A1176" t="s">
        <v>1182</v>
      </c>
      <c r="B1176" s="3">
        <v>46190</v>
      </c>
      <c r="C1176" t="s">
        <v>78</v>
      </c>
      <c r="D1176" t="s">
        <v>242</v>
      </c>
      <c r="E1176" t="s">
        <v>16</v>
      </c>
      <c r="F1176" t="s">
        <v>17</v>
      </c>
      <c r="G1176" t="s">
        <v>18</v>
      </c>
      <c r="H1176" t="s">
        <v>19</v>
      </c>
      <c r="I1176" t="s">
        <v>20</v>
      </c>
      <c r="J1176">
        <v>200</v>
      </c>
      <c r="S1176">
        <v>20</v>
      </c>
      <c r="T1176">
        <v>0</v>
      </c>
      <c r="U1176">
        <v>1</v>
      </c>
      <c r="V1176">
        <v>0</v>
      </c>
    </row>
    <row r="1177" spans="1:22">
      <c r="A1177" t="s">
        <v>1183</v>
      </c>
      <c r="B1177" s="3">
        <v>46190</v>
      </c>
      <c r="C1177" t="s">
        <v>78</v>
      </c>
      <c r="D1177" t="s">
        <v>87</v>
      </c>
      <c r="E1177" t="s">
        <v>16</v>
      </c>
      <c r="F1177" t="s">
        <v>17</v>
      </c>
      <c r="G1177" t="s">
        <v>23</v>
      </c>
      <c r="H1177" t="s">
        <v>19</v>
      </c>
      <c r="I1177" t="s">
        <v>20</v>
      </c>
      <c r="J1177">
        <v>90</v>
      </c>
      <c r="L1177" t="s">
        <v>29</v>
      </c>
      <c r="S1177">
        <v>7.2</v>
      </c>
      <c r="T1177">
        <v>0</v>
      </c>
      <c r="U1177">
        <v>1</v>
      </c>
      <c r="V1177">
        <v>0</v>
      </c>
    </row>
    <row r="1178" spans="1:22">
      <c r="A1178" t="s">
        <v>1184</v>
      </c>
      <c r="B1178" s="3">
        <v>46190</v>
      </c>
      <c r="C1178" t="s">
        <v>78</v>
      </c>
      <c r="D1178" t="s">
        <v>161</v>
      </c>
      <c r="E1178" t="s">
        <v>16</v>
      </c>
      <c r="F1178" t="s">
        <v>17</v>
      </c>
      <c r="G1178" t="s">
        <v>32</v>
      </c>
      <c r="H1178" t="s">
        <v>19</v>
      </c>
      <c r="I1178" t="s">
        <v>20</v>
      </c>
      <c r="J1178">
        <v>300</v>
      </c>
      <c r="S1178">
        <v>36</v>
      </c>
      <c r="T1178">
        <v>0</v>
      </c>
      <c r="U1178">
        <v>1</v>
      </c>
      <c r="V1178">
        <v>0</v>
      </c>
    </row>
    <row r="1179" spans="1:22">
      <c r="A1179" t="s">
        <v>1185</v>
      </c>
      <c r="B1179" s="3">
        <v>46190</v>
      </c>
      <c r="C1179" t="s">
        <v>78</v>
      </c>
      <c r="D1179" t="s">
        <v>79</v>
      </c>
      <c r="E1179" t="s">
        <v>16</v>
      </c>
      <c r="F1179" t="s">
        <v>17</v>
      </c>
      <c r="G1179" t="s">
        <v>32</v>
      </c>
      <c r="H1179" t="s">
        <v>19</v>
      </c>
      <c r="I1179" t="s">
        <v>20</v>
      </c>
      <c r="J1179">
        <v>255</v>
      </c>
      <c r="L1179" t="s">
        <v>29</v>
      </c>
      <c r="S1179">
        <v>30.6</v>
      </c>
      <c r="T1179">
        <v>0</v>
      </c>
      <c r="U1179">
        <v>1</v>
      </c>
      <c r="V1179">
        <v>0</v>
      </c>
    </row>
    <row r="1180" spans="1:22">
      <c r="A1180" t="s">
        <v>1186</v>
      </c>
      <c r="B1180" s="3">
        <v>46190</v>
      </c>
      <c r="C1180" t="s">
        <v>78</v>
      </c>
      <c r="D1180" t="s">
        <v>163</v>
      </c>
      <c r="E1180" t="s">
        <v>16</v>
      </c>
      <c r="F1180" t="s">
        <v>17</v>
      </c>
      <c r="G1180" t="s">
        <v>18</v>
      </c>
      <c r="H1180" t="s">
        <v>19</v>
      </c>
      <c r="I1180" t="s">
        <v>20</v>
      </c>
      <c r="J1180">
        <v>200</v>
      </c>
      <c r="S1180">
        <v>20</v>
      </c>
      <c r="T1180">
        <v>0</v>
      </c>
      <c r="U1180">
        <v>1</v>
      </c>
      <c r="V1180">
        <v>0</v>
      </c>
    </row>
    <row r="1181" spans="1:22">
      <c r="A1181" t="s">
        <v>1187</v>
      </c>
      <c r="B1181" s="3">
        <v>46190</v>
      </c>
      <c r="C1181" t="s">
        <v>78</v>
      </c>
      <c r="D1181" t="s">
        <v>161</v>
      </c>
      <c r="E1181" t="s">
        <v>16</v>
      </c>
      <c r="F1181" t="s">
        <v>17</v>
      </c>
      <c r="G1181" t="s">
        <v>18</v>
      </c>
      <c r="H1181" t="s">
        <v>24</v>
      </c>
      <c r="I1181" t="s">
        <v>20</v>
      </c>
      <c r="J1181">
        <v>200</v>
      </c>
      <c r="S1181">
        <v>0</v>
      </c>
      <c r="T1181">
        <v>0</v>
      </c>
      <c r="U1181">
        <v>0</v>
      </c>
      <c r="V1181">
        <v>0</v>
      </c>
    </row>
    <row r="1182" spans="1:22">
      <c r="A1182" t="s">
        <v>1188</v>
      </c>
      <c r="B1182" s="3">
        <v>46190</v>
      </c>
      <c r="C1182" t="s">
        <v>78</v>
      </c>
      <c r="D1182" t="s">
        <v>79</v>
      </c>
      <c r="E1182" t="s">
        <v>16</v>
      </c>
      <c r="F1182" t="s">
        <v>17</v>
      </c>
      <c r="G1182" t="s">
        <v>32</v>
      </c>
      <c r="H1182" t="s">
        <v>19</v>
      </c>
      <c r="I1182" t="s">
        <v>20</v>
      </c>
      <c r="J1182">
        <v>225</v>
      </c>
      <c r="L1182" t="s">
        <v>29</v>
      </c>
      <c r="S1182">
        <v>27</v>
      </c>
      <c r="T1182">
        <v>0</v>
      </c>
      <c r="U1182">
        <v>1</v>
      </c>
      <c r="V1182">
        <v>0</v>
      </c>
    </row>
    <row r="1183" spans="1:22">
      <c r="A1183" t="s">
        <v>1189</v>
      </c>
      <c r="B1183" s="3">
        <v>46190</v>
      </c>
      <c r="C1183" t="s">
        <v>78</v>
      </c>
      <c r="D1183" t="s">
        <v>163</v>
      </c>
      <c r="E1183" t="s">
        <v>16</v>
      </c>
      <c r="F1183" t="s">
        <v>35</v>
      </c>
      <c r="G1183" t="s">
        <v>32</v>
      </c>
      <c r="H1183" t="s">
        <v>19</v>
      </c>
      <c r="I1183" t="s">
        <v>20</v>
      </c>
      <c r="J1183">
        <v>300</v>
      </c>
      <c r="S1183">
        <v>9</v>
      </c>
      <c r="T1183">
        <v>0</v>
      </c>
      <c r="U1183">
        <v>0</v>
      </c>
      <c r="V1183">
        <v>0</v>
      </c>
    </row>
    <row r="1184" spans="1:22">
      <c r="A1184" t="s">
        <v>1190</v>
      </c>
      <c r="B1184" s="3">
        <v>46190</v>
      </c>
      <c r="C1184" t="s">
        <v>78</v>
      </c>
      <c r="D1184" t="s">
        <v>89</v>
      </c>
      <c r="E1184" t="s">
        <v>16</v>
      </c>
      <c r="F1184" t="s">
        <v>17</v>
      </c>
      <c r="G1184" t="s">
        <v>18</v>
      </c>
      <c r="H1184" t="s">
        <v>19</v>
      </c>
      <c r="I1184" t="s">
        <v>20</v>
      </c>
      <c r="J1184">
        <v>150</v>
      </c>
      <c r="L1184" t="s">
        <v>29</v>
      </c>
      <c r="S1184">
        <v>15</v>
      </c>
      <c r="T1184">
        <v>0</v>
      </c>
      <c r="U1184">
        <v>1</v>
      </c>
      <c r="V1184">
        <v>0</v>
      </c>
    </row>
    <row r="1185" spans="1:22">
      <c r="A1185" t="s">
        <v>1191</v>
      </c>
      <c r="B1185" s="3">
        <v>46190</v>
      </c>
      <c r="C1185" t="s">
        <v>78</v>
      </c>
      <c r="D1185" t="s">
        <v>83</v>
      </c>
      <c r="E1185" t="s">
        <v>16</v>
      </c>
      <c r="F1185" t="s">
        <v>35</v>
      </c>
      <c r="G1185" t="s">
        <v>18</v>
      </c>
      <c r="H1185" t="s">
        <v>19</v>
      </c>
      <c r="I1185" t="s">
        <v>20</v>
      </c>
      <c r="J1185">
        <v>200</v>
      </c>
      <c r="S1185">
        <v>6</v>
      </c>
      <c r="T1185">
        <v>0</v>
      </c>
      <c r="U1185">
        <v>0</v>
      </c>
      <c r="V1185">
        <v>0</v>
      </c>
    </row>
    <row r="1186" spans="1:22">
      <c r="A1186" t="s">
        <v>1192</v>
      </c>
      <c r="B1186" s="3">
        <v>46190</v>
      </c>
      <c r="C1186" t="s">
        <v>78</v>
      </c>
      <c r="D1186" t="s">
        <v>102</v>
      </c>
      <c r="E1186" t="s">
        <v>16</v>
      </c>
      <c r="F1186" t="s">
        <v>35</v>
      </c>
      <c r="G1186" t="s">
        <v>18</v>
      </c>
      <c r="H1186" t="s">
        <v>19</v>
      </c>
      <c r="I1186" t="s">
        <v>20</v>
      </c>
      <c r="J1186">
        <v>200</v>
      </c>
      <c r="S1186">
        <v>6</v>
      </c>
      <c r="T1186">
        <v>0</v>
      </c>
      <c r="U1186">
        <v>0</v>
      </c>
      <c r="V1186">
        <v>0</v>
      </c>
    </row>
    <row r="1187" spans="1:22">
      <c r="A1187" t="s">
        <v>1193</v>
      </c>
      <c r="B1187" s="3">
        <v>46190</v>
      </c>
      <c r="C1187" t="s">
        <v>78</v>
      </c>
      <c r="D1187" t="s">
        <v>83</v>
      </c>
      <c r="E1187" t="s">
        <v>16</v>
      </c>
      <c r="F1187" t="s">
        <v>17</v>
      </c>
      <c r="G1187" t="s">
        <v>32</v>
      </c>
      <c r="H1187" t="s">
        <v>19</v>
      </c>
      <c r="I1187" t="s">
        <v>20</v>
      </c>
      <c r="J1187">
        <v>300</v>
      </c>
      <c r="S1187">
        <v>36</v>
      </c>
      <c r="T1187">
        <v>0</v>
      </c>
      <c r="U1187">
        <v>1</v>
      </c>
      <c r="V1187">
        <v>0</v>
      </c>
    </row>
    <row r="1188" spans="1:22">
      <c r="A1188" t="s">
        <v>1194</v>
      </c>
      <c r="B1188" s="3">
        <v>46190</v>
      </c>
      <c r="C1188" t="s">
        <v>78</v>
      </c>
      <c r="D1188" t="s">
        <v>81</v>
      </c>
      <c r="E1188" t="s">
        <v>16</v>
      </c>
      <c r="F1188" t="s">
        <v>35</v>
      </c>
      <c r="G1188" t="s">
        <v>18</v>
      </c>
      <c r="H1188" t="s">
        <v>19</v>
      </c>
      <c r="I1188" t="s">
        <v>20</v>
      </c>
      <c r="J1188">
        <v>150</v>
      </c>
      <c r="L1188" t="s">
        <v>29</v>
      </c>
      <c r="S1188">
        <v>4.5</v>
      </c>
      <c r="T1188">
        <v>0</v>
      </c>
      <c r="U1188">
        <v>0</v>
      </c>
      <c r="V1188">
        <v>0</v>
      </c>
    </row>
    <row r="1189" spans="1:22">
      <c r="A1189" t="s">
        <v>1195</v>
      </c>
      <c r="B1189" s="3">
        <v>46190</v>
      </c>
      <c r="C1189" t="s">
        <v>78</v>
      </c>
      <c r="D1189" t="s">
        <v>242</v>
      </c>
      <c r="E1189" t="s">
        <v>16</v>
      </c>
      <c r="F1189" t="s">
        <v>17</v>
      </c>
      <c r="G1189" t="s">
        <v>32</v>
      </c>
      <c r="H1189" t="s">
        <v>19</v>
      </c>
      <c r="I1189" t="s">
        <v>20</v>
      </c>
      <c r="J1189">
        <v>300</v>
      </c>
      <c r="S1189">
        <v>36</v>
      </c>
      <c r="T1189">
        <v>0</v>
      </c>
      <c r="U1189">
        <v>1</v>
      </c>
      <c r="V1189">
        <v>0</v>
      </c>
    </row>
    <row r="1190" spans="1:22">
      <c r="A1190" t="s">
        <v>1196</v>
      </c>
      <c r="B1190" s="3">
        <v>46190</v>
      </c>
      <c r="C1190" t="s">
        <v>105</v>
      </c>
      <c r="D1190" t="s">
        <v>118</v>
      </c>
      <c r="E1190" t="s">
        <v>16</v>
      </c>
      <c r="F1190" t="s">
        <v>17</v>
      </c>
      <c r="G1190" t="s">
        <v>32</v>
      </c>
      <c r="H1190" t="s">
        <v>19</v>
      </c>
      <c r="I1190" t="s">
        <v>20</v>
      </c>
      <c r="J1190">
        <v>255</v>
      </c>
      <c r="L1190" t="s">
        <v>29</v>
      </c>
      <c r="S1190">
        <v>30.6</v>
      </c>
      <c r="T1190">
        <v>0</v>
      </c>
      <c r="U1190">
        <v>1</v>
      </c>
      <c r="V1190">
        <v>0</v>
      </c>
    </row>
    <row r="1191" spans="1:22">
      <c r="A1191" t="s">
        <v>1197</v>
      </c>
      <c r="B1191" s="3">
        <v>46190</v>
      </c>
      <c r="C1191" t="s">
        <v>105</v>
      </c>
      <c r="D1191" t="s">
        <v>265</v>
      </c>
      <c r="E1191" t="s">
        <v>16</v>
      </c>
      <c r="F1191" t="s">
        <v>35</v>
      </c>
      <c r="G1191" t="s">
        <v>23</v>
      </c>
      <c r="H1191" t="s">
        <v>19</v>
      </c>
      <c r="I1191" t="s">
        <v>20</v>
      </c>
      <c r="J1191">
        <v>120</v>
      </c>
      <c r="S1191">
        <v>3.6</v>
      </c>
      <c r="T1191">
        <v>0</v>
      </c>
      <c r="U1191">
        <v>0</v>
      </c>
      <c r="V1191">
        <v>0</v>
      </c>
    </row>
    <row r="1192" spans="1:22">
      <c r="A1192" t="s">
        <v>1198</v>
      </c>
      <c r="B1192" s="3">
        <v>46190</v>
      </c>
      <c r="C1192" t="s">
        <v>105</v>
      </c>
      <c r="D1192" t="s">
        <v>187</v>
      </c>
      <c r="E1192" t="s">
        <v>16</v>
      </c>
      <c r="F1192" t="s">
        <v>35</v>
      </c>
      <c r="G1192" t="s">
        <v>32</v>
      </c>
      <c r="H1192" t="s">
        <v>19</v>
      </c>
      <c r="I1192" t="s">
        <v>20</v>
      </c>
      <c r="J1192">
        <v>255</v>
      </c>
      <c r="L1192" t="s">
        <v>29</v>
      </c>
      <c r="S1192">
        <v>7.65</v>
      </c>
      <c r="T1192">
        <v>0</v>
      </c>
      <c r="U1192">
        <v>0</v>
      </c>
      <c r="V1192">
        <v>0</v>
      </c>
    </row>
    <row r="1193" spans="1:22">
      <c r="A1193" t="s">
        <v>1199</v>
      </c>
      <c r="B1193" s="3">
        <v>46190</v>
      </c>
      <c r="C1193" t="s">
        <v>105</v>
      </c>
      <c r="D1193" t="s">
        <v>112</v>
      </c>
      <c r="E1193" t="s">
        <v>16</v>
      </c>
      <c r="F1193" t="s">
        <v>17</v>
      </c>
      <c r="G1193" t="s">
        <v>32</v>
      </c>
      <c r="H1193" t="s">
        <v>19</v>
      </c>
      <c r="I1193" t="s">
        <v>20</v>
      </c>
      <c r="J1193">
        <v>300</v>
      </c>
      <c r="S1193">
        <v>36</v>
      </c>
      <c r="T1193">
        <v>0</v>
      </c>
      <c r="U1193">
        <v>1</v>
      </c>
      <c r="V1193">
        <v>0</v>
      </c>
    </row>
    <row r="1194" spans="1:22">
      <c r="A1194" t="s">
        <v>1200</v>
      </c>
      <c r="B1194" s="3">
        <v>46190</v>
      </c>
      <c r="C1194" t="s">
        <v>105</v>
      </c>
      <c r="D1194" t="s">
        <v>191</v>
      </c>
      <c r="E1194" t="s">
        <v>16</v>
      </c>
      <c r="F1194" t="s">
        <v>17</v>
      </c>
      <c r="G1194" t="s">
        <v>32</v>
      </c>
      <c r="H1194" t="s">
        <v>19</v>
      </c>
      <c r="I1194" t="s">
        <v>20</v>
      </c>
      <c r="J1194">
        <v>300</v>
      </c>
      <c r="S1194">
        <v>36</v>
      </c>
      <c r="T1194">
        <v>0</v>
      </c>
      <c r="U1194">
        <v>1</v>
      </c>
      <c r="V1194">
        <v>0</v>
      </c>
    </row>
    <row r="1195" spans="1:22">
      <c r="A1195" t="s">
        <v>1201</v>
      </c>
      <c r="B1195" s="3">
        <v>46190</v>
      </c>
      <c r="C1195" t="s">
        <v>105</v>
      </c>
      <c r="D1195" t="s">
        <v>106</v>
      </c>
      <c r="E1195" t="s">
        <v>16</v>
      </c>
      <c r="F1195" t="s">
        <v>17</v>
      </c>
      <c r="G1195" t="s">
        <v>23</v>
      </c>
      <c r="H1195" t="s">
        <v>19</v>
      </c>
      <c r="I1195" t="s">
        <v>20</v>
      </c>
      <c r="J1195">
        <v>120</v>
      </c>
      <c r="S1195">
        <v>9.6</v>
      </c>
      <c r="T1195">
        <v>0</v>
      </c>
      <c r="U1195">
        <v>1</v>
      </c>
      <c r="V1195">
        <v>0</v>
      </c>
    </row>
    <row r="1196" spans="1:22">
      <c r="A1196" t="s">
        <v>1202</v>
      </c>
      <c r="B1196" s="3">
        <v>46190</v>
      </c>
      <c r="C1196" t="s">
        <v>105</v>
      </c>
      <c r="D1196" t="s">
        <v>187</v>
      </c>
      <c r="E1196" t="s">
        <v>16</v>
      </c>
      <c r="F1196" t="s">
        <v>17</v>
      </c>
      <c r="G1196" t="s">
        <v>23</v>
      </c>
      <c r="H1196" t="s">
        <v>19</v>
      </c>
      <c r="I1196" t="s">
        <v>74</v>
      </c>
      <c r="J1196">
        <v>120</v>
      </c>
      <c r="S1196">
        <v>0</v>
      </c>
      <c r="T1196">
        <v>0</v>
      </c>
      <c r="U1196">
        <v>0</v>
      </c>
      <c r="V1196">
        <v>0</v>
      </c>
    </row>
    <row r="1197" spans="1:22">
      <c r="A1197" t="s">
        <v>1203</v>
      </c>
      <c r="B1197" s="3">
        <v>46190</v>
      </c>
      <c r="C1197" t="s">
        <v>105</v>
      </c>
      <c r="D1197" t="s">
        <v>191</v>
      </c>
      <c r="E1197" t="s">
        <v>16</v>
      </c>
      <c r="F1197" t="s">
        <v>17</v>
      </c>
      <c r="G1197" t="s">
        <v>18</v>
      </c>
      <c r="H1197" t="s">
        <v>19</v>
      </c>
      <c r="I1197" t="s">
        <v>20</v>
      </c>
      <c r="J1197">
        <v>200</v>
      </c>
      <c r="S1197">
        <v>20</v>
      </c>
      <c r="T1197">
        <v>0</v>
      </c>
      <c r="U1197">
        <v>1</v>
      </c>
      <c r="V1197">
        <v>0</v>
      </c>
    </row>
    <row r="1198" spans="1:22">
      <c r="A1198" t="s">
        <v>1204</v>
      </c>
      <c r="B1198" s="3">
        <v>46190</v>
      </c>
      <c r="C1198" t="s">
        <v>105</v>
      </c>
      <c r="D1198" t="s">
        <v>182</v>
      </c>
      <c r="E1198" t="s">
        <v>16</v>
      </c>
      <c r="F1198" t="s">
        <v>17</v>
      </c>
      <c r="G1198" t="s">
        <v>18</v>
      </c>
      <c r="H1198" t="s">
        <v>19</v>
      </c>
      <c r="I1198" t="s">
        <v>20</v>
      </c>
      <c r="J1198">
        <v>200</v>
      </c>
      <c r="S1198">
        <v>20</v>
      </c>
      <c r="T1198">
        <v>0</v>
      </c>
      <c r="U1198">
        <v>1</v>
      </c>
      <c r="V1198">
        <v>0</v>
      </c>
    </row>
    <row r="1199" spans="1:22">
      <c r="A1199" t="s">
        <v>1205</v>
      </c>
      <c r="B1199" s="3">
        <v>46190</v>
      </c>
      <c r="C1199" t="s">
        <v>105</v>
      </c>
      <c r="D1199" t="s">
        <v>191</v>
      </c>
      <c r="E1199" t="s">
        <v>16</v>
      </c>
      <c r="F1199" t="s">
        <v>35</v>
      </c>
      <c r="G1199" t="s">
        <v>23</v>
      </c>
      <c r="H1199" t="s">
        <v>19</v>
      </c>
      <c r="I1199" t="s">
        <v>20</v>
      </c>
      <c r="J1199">
        <v>120</v>
      </c>
      <c r="S1199">
        <v>3.6</v>
      </c>
      <c r="T1199">
        <v>0</v>
      </c>
      <c r="U1199">
        <v>0</v>
      </c>
      <c r="V1199">
        <v>0</v>
      </c>
    </row>
    <row r="1200" spans="1:22">
      <c r="A1200" t="s">
        <v>1206</v>
      </c>
      <c r="B1200" s="3">
        <v>46190</v>
      </c>
      <c r="C1200" t="s">
        <v>105</v>
      </c>
      <c r="D1200" t="s">
        <v>187</v>
      </c>
      <c r="E1200" t="s">
        <v>16</v>
      </c>
      <c r="F1200" t="s">
        <v>17</v>
      </c>
      <c r="G1200" t="s">
        <v>23</v>
      </c>
      <c r="H1200" t="s">
        <v>19</v>
      </c>
      <c r="I1200" t="s">
        <v>20</v>
      </c>
      <c r="J1200">
        <v>120</v>
      </c>
      <c r="S1200">
        <v>9.6</v>
      </c>
      <c r="T1200">
        <v>0</v>
      </c>
      <c r="U1200">
        <v>1</v>
      </c>
      <c r="V1200">
        <v>0</v>
      </c>
    </row>
    <row r="1201" spans="1:22">
      <c r="A1201" t="s">
        <v>1207</v>
      </c>
      <c r="B1201" s="3">
        <v>46190</v>
      </c>
      <c r="C1201" t="s">
        <v>105</v>
      </c>
      <c r="D1201" t="s">
        <v>118</v>
      </c>
      <c r="E1201" t="s">
        <v>16</v>
      </c>
      <c r="F1201" t="s">
        <v>17</v>
      </c>
      <c r="G1201" t="s">
        <v>23</v>
      </c>
      <c r="H1201" t="s">
        <v>19</v>
      </c>
      <c r="I1201" t="s">
        <v>20</v>
      </c>
      <c r="J1201">
        <v>120</v>
      </c>
      <c r="S1201">
        <v>9.6</v>
      </c>
      <c r="T1201">
        <v>0</v>
      </c>
      <c r="U1201">
        <v>1</v>
      </c>
      <c r="V1201">
        <v>0</v>
      </c>
    </row>
    <row r="1202" spans="1:22">
      <c r="A1202" t="s">
        <v>1208</v>
      </c>
      <c r="B1202" s="3">
        <v>46190</v>
      </c>
      <c r="C1202" t="s">
        <v>105</v>
      </c>
      <c r="D1202" t="s">
        <v>118</v>
      </c>
      <c r="E1202" t="s">
        <v>16</v>
      </c>
      <c r="F1202" t="s">
        <v>17</v>
      </c>
      <c r="G1202" t="s">
        <v>18</v>
      </c>
      <c r="H1202" t="s">
        <v>19</v>
      </c>
      <c r="I1202" t="s">
        <v>20</v>
      </c>
      <c r="J1202">
        <v>200</v>
      </c>
      <c r="S1202">
        <v>20</v>
      </c>
      <c r="T1202">
        <v>0</v>
      </c>
      <c r="U1202">
        <v>1</v>
      </c>
      <c r="V1202">
        <v>0</v>
      </c>
    </row>
    <row r="1203" spans="1:22">
      <c r="A1203" t="s">
        <v>1209</v>
      </c>
      <c r="B1203" s="3">
        <v>46190</v>
      </c>
      <c r="C1203" t="s">
        <v>105</v>
      </c>
      <c r="D1203" t="s">
        <v>110</v>
      </c>
      <c r="E1203" t="s">
        <v>16</v>
      </c>
      <c r="F1203" t="s">
        <v>17</v>
      </c>
      <c r="G1203" t="s">
        <v>18</v>
      </c>
      <c r="H1203" t="s">
        <v>19</v>
      </c>
      <c r="I1203" t="s">
        <v>20</v>
      </c>
      <c r="J1203">
        <v>200</v>
      </c>
      <c r="S1203">
        <v>20</v>
      </c>
      <c r="T1203">
        <v>0</v>
      </c>
      <c r="U1203">
        <v>1</v>
      </c>
      <c r="V1203">
        <v>0</v>
      </c>
    </row>
    <row r="1204" spans="1:22">
      <c r="A1204" t="s">
        <v>1210</v>
      </c>
      <c r="B1204" s="3">
        <v>46190</v>
      </c>
      <c r="C1204" t="s">
        <v>105</v>
      </c>
      <c r="D1204" t="s">
        <v>118</v>
      </c>
      <c r="E1204" t="s">
        <v>16</v>
      </c>
      <c r="F1204" t="s">
        <v>17</v>
      </c>
      <c r="G1204" t="s">
        <v>32</v>
      </c>
      <c r="H1204" t="s">
        <v>19</v>
      </c>
      <c r="I1204" t="s">
        <v>20</v>
      </c>
      <c r="J1204">
        <v>300</v>
      </c>
      <c r="S1204">
        <v>36</v>
      </c>
      <c r="T1204">
        <v>0</v>
      </c>
      <c r="U1204">
        <v>1</v>
      </c>
      <c r="V1204">
        <v>0</v>
      </c>
    </row>
    <row r="1205" spans="1:22">
      <c r="A1205" t="s">
        <v>1211</v>
      </c>
      <c r="B1205" s="3">
        <v>46190</v>
      </c>
      <c r="C1205" t="s">
        <v>105</v>
      </c>
      <c r="D1205" t="s">
        <v>112</v>
      </c>
      <c r="E1205" t="s">
        <v>16</v>
      </c>
      <c r="F1205" t="s">
        <v>17</v>
      </c>
      <c r="G1205" t="s">
        <v>18</v>
      </c>
      <c r="H1205" t="s">
        <v>19</v>
      </c>
      <c r="I1205" t="s">
        <v>53</v>
      </c>
      <c r="J1205">
        <v>200</v>
      </c>
      <c r="S1205">
        <v>0</v>
      </c>
      <c r="T1205">
        <v>0</v>
      </c>
      <c r="U1205">
        <v>0</v>
      </c>
      <c r="V1205">
        <v>0</v>
      </c>
    </row>
    <row r="1206" spans="1:22">
      <c r="A1206" t="s">
        <v>1212</v>
      </c>
      <c r="B1206" s="3">
        <v>46190</v>
      </c>
      <c r="C1206" t="s">
        <v>105</v>
      </c>
      <c r="D1206" t="s">
        <v>194</v>
      </c>
      <c r="E1206" t="s">
        <v>16</v>
      </c>
      <c r="F1206" t="s">
        <v>17</v>
      </c>
      <c r="G1206" t="s">
        <v>18</v>
      </c>
      <c r="H1206" t="s">
        <v>19</v>
      </c>
      <c r="I1206" t="s">
        <v>20</v>
      </c>
      <c r="J1206">
        <v>200</v>
      </c>
      <c r="S1206">
        <v>20</v>
      </c>
      <c r="T1206">
        <v>0</v>
      </c>
      <c r="U1206">
        <v>1</v>
      </c>
      <c r="V1206">
        <v>0</v>
      </c>
    </row>
    <row r="1207" spans="1:22">
      <c r="A1207" t="s">
        <v>1213</v>
      </c>
      <c r="B1207" s="3">
        <v>46190</v>
      </c>
      <c r="C1207" t="s">
        <v>105</v>
      </c>
      <c r="D1207" t="s">
        <v>120</v>
      </c>
      <c r="E1207" t="s">
        <v>16</v>
      </c>
      <c r="F1207" t="s">
        <v>35</v>
      </c>
      <c r="G1207" t="s">
        <v>23</v>
      </c>
      <c r="H1207" t="s">
        <v>19</v>
      </c>
      <c r="I1207" t="s">
        <v>53</v>
      </c>
      <c r="J1207">
        <v>120</v>
      </c>
      <c r="S1207">
        <v>0</v>
      </c>
      <c r="T1207">
        <v>0</v>
      </c>
      <c r="U1207">
        <v>0</v>
      </c>
      <c r="V1207">
        <v>0</v>
      </c>
    </row>
    <row r="1208" spans="1:22">
      <c r="A1208" t="s">
        <v>1214</v>
      </c>
      <c r="B1208" s="3">
        <v>46190</v>
      </c>
      <c r="C1208" t="s">
        <v>105</v>
      </c>
      <c r="D1208" t="s">
        <v>106</v>
      </c>
      <c r="E1208" t="s">
        <v>16</v>
      </c>
      <c r="F1208" t="s">
        <v>17</v>
      </c>
      <c r="G1208" t="s">
        <v>23</v>
      </c>
      <c r="H1208" t="s">
        <v>19</v>
      </c>
      <c r="I1208" t="s">
        <v>20</v>
      </c>
      <c r="J1208">
        <v>120</v>
      </c>
      <c r="S1208">
        <v>9.6</v>
      </c>
      <c r="T1208">
        <v>0</v>
      </c>
      <c r="U1208">
        <v>1</v>
      </c>
      <c r="V1208">
        <v>0</v>
      </c>
    </row>
    <row r="1209" spans="1:22">
      <c r="A1209" t="s">
        <v>1216</v>
      </c>
      <c r="B1209" s="3">
        <v>46191</v>
      </c>
      <c r="C1209" t="s">
        <v>14</v>
      </c>
      <c r="D1209" t="s">
        <v>34</v>
      </c>
      <c r="E1209" t="s">
        <v>16</v>
      </c>
      <c r="F1209" t="s">
        <v>17</v>
      </c>
      <c r="G1209" t="s">
        <v>18</v>
      </c>
      <c r="H1209" t="s">
        <v>19</v>
      </c>
      <c r="I1209" t="s">
        <v>20</v>
      </c>
      <c r="J1209">
        <v>200</v>
      </c>
      <c r="S1209">
        <v>20</v>
      </c>
      <c r="T1209">
        <v>0</v>
      </c>
      <c r="U1209">
        <v>1</v>
      </c>
      <c r="V1209">
        <v>0</v>
      </c>
    </row>
    <row r="1210" spans="1:22">
      <c r="A1210" t="s">
        <v>1218</v>
      </c>
      <c r="B1210" s="3">
        <v>46191</v>
      </c>
      <c r="C1210" t="s">
        <v>14</v>
      </c>
      <c r="D1210" t="s">
        <v>40</v>
      </c>
      <c r="E1210" t="s">
        <v>16</v>
      </c>
      <c r="F1210" t="s">
        <v>35</v>
      </c>
      <c r="G1210" t="s">
        <v>23</v>
      </c>
      <c r="H1210" t="s">
        <v>19</v>
      </c>
      <c r="I1210" t="s">
        <v>20</v>
      </c>
      <c r="J1210">
        <v>120</v>
      </c>
      <c r="S1210">
        <v>3.6</v>
      </c>
      <c r="T1210">
        <v>0</v>
      </c>
      <c r="U1210">
        <v>0</v>
      </c>
      <c r="V1210">
        <v>0</v>
      </c>
    </row>
    <row r="1211" spans="1:22">
      <c r="A1211" t="s">
        <v>1219</v>
      </c>
      <c r="B1211" s="3">
        <v>46191</v>
      </c>
      <c r="C1211" t="s">
        <v>14</v>
      </c>
      <c r="D1211" t="s">
        <v>131</v>
      </c>
      <c r="E1211" t="s">
        <v>16</v>
      </c>
      <c r="F1211" t="s">
        <v>17</v>
      </c>
      <c r="G1211" t="s">
        <v>23</v>
      </c>
      <c r="H1211" t="s">
        <v>19</v>
      </c>
      <c r="I1211" t="s">
        <v>20</v>
      </c>
      <c r="J1211">
        <v>120</v>
      </c>
      <c r="S1211">
        <v>9.6</v>
      </c>
      <c r="T1211">
        <v>0</v>
      </c>
      <c r="U1211">
        <v>1</v>
      </c>
      <c r="V1211">
        <v>0</v>
      </c>
    </row>
    <row r="1212" spans="1:22">
      <c r="A1212" t="s">
        <v>1220</v>
      </c>
      <c r="B1212" s="3">
        <v>46191</v>
      </c>
      <c r="C1212" t="s">
        <v>14</v>
      </c>
      <c r="D1212" t="s">
        <v>40</v>
      </c>
      <c r="E1212" t="s">
        <v>16</v>
      </c>
      <c r="F1212" t="s">
        <v>17</v>
      </c>
      <c r="G1212" t="s">
        <v>23</v>
      </c>
      <c r="H1212" t="s">
        <v>19</v>
      </c>
      <c r="I1212" t="s">
        <v>20</v>
      </c>
      <c r="J1212">
        <v>120</v>
      </c>
      <c r="S1212">
        <v>9.6</v>
      </c>
      <c r="T1212">
        <v>0</v>
      </c>
      <c r="U1212">
        <v>1</v>
      </c>
      <c r="V1212">
        <v>0</v>
      </c>
    </row>
    <row r="1213" spans="1:22">
      <c r="A1213" t="s">
        <v>1221</v>
      </c>
      <c r="B1213" s="3">
        <v>46191</v>
      </c>
      <c r="C1213" t="s">
        <v>14</v>
      </c>
      <c r="D1213" t="s">
        <v>34</v>
      </c>
      <c r="E1213" t="s">
        <v>16</v>
      </c>
      <c r="F1213" t="s">
        <v>17</v>
      </c>
      <c r="G1213" t="s">
        <v>32</v>
      </c>
      <c r="H1213" t="s">
        <v>24</v>
      </c>
      <c r="I1213" t="s">
        <v>20</v>
      </c>
      <c r="J1213">
        <v>300</v>
      </c>
      <c r="S1213">
        <v>0</v>
      </c>
      <c r="T1213">
        <v>0</v>
      </c>
      <c r="U1213">
        <v>0</v>
      </c>
      <c r="V1213">
        <v>0</v>
      </c>
    </row>
    <row r="1214" spans="1:22">
      <c r="A1214" t="s">
        <v>1222</v>
      </c>
      <c r="B1214" s="3">
        <v>46191</v>
      </c>
      <c r="C1214" t="s">
        <v>14</v>
      </c>
      <c r="D1214" t="s">
        <v>22</v>
      </c>
      <c r="E1214" t="s">
        <v>16</v>
      </c>
      <c r="F1214" t="s">
        <v>17</v>
      </c>
      <c r="G1214" t="s">
        <v>18</v>
      </c>
      <c r="H1214" t="s">
        <v>19</v>
      </c>
      <c r="I1214" t="s">
        <v>20</v>
      </c>
      <c r="J1214">
        <v>200</v>
      </c>
      <c r="S1214">
        <v>20</v>
      </c>
      <c r="T1214">
        <v>0</v>
      </c>
      <c r="U1214">
        <v>1</v>
      </c>
      <c r="V1214">
        <v>0</v>
      </c>
    </row>
    <row r="1215" spans="1:22">
      <c r="A1215" t="s">
        <v>1223</v>
      </c>
      <c r="B1215" s="3">
        <v>46191</v>
      </c>
      <c r="C1215" t="s">
        <v>14</v>
      </c>
      <c r="D1215" t="s">
        <v>42</v>
      </c>
      <c r="E1215" t="s">
        <v>16</v>
      </c>
      <c r="F1215" t="s">
        <v>17</v>
      </c>
      <c r="G1215" t="s">
        <v>18</v>
      </c>
      <c r="H1215" t="s">
        <v>19</v>
      </c>
      <c r="I1215" t="s">
        <v>20</v>
      </c>
      <c r="J1215">
        <v>200</v>
      </c>
      <c r="S1215">
        <v>20</v>
      </c>
      <c r="T1215">
        <v>0</v>
      </c>
      <c r="U1215">
        <v>1</v>
      </c>
      <c r="V1215">
        <v>0</v>
      </c>
    </row>
    <row r="1216" spans="1:22">
      <c r="A1216" t="s">
        <v>1224</v>
      </c>
      <c r="B1216" s="3">
        <v>46191</v>
      </c>
      <c r="C1216" t="s">
        <v>14</v>
      </c>
      <c r="D1216" t="s">
        <v>131</v>
      </c>
      <c r="E1216" t="s">
        <v>16</v>
      </c>
      <c r="F1216" t="s">
        <v>35</v>
      </c>
      <c r="G1216" t="s">
        <v>18</v>
      </c>
      <c r="H1216" t="s">
        <v>19</v>
      </c>
      <c r="I1216" t="s">
        <v>20</v>
      </c>
      <c r="J1216">
        <v>200</v>
      </c>
      <c r="S1216">
        <v>6</v>
      </c>
      <c r="T1216">
        <v>0</v>
      </c>
      <c r="U1216">
        <v>0</v>
      </c>
      <c r="V1216">
        <v>0</v>
      </c>
    </row>
    <row r="1217" spans="1:22">
      <c r="A1217" t="s">
        <v>1225</v>
      </c>
      <c r="B1217" s="3">
        <v>46191</v>
      </c>
      <c r="C1217" t="s">
        <v>14</v>
      </c>
      <c r="D1217" t="s">
        <v>31</v>
      </c>
      <c r="E1217" t="s">
        <v>16</v>
      </c>
      <c r="F1217" t="s">
        <v>17</v>
      </c>
      <c r="G1217" t="s">
        <v>32</v>
      </c>
      <c r="H1217" t="s">
        <v>19</v>
      </c>
      <c r="I1217" t="s">
        <v>20</v>
      </c>
      <c r="J1217">
        <v>300</v>
      </c>
      <c r="S1217">
        <v>36</v>
      </c>
      <c r="T1217">
        <v>0</v>
      </c>
      <c r="U1217">
        <v>1</v>
      </c>
      <c r="V1217">
        <v>0</v>
      </c>
    </row>
    <row r="1218" spans="1:22">
      <c r="A1218" t="s">
        <v>1226</v>
      </c>
      <c r="B1218" s="3">
        <v>46191</v>
      </c>
      <c r="C1218" t="s">
        <v>14</v>
      </c>
      <c r="D1218" t="s">
        <v>22</v>
      </c>
      <c r="E1218" t="s">
        <v>16</v>
      </c>
      <c r="F1218" t="s">
        <v>17</v>
      </c>
      <c r="G1218" t="s">
        <v>23</v>
      </c>
      <c r="H1218" t="s">
        <v>19</v>
      </c>
      <c r="I1218" t="s">
        <v>20</v>
      </c>
      <c r="J1218">
        <v>102</v>
      </c>
      <c r="L1218" t="s">
        <v>29</v>
      </c>
      <c r="S1218">
        <v>8.16</v>
      </c>
      <c r="T1218">
        <v>0</v>
      </c>
      <c r="U1218">
        <v>1</v>
      </c>
      <c r="V1218">
        <v>0</v>
      </c>
    </row>
    <row r="1219" spans="1:22">
      <c r="A1219" t="s">
        <v>1227</v>
      </c>
      <c r="B1219" s="3">
        <v>46191</v>
      </c>
      <c r="C1219" t="s">
        <v>14</v>
      </c>
      <c r="D1219" t="s">
        <v>31</v>
      </c>
      <c r="E1219" t="s">
        <v>16</v>
      </c>
      <c r="F1219" t="s">
        <v>17</v>
      </c>
      <c r="G1219" t="s">
        <v>23</v>
      </c>
      <c r="H1219" t="s">
        <v>19</v>
      </c>
      <c r="I1219" t="s">
        <v>20</v>
      </c>
      <c r="J1219">
        <v>120</v>
      </c>
      <c r="S1219">
        <v>9.6</v>
      </c>
      <c r="T1219">
        <v>0</v>
      </c>
      <c r="U1219">
        <v>1</v>
      </c>
      <c r="V1219">
        <v>0</v>
      </c>
    </row>
    <row r="1220" spans="1:22">
      <c r="A1220" t="s">
        <v>1228</v>
      </c>
      <c r="B1220" s="3">
        <v>46191</v>
      </c>
      <c r="C1220" t="s">
        <v>14</v>
      </c>
      <c r="D1220" t="s">
        <v>210</v>
      </c>
      <c r="E1220" t="s">
        <v>16</v>
      </c>
      <c r="F1220" t="s">
        <v>17</v>
      </c>
      <c r="G1220" t="s">
        <v>32</v>
      </c>
      <c r="H1220" t="s">
        <v>19</v>
      </c>
      <c r="I1220" t="s">
        <v>20</v>
      </c>
      <c r="J1220">
        <v>300</v>
      </c>
      <c r="S1220">
        <v>36</v>
      </c>
      <c r="T1220">
        <v>0</v>
      </c>
      <c r="U1220">
        <v>1</v>
      </c>
      <c r="V1220">
        <v>0</v>
      </c>
    </row>
    <row r="1221" spans="1:22">
      <c r="A1221" t="s">
        <v>1229</v>
      </c>
      <c r="B1221" s="3">
        <v>46191</v>
      </c>
      <c r="C1221" t="s">
        <v>14</v>
      </c>
      <c r="D1221" t="s">
        <v>131</v>
      </c>
      <c r="E1221" t="s">
        <v>16</v>
      </c>
      <c r="F1221" t="s">
        <v>35</v>
      </c>
      <c r="G1221" t="s">
        <v>32</v>
      </c>
      <c r="H1221" t="s">
        <v>19</v>
      </c>
      <c r="I1221" t="s">
        <v>20</v>
      </c>
      <c r="J1221">
        <v>300</v>
      </c>
      <c r="S1221">
        <v>9</v>
      </c>
      <c r="T1221">
        <v>0</v>
      </c>
      <c r="U1221">
        <v>0</v>
      </c>
      <c r="V1221">
        <v>0</v>
      </c>
    </row>
    <row r="1222" spans="1:22">
      <c r="A1222" t="s">
        <v>1230</v>
      </c>
      <c r="B1222" s="3">
        <v>46191</v>
      </c>
      <c r="C1222" t="s">
        <v>14</v>
      </c>
      <c r="D1222" t="s">
        <v>131</v>
      </c>
      <c r="E1222" t="s">
        <v>16</v>
      </c>
      <c r="F1222" t="s">
        <v>17</v>
      </c>
      <c r="G1222" t="s">
        <v>23</v>
      </c>
      <c r="H1222" t="s">
        <v>19</v>
      </c>
      <c r="I1222" t="s">
        <v>20</v>
      </c>
      <c r="J1222">
        <v>120</v>
      </c>
      <c r="S1222">
        <v>9.6</v>
      </c>
      <c r="T1222">
        <v>0</v>
      </c>
      <c r="U1222">
        <v>1</v>
      </c>
      <c r="V1222">
        <v>0</v>
      </c>
    </row>
    <row r="1223" spans="1:22">
      <c r="A1223" t="s">
        <v>1231</v>
      </c>
      <c r="B1223" s="3">
        <v>46191</v>
      </c>
      <c r="C1223" t="s">
        <v>14</v>
      </c>
      <c r="D1223" t="s">
        <v>37</v>
      </c>
      <c r="E1223" t="s">
        <v>16</v>
      </c>
      <c r="F1223" t="s">
        <v>17</v>
      </c>
      <c r="G1223" t="s">
        <v>32</v>
      </c>
      <c r="H1223" t="s">
        <v>19</v>
      </c>
      <c r="I1223" t="s">
        <v>20</v>
      </c>
      <c r="J1223">
        <v>300</v>
      </c>
      <c r="S1223">
        <v>36</v>
      </c>
      <c r="T1223">
        <v>0</v>
      </c>
      <c r="U1223">
        <v>1</v>
      </c>
      <c r="V1223">
        <v>0</v>
      </c>
    </row>
    <row r="1224" spans="1:22">
      <c r="A1224" t="s">
        <v>1232</v>
      </c>
      <c r="B1224" s="3">
        <v>46191</v>
      </c>
      <c r="C1224" t="s">
        <v>14</v>
      </c>
      <c r="D1224" t="s">
        <v>26</v>
      </c>
      <c r="E1224" t="s">
        <v>16</v>
      </c>
      <c r="F1224" t="s">
        <v>17</v>
      </c>
      <c r="G1224" t="s">
        <v>23</v>
      </c>
      <c r="H1224" t="s">
        <v>19</v>
      </c>
      <c r="I1224" t="s">
        <v>20</v>
      </c>
      <c r="J1224">
        <v>120</v>
      </c>
      <c r="S1224">
        <v>9.6</v>
      </c>
      <c r="T1224">
        <v>0</v>
      </c>
      <c r="U1224">
        <v>1</v>
      </c>
      <c r="V1224">
        <v>0</v>
      </c>
    </row>
    <row r="1225" spans="1:22">
      <c r="A1225" t="s">
        <v>1233</v>
      </c>
      <c r="B1225" s="3">
        <v>46191</v>
      </c>
      <c r="C1225" t="s">
        <v>14</v>
      </c>
      <c r="D1225" t="s">
        <v>42</v>
      </c>
      <c r="E1225" t="s">
        <v>16</v>
      </c>
      <c r="F1225" t="s">
        <v>17</v>
      </c>
      <c r="G1225" t="s">
        <v>18</v>
      </c>
      <c r="H1225" t="s">
        <v>19</v>
      </c>
      <c r="I1225" t="s">
        <v>20</v>
      </c>
      <c r="J1225">
        <v>150</v>
      </c>
      <c r="L1225" t="s">
        <v>29</v>
      </c>
      <c r="S1225">
        <v>15</v>
      </c>
      <c r="T1225">
        <v>0</v>
      </c>
      <c r="U1225">
        <v>1</v>
      </c>
      <c r="V1225">
        <v>0</v>
      </c>
    </row>
    <row r="1226" spans="1:22">
      <c r="A1226" t="s">
        <v>1234</v>
      </c>
      <c r="B1226" s="3">
        <v>46191</v>
      </c>
      <c r="C1226" t="s">
        <v>14</v>
      </c>
      <c r="D1226" t="s">
        <v>26</v>
      </c>
      <c r="E1226" t="s">
        <v>16</v>
      </c>
      <c r="F1226" t="s">
        <v>17</v>
      </c>
      <c r="G1226" t="s">
        <v>18</v>
      </c>
      <c r="H1226" t="s">
        <v>19</v>
      </c>
      <c r="I1226" t="s">
        <v>20</v>
      </c>
      <c r="J1226">
        <v>200</v>
      </c>
      <c r="S1226">
        <v>20</v>
      </c>
      <c r="T1226">
        <v>0</v>
      </c>
      <c r="U1226">
        <v>1</v>
      </c>
      <c r="V1226">
        <v>0</v>
      </c>
    </row>
    <row r="1227" spans="1:22">
      <c r="A1227" t="s">
        <v>1235</v>
      </c>
      <c r="B1227" s="3">
        <v>46191</v>
      </c>
      <c r="C1227" t="s">
        <v>14</v>
      </c>
      <c r="D1227" t="s">
        <v>210</v>
      </c>
      <c r="E1227" t="s">
        <v>16</v>
      </c>
      <c r="F1227" t="s">
        <v>17</v>
      </c>
      <c r="G1227" t="s">
        <v>23</v>
      </c>
      <c r="H1227" t="s">
        <v>19</v>
      </c>
      <c r="I1227" t="s">
        <v>20</v>
      </c>
      <c r="J1227">
        <v>120</v>
      </c>
      <c r="S1227">
        <v>9.6</v>
      </c>
      <c r="T1227">
        <v>0</v>
      </c>
      <c r="U1227">
        <v>1</v>
      </c>
      <c r="V1227">
        <v>0</v>
      </c>
    </row>
    <row r="1228" spans="1:22">
      <c r="A1228" t="s">
        <v>1236</v>
      </c>
      <c r="B1228" s="3">
        <v>46191</v>
      </c>
      <c r="C1228" t="s">
        <v>47</v>
      </c>
      <c r="D1228" t="s">
        <v>55</v>
      </c>
      <c r="E1228" t="s">
        <v>16</v>
      </c>
      <c r="F1228" t="s">
        <v>35</v>
      </c>
      <c r="G1228" t="s">
        <v>32</v>
      </c>
      <c r="H1228" t="s">
        <v>19</v>
      </c>
      <c r="I1228" t="s">
        <v>20</v>
      </c>
      <c r="J1228">
        <v>300</v>
      </c>
      <c r="S1228">
        <v>9</v>
      </c>
      <c r="T1228">
        <v>0</v>
      </c>
      <c r="U1228">
        <v>0</v>
      </c>
      <c r="V1228">
        <v>0</v>
      </c>
    </row>
    <row r="1229" spans="1:22">
      <c r="A1229" t="s">
        <v>1237</v>
      </c>
      <c r="B1229" s="3">
        <v>46191</v>
      </c>
      <c r="C1229" t="s">
        <v>47</v>
      </c>
      <c r="D1229" t="s">
        <v>50</v>
      </c>
      <c r="E1229" t="s">
        <v>16</v>
      </c>
      <c r="F1229" t="s">
        <v>17</v>
      </c>
      <c r="G1229" t="s">
        <v>23</v>
      </c>
      <c r="H1229" t="s">
        <v>19</v>
      </c>
      <c r="I1229" t="s">
        <v>20</v>
      </c>
      <c r="J1229">
        <v>120</v>
      </c>
      <c r="S1229">
        <v>9.6</v>
      </c>
      <c r="T1229">
        <v>0</v>
      </c>
      <c r="U1229">
        <v>1</v>
      </c>
      <c r="V1229">
        <v>0</v>
      </c>
    </row>
    <row r="1230" spans="1:22">
      <c r="A1230" t="s">
        <v>1238</v>
      </c>
      <c r="B1230" s="3">
        <v>46191</v>
      </c>
      <c r="C1230" t="s">
        <v>47</v>
      </c>
      <c r="D1230" t="s">
        <v>148</v>
      </c>
      <c r="E1230" t="s">
        <v>16</v>
      </c>
      <c r="F1230" t="s">
        <v>17</v>
      </c>
      <c r="G1230" t="s">
        <v>32</v>
      </c>
      <c r="H1230" t="s">
        <v>19</v>
      </c>
      <c r="I1230" t="s">
        <v>20</v>
      </c>
      <c r="J1230">
        <v>300</v>
      </c>
      <c r="S1230">
        <v>36</v>
      </c>
      <c r="T1230">
        <v>0</v>
      </c>
      <c r="U1230">
        <v>1</v>
      </c>
      <c r="V1230">
        <v>0</v>
      </c>
    </row>
    <row r="1231" spans="1:22">
      <c r="A1231" t="s">
        <v>1239</v>
      </c>
      <c r="B1231" s="3">
        <v>46191</v>
      </c>
      <c r="C1231" t="s">
        <v>47</v>
      </c>
      <c r="D1231" t="s">
        <v>52</v>
      </c>
      <c r="E1231" t="s">
        <v>16</v>
      </c>
      <c r="F1231" t="s">
        <v>17</v>
      </c>
      <c r="G1231" t="s">
        <v>32</v>
      </c>
      <c r="H1231" t="s">
        <v>19</v>
      </c>
      <c r="I1231" t="s">
        <v>20</v>
      </c>
      <c r="J1231">
        <v>300</v>
      </c>
      <c r="S1231">
        <v>36</v>
      </c>
      <c r="T1231">
        <v>0</v>
      </c>
      <c r="U1231">
        <v>1</v>
      </c>
      <c r="V1231">
        <v>0</v>
      </c>
    </row>
    <row r="1232" spans="1:22">
      <c r="A1232" t="s">
        <v>1240</v>
      </c>
      <c r="B1232" s="3">
        <v>46191</v>
      </c>
      <c r="C1232" t="s">
        <v>47</v>
      </c>
      <c r="D1232" t="s">
        <v>48</v>
      </c>
      <c r="E1232" t="s">
        <v>16</v>
      </c>
      <c r="F1232" t="s">
        <v>17</v>
      </c>
      <c r="G1232" t="s">
        <v>18</v>
      </c>
      <c r="H1232" t="s">
        <v>24</v>
      </c>
      <c r="I1232" t="s">
        <v>74</v>
      </c>
      <c r="J1232">
        <v>200</v>
      </c>
      <c r="S1232">
        <v>0</v>
      </c>
      <c r="T1232">
        <v>0</v>
      </c>
      <c r="U1232">
        <v>0</v>
      </c>
      <c r="V1232">
        <v>0</v>
      </c>
    </row>
    <row r="1233" spans="1:22">
      <c r="A1233" t="s">
        <v>1241</v>
      </c>
      <c r="B1233" s="3">
        <v>46191</v>
      </c>
      <c r="C1233" t="s">
        <v>47</v>
      </c>
      <c r="D1233" t="s">
        <v>50</v>
      </c>
      <c r="E1233" t="s">
        <v>16</v>
      </c>
      <c r="F1233" t="s">
        <v>17</v>
      </c>
      <c r="G1233" t="s">
        <v>18</v>
      </c>
      <c r="H1233" t="s">
        <v>19</v>
      </c>
      <c r="I1233" t="s">
        <v>20</v>
      </c>
      <c r="J1233">
        <v>170</v>
      </c>
      <c r="L1233" t="s">
        <v>29</v>
      </c>
      <c r="S1233">
        <v>17</v>
      </c>
      <c r="T1233">
        <v>0</v>
      </c>
      <c r="U1233">
        <v>1</v>
      </c>
      <c r="V1233">
        <v>0</v>
      </c>
    </row>
    <row r="1234" spans="1:22">
      <c r="A1234" t="s">
        <v>1242</v>
      </c>
      <c r="B1234" s="3">
        <v>46191</v>
      </c>
      <c r="C1234" t="s">
        <v>47</v>
      </c>
      <c r="D1234" t="s">
        <v>50</v>
      </c>
      <c r="E1234" t="s">
        <v>16</v>
      </c>
      <c r="F1234" t="s">
        <v>17</v>
      </c>
      <c r="G1234" t="s">
        <v>32</v>
      </c>
      <c r="H1234" t="s">
        <v>19</v>
      </c>
      <c r="I1234" t="s">
        <v>20</v>
      </c>
      <c r="J1234">
        <v>300</v>
      </c>
      <c r="S1234">
        <v>36</v>
      </c>
      <c r="T1234">
        <v>0</v>
      </c>
      <c r="U1234">
        <v>1</v>
      </c>
      <c r="V1234">
        <v>0</v>
      </c>
    </row>
    <row r="1235" spans="1:22">
      <c r="A1235" t="s">
        <v>1243</v>
      </c>
      <c r="B1235" s="3">
        <v>46191</v>
      </c>
      <c r="C1235" t="s">
        <v>47</v>
      </c>
      <c r="D1235" t="s">
        <v>148</v>
      </c>
      <c r="E1235" t="s">
        <v>16</v>
      </c>
      <c r="F1235" t="s">
        <v>17</v>
      </c>
      <c r="G1235" t="s">
        <v>18</v>
      </c>
      <c r="H1235" t="s">
        <v>19</v>
      </c>
      <c r="I1235" t="s">
        <v>20</v>
      </c>
      <c r="J1235">
        <v>200</v>
      </c>
      <c r="S1235">
        <v>20</v>
      </c>
      <c r="T1235">
        <v>0</v>
      </c>
      <c r="U1235">
        <v>1</v>
      </c>
      <c r="V1235">
        <v>0</v>
      </c>
    </row>
    <row r="1236" spans="1:22">
      <c r="A1236" t="s">
        <v>1244</v>
      </c>
      <c r="B1236" s="3">
        <v>46191</v>
      </c>
      <c r="C1236" t="s">
        <v>47</v>
      </c>
      <c r="D1236" t="s">
        <v>152</v>
      </c>
      <c r="E1236" t="s">
        <v>16</v>
      </c>
      <c r="F1236" t="s">
        <v>17</v>
      </c>
      <c r="G1236" t="s">
        <v>23</v>
      </c>
      <c r="H1236" t="s">
        <v>24</v>
      </c>
      <c r="I1236" t="s">
        <v>20</v>
      </c>
      <c r="J1236">
        <v>120</v>
      </c>
      <c r="S1236">
        <v>0</v>
      </c>
      <c r="T1236">
        <v>0</v>
      </c>
      <c r="U1236">
        <v>0</v>
      </c>
      <c r="V1236">
        <v>0</v>
      </c>
    </row>
    <row r="1237" spans="1:22">
      <c r="A1237" t="s">
        <v>1245</v>
      </c>
      <c r="B1237" s="3">
        <v>46191</v>
      </c>
      <c r="C1237" t="s">
        <v>47</v>
      </c>
      <c r="D1237" t="s">
        <v>50</v>
      </c>
      <c r="E1237" t="s">
        <v>16</v>
      </c>
      <c r="F1237" t="s">
        <v>17</v>
      </c>
      <c r="G1237" t="s">
        <v>18</v>
      </c>
      <c r="H1237" t="s">
        <v>19</v>
      </c>
      <c r="I1237" t="s">
        <v>20</v>
      </c>
      <c r="J1237">
        <v>200</v>
      </c>
      <c r="S1237">
        <v>20</v>
      </c>
      <c r="T1237">
        <v>0</v>
      </c>
      <c r="U1237">
        <v>1</v>
      </c>
      <c r="V1237">
        <v>0</v>
      </c>
    </row>
    <row r="1238" spans="1:22">
      <c r="A1238" t="s">
        <v>1246</v>
      </c>
      <c r="B1238" s="3">
        <v>46191</v>
      </c>
      <c r="C1238" t="s">
        <v>47</v>
      </c>
      <c r="D1238" t="s">
        <v>73</v>
      </c>
      <c r="E1238" t="s">
        <v>16</v>
      </c>
      <c r="F1238" t="s">
        <v>17</v>
      </c>
      <c r="G1238" t="s">
        <v>32</v>
      </c>
      <c r="H1238" t="s">
        <v>19</v>
      </c>
      <c r="I1238" t="s">
        <v>20</v>
      </c>
      <c r="J1238">
        <v>300</v>
      </c>
      <c r="S1238">
        <v>36</v>
      </c>
      <c r="T1238">
        <v>0</v>
      </c>
      <c r="U1238">
        <v>1</v>
      </c>
      <c r="V1238">
        <v>0</v>
      </c>
    </row>
    <row r="1239" spans="1:22">
      <c r="A1239" t="s">
        <v>1247</v>
      </c>
      <c r="B1239" s="3">
        <v>46191</v>
      </c>
      <c r="C1239" t="s">
        <v>47</v>
      </c>
      <c r="D1239" t="s">
        <v>55</v>
      </c>
      <c r="E1239" t="s">
        <v>16</v>
      </c>
      <c r="F1239" t="s">
        <v>17</v>
      </c>
      <c r="G1239" t="s">
        <v>23</v>
      </c>
      <c r="H1239" t="s">
        <v>19</v>
      </c>
      <c r="I1239" t="s">
        <v>20</v>
      </c>
      <c r="J1239">
        <v>120</v>
      </c>
      <c r="S1239">
        <v>9.6</v>
      </c>
      <c r="T1239">
        <v>0</v>
      </c>
      <c r="U1239">
        <v>1</v>
      </c>
      <c r="V1239">
        <v>0</v>
      </c>
    </row>
    <row r="1240" spans="1:22">
      <c r="A1240" t="s">
        <v>1248</v>
      </c>
      <c r="B1240" s="3">
        <v>46191</v>
      </c>
      <c r="C1240" t="s">
        <v>47</v>
      </c>
      <c r="D1240" t="s">
        <v>71</v>
      </c>
      <c r="E1240" t="s">
        <v>16</v>
      </c>
      <c r="F1240" t="s">
        <v>17</v>
      </c>
      <c r="G1240" t="s">
        <v>32</v>
      </c>
      <c r="H1240" t="s">
        <v>19</v>
      </c>
      <c r="I1240" t="s">
        <v>20</v>
      </c>
      <c r="J1240">
        <v>300</v>
      </c>
      <c r="S1240">
        <v>36</v>
      </c>
      <c r="T1240">
        <v>0</v>
      </c>
      <c r="U1240">
        <v>1</v>
      </c>
      <c r="V1240">
        <v>0</v>
      </c>
    </row>
    <row r="1241" spans="1:22">
      <c r="A1241" t="s">
        <v>1249</v>
      </c>
      <c r="B1241" s="3">
        <v>46191</v>
      </c>
      <c r="C1241" t="s">
        <v>47</v>
      </c>
      <c r="D1241" t="s">
        <v>66</v>
      </c>
      <c r="E1241" t="s">
        <v>16</v>
      </c>
      <c r="F1241" t="s">
        <v>17</v>
      </c>
      <c r="G1241" t="s">
        <v>18</v>
      </c>
      <c r="H1241" t="s">
        <v>19</v>
      </c>
      <c r="I1241" t="s">
        <v>20</v>
      </c>
      <c r="J1241">
        <v>200</v>
      </c>
      <c r="S1241">
        <v>20</v>
      </c>
      <c r="T1241">
        <v>0</v>
      </c>
      <c r="U1241">
        <v>1</v>
      </c>
      <c r="V1241">
        <v>0</v>
      </c>
    </row>
    <row r="1242" spans="1:22">
      <c r="A1242" t="s">
        <v>1250</v>
      </c>
      <c r="B1242" s="3">
        <v>46191</v>
      </c>
      <c r="C1242" t="s">
        <v>47</v>
      </c>
      <c r="D1242" t="s">
        <v>66</v>
      </c>
      <c r="E1242" t="s">
        <v>16</v>
      </c>
      <c r="F1242" t="s">
        <v>17</v>
      </c>
      <c r="G1242" t="s">
        <v>32</v>
      </c>
      <c r="H1242" t="s">
        <v>19</v>
      </c>
      <c r="I1242" t="s">
        <v>20</v>
      </c>
      <c r="J1242">
        <v>255</v>
      </c>
      <c r="L1242" t="s">
        <v>29</v>
      </c>
      <c r="S1242">
        <v>30.6</v>
      </c>
      <c r="T1242">
        <v>0</v>
      </c>
      <c r="U1242">
        <v>1</v>
      </c>
      <c r="V1242">
        <v>0</v>
      </c>
    </row>
    <row r="1243" spans="1:22">
      <c r="A1243" t="s">
        <v>1251</v>
      </c>
      <c r="B1243" s="3">
        <v>46191</v>
      </c>
      <c r="C1243" t="s">
        <v>78</v>
      </c>
      <c r="D1243" t="s">
        <v>79</v>
      </c>
      <c r="E1243" t="s">
        <v>16</v>
      </c>
      <c r="F1243" t="s">
        <v>17</v>
      </c>
      <c r="G1243" t="s">
        <v>32</v>
      </c>
      <c r="H1243" t="s">
        <v>19</v>
      </c>
      <c r="I1243" t="s">
        <v>20</v>
      </c>
      <c r="J1243">
        <v>300</v>
      </c>
      <c r="S1243">
        <v>36</v>
      </c>
      <c r="T1243">
        <v>0</v>
      </c>
      <c r="U1243">
        <v>1</v>
      </c>
      <c r="V1243">
        <v>0</v>
      </c>
    </row>
    <row r="1244" spans="1:22">
      <c r="A1244" t="s">
        <v>1252</v>
      </c>
      <c r="B1244" s="3">
        <v>46191</v>
      </c>
      <c r="C1244" t="s">
        <v>78</v>
      </c>
      <c r="D1244" t="s">
        <v>89</v>
      </c>
      <c r="E1244" t="s">
        <v>16</v>
      </c>
      <c r="F1244" t="s">
        <v>17</v>
      </c>
      <c r="G1244" t="s">
        <v>32</v>
      </c>
      <c r="H1244" t="s">
        <v>19</v>
      </c>
      <c r="I1244" t="s">
        <v>20</v>
      </c>
      <c r="J1244">
        <v>300</v>
      </c>
      <c r="S1244">
        <v>36</v>
      </c>
      <c r="T1244">
        <v>0</v>
      </c>
      <c r="U1244">
        <v>1</v>
      </c>
      <c r="V1244">
        <v>0</v>
      </c>
    </row>
    <row r="1245" spans="1:22">
      <c r="A1245" t="s">
        <v>1253</v>
      </c>
      <c r="B1245" s="3">
        <v>46191</v>
      </c>
      <c r="C1245" t="s">
        <v>78</v>
      </c>
      <c r="D1245" t="s">
        <v>87</v>
      </c>
      <c r="E1245" t="s">
        <v>16</v>
      </c>
      <c r="F1245" t="s">
        <v>17</v>
      </c>
      <c r="G1245" t="s">
        <v>32</v>
      </c>
      <c r="H1245" t="s">
        <v>19</v>
      </c>
      <c r="I1245" t="s">
        <v>20</v>
      </c>
      <c r="J1245">
        <v>300</v>
      </c>
      <c r="S1245">
        <v>36</v>
      </c>
      <c r="T1245">
        <v>0</v>
      </c>
      <c r="U1245">
        <v>1</v>
      </c>
      <c r="V1245">
        <v>0</v>
      </c>
    </row>
    <row r="1246" spans="1:22">
      <c r="A1246" t="s">
        <v>1254</v>
      </c>
      <c r="B1246" s="3">
        <v>46191</v>
      </c>
      <c r="C1246" t="s">
        <v>78</v>
      </c>
      <c r="D1246" t="s">
        <v>79</v>
      </c>
      <c r="E1246" t="s">
        <v>16</v>
      </c>
      <c r="F1246" t="s">
        <v>17</v>
      </c>
      <c r="G1246" t="s">
        <v>18</v>
      </c>
      <c r="H1246" t="s">
        <v>19</v>
      </c>
      <c r="I1246" t="s">
        <v>20</v>
      </c>
      <c r="J1246">
        <v>200</v>
      </c>
      <c r="S1246">
        <v>20</v>
      </c>
      <c r="T1246">
        <v>0</v>
      </c>
      <c r="U1246">
        <v>1</v>
      </c>
      <c r="V1246">
        <v>0</v>
      </c>
    </row>
    <row r="1247" spans="1:22">
      <c r="A1247" t="s">
        <v>1255</v>
      </c>
      <c r="B1247" s="3">
        <v>46191</v>
      </c>
      <c r="C1247" t="s">
        <v>78</v>
      </c>
      <c r="D1247" t="s">
        <v>89</v>
      </c>
      <c r="E1247" t="s">
        <v>16</v>
      </c>
      <c r="F1247" t="s">
        <v>17</v>
      </c>
      <c r="G1247" t="s">
        <v>18</v>
      </c>
      <c r="H1247" t="s">
        <v>19</v>
      </c>
      <c r="I1247" t="s">
        <v>20</v>
      </c>
      <c r="J1247">
        <v>200</v>
      </c>
      <c r="S1247">
        <v>20</v>
      </c>
      <c r="T1247">
        <v>0</v>
      </c>
      <c r="U1247">
        <v>1</v>
      </c>
      <c r="V1247">
        <v>0</v>
      </c>
    </row>
    <row r="1248" spans="1:22">
      <c r="A1248" t="s">
        <v>1256</v>
      </c>
      <c r="B1248" s="3">
        <v>46191</v>
      </c>
      <c r="C1248" t="s">
        <v>78</v>
      </c>
      <c r="D1248" t="s">
        <v>79</v>
      </c>
      <c r="E1248" t="s">
        <v>16</v>
      </c>
      <c r="F1248" t="s">
        <v>35</v>
      </c>
      <c r="G1248" t="s">
        <v>32</v>
      </c>
      <c r="H1248" t="s">
        <v>19</v>
      </c>
      <c r="I1248" t="s">
        <v>20</v>
      </c>
      <c r="J1248">
        <v>300</v>
      </c>
      <c r="S1248">
        <v>9</v>
      </c>
      <c r="T1248">
        <v>0</v>
      </c>
      <c r="U1248">
        <v>0</v>
      </c>
      <c r="V1248">
        <v>0</v>
      </c>
    </row>
    <row r="1249" spans="1:22">
      <c r="A1249" t="s">
        <v>1257</v>
      </c>
      <c r="B1249" s="3">
        <v>46191</v>
      </c>
      <c r="C1249" t="s">
        <v>78</v>
      </c>
      <c r="D1249" t="s">
        <v>161</v>
      </c>
      <c r="E1249" t="s">
        <v>16</v>
      </c>
      <c r="F1249" t="s">
        <v>17</v>
      </c>
      <c r="G1249" t="s">
        <v>18</v>
      </c>
      <c r="H1249" t="s">
        <v>19</v>
      </c>
      <c r="I1249" t="s">
        <v>20</v>
      </c>
      <c r="J1249">
        <v>200</v>
      </c>
      <c r="S1249">
        <v>20</v>
      </c>
      <c r="T1249">
        <v>0</v>
      </c>
      <c r="U1249">
        <v>1</v>
      </c>
      <c r="V1249">
        <v>0</v>
      </c>
    </row>
    <row r="1250" spans="1:22">
      <c r="A1250" t="s">
        <v>1258</v>
      </c>
      <c r="B1250" s="3">
        <v>46191</v>
      </c>
      <c r="C1250" t="s">
        <v>78</v>
      </c>
      <c r="D1250" t="s">
        <v>81</v>
      </c>
      <c r="E1250" t="s">
        <v>16</v>
      </c>
      <c r="F1250" t="s">
        <v>17</v>
      </c>
      <c r="G1250" t="s">
        <v>23</v>
      </c>
      <c r="H1250" t="s">
        <v>19</v>
      </c>
      <c r="I1250" t="s">
        <v>20</v>
      </c>
      <c r="J1250">
        <v>120</v>
      </c>
      <c r="S1250">
        <v>9.6</v>
      </c>
      <c r="T1250">
        <v>0</v>
      </c>
      <c r="U1250">
        <v>1</v>
      </c>
      <c r="V1250">
        <v>0</v>
      </c>
    </row>
    <row r="1251" spans="1:22">
      <c r="A1251" t="s">
        <v>1259</v>
      </c>
      <c r="B1251" s="3">
        <v>46191</v>
      </c>
      <c r="C1251" t="s">
        <v>78</v>
      </c>
      <c r="D1251" t="s">
        <v>163</v>
      </c>
      <c r="E1251" t="s">
        <v>16</v>
      </c>
      <c r="F1251" t="s">
        <v>17</v>
      </c>
      <c r="G1251" t="s">
        <v>18</v>
      </c>
      <c r="H1251" t="s">
        <v>19</v>
      </c>
      <c r="I1251" t="s">
        <v>20</v>
      </c>
      <c r="J1251">
        <v>200</v>
      </c>
      <c r="S1251">
        <v>20</v>
      </c>
      <c r="T1251">
        <v>0</v>
      </c>
      <c r="U1251">
        <v>1</v>
      </c>
      <c r="V1251">
        <v>0</v>
      </c>
    </row>
    <row r="1252" spans="1:22">
      <c r="A1252" t="s">
        <v>1260</v>
      </c>
      <c r="B1252" s="3">
        <v>46191</v>
      </c>
      <c r="C1252" t="s">
        <v>78</v>
      </c>
      <c r="D1252" t="s">
        <v>102</v>
      </c>
      <c r="E1252" t="s">
        <v>16</v>
      </c>
      <c r="F1252" t="s">
        <v>35</v>
      </c>
      <c r="G1252" t="s">
        <v>23</v>
      </c>
      <c r="H1252" t="s">
        <v>19</v>
      </c>
      <c r="I1252" t="s">
        <v>20</v>
      </c>
      <c r="J1252">
        <v>120</v>
      </c>
      <c r="S1252">
        <v>3.6</v>
      </c>
      <c r="T1252">
        <v>0</v>
      </c>
      <c r="U1252">
        <v>0</v>
      </c>
      <c r="V1252">
        <v>0</v>
      </c>
    </row>
    <row r="1253" spans="1:22">
      <c r="A1253" t="s">
        <v>1261</v>
      </c>
      <c r="B1253" s="3">
        <v>46191</v>
      </c>
      <c r="C1253" t="s">
        <v>78</v>
      </c>
      <c r="D1253" t="s">
        <v>97</v>
      </c>
      <c r="E1253" t="s">
        <v>16</v>
      </c>
      <c r="F1253" t="s">
        <v>17</v>
      </c>
      <c r="G1253" t="s">
        <v>23</v>
      </c>
      <c r="H1253" t="s">
        <v>19</v>
      </c>
      <c r="I1253" t="s">
        <v>20</v>
      </c>
      <c r="J1253">
        <v>120</v>
      </c>
      <c r="S1253">
        <v>9.6</v>
      </c>
      <c r="T1253">
        <v>0</v>
      </c>
      <c r="U1253">
        <v>1</v>
      </c>
      <c r="V1253">
        <v>0</v>
      </c>
    </row>
    <row r="1254" spans="1:22">
      <c r="A1254" t="s">
        <v>1262</v>
      </c>
      <c r="B1254" s="3">
        <v>46191</v>
      </c>
      <c r="C1254" t="s">
        <v>78</v>
      </c>
      <c r="D1254" t="s">
        <v>87</v>
      </c>
      <c r="E1254" t="s">
        <v>16</v>
      </c>
      <c r="F1254" t="s">
        <v>17</v>
      </c>
      <c r="G1254" t="s">
        <v>32</v>
      </c>
      <c r="H1254" t="s">
        <v>19</v>
      </c>
      <c r="I1254" t="s">
        <v>20</v>
      </c>
      <c r="J1254">
        <v>300</v>
      </c>
      <c r="S1254">
        <v>36</v>
      </c>
      <c r="T1254">
        <v>0</v>
      </c>
      <c r="U1254">
        <v>1</v>
      </c>
      <c r="V1254">
        <v>0</v>
      </c>
    </row>
    <row r="1255" spans="1:22">
      <c r="A1255" t="s">
        <v>1263</v>
      </c>
      <c r="B1255" s="3">
        <v>46191</v>
      </c>
      <c r="C1255" t="s">
        <v>78</v>
      </c>
      <c r="D1255" t="s">
        <v>83</v>
      </c>
      <c r="E1255" t="s">
        <v>16</v>
      </c>
      <c r="F1255" t="s">
        <v>17</v>
      </c>
      <c r="G1255" t="s">
        <v>23</v>
      </c>
      <c r="H1255" t="s">
        <v>19</v>
      </c>
      <c r="I1255" t="s">
        <v>20</v>
      </c>
      <c r="J1255">
        <v>120</v>
      </c>
      <c r="S1255">
        <v>9.6</v>
      </c>
      <c r="T1255">
        <v>0</v>
      </c>
      <c r="U1255">
        <v>1</v>
      </c>
      <c r="V1255">
        <v>0</v>
      </c>
    </row>
    <row r="1256" spans="1:22">
      <c r="A1256" t="s">
        <v>1264</v>
      </c>
      <c r="B1256" s="3">
        <v>46191</v>
      </c>
      <c r="C1256" t="s">
        <v>78</v>
      </c>
      <c r="D1256" t="s">
        <v>161</v>
      </c>
      <c r="E1256" t="s">
        <v>16</v>
      </c>
      <c r="F1256" t="s">
        <v>17</v>
      </c>
      <c r="G1256" t="s">
        <v>32</v>
      </c>
      <c r="H1256" t="s">
        <v>19</v>
      </c>
      <c r="I1256" t="s">
        <v>20</v>
      </c>
      <c r="J1256">
        <v>300</v>
      </c>
      <c r="S1256">
        <v>36</v>
      </c>
      <c r="T1256">
        <v>0</v>
      </c>
      <c r="U1256">
        <v>1</v>
      </c>
      <c r="V1256">
        <v>0</v>
      </c>
    </row>
    <row r="1257" spans="1:22">
      <c r="A1257" t="s">
        <v>1265</v>
      </c>
      <c r="B1257" s="3">
        <v>46191</v>
      </c>
      <c r="C1257" t="s">
        <v>78</v>
      </c>
      <c r="D1257" t="s">
        <v>89</v>
      </c>
      <c r="E1257" t="s">
        <v>16</v>
      </c>
      <c r="F1257" t="s">
        <v>35</v>
      </c>
      <c r="G1257" t="s">
        <v>23</v>
      </c>
      <c r="H1257" t="s">
        <v>19</v>
      </c>
      <c r="I1257" t="s">
        <v>20</v>
      </c>
      <c r="J1257">
        <v>120</v>
      </c>
      <c r="S1257">
        <v>3.6</v>
      </c>
      <c r="T1257">
        <v>0</v>
      </c>
      <c r="U1257">
        <v>0</v>
      </c>
      <c r="V1257">
        <v>0</v>
      </c>
    </row>
    <row r="1258" spans="1:22">
      <c r="A1258" t="s">
        <v>1266</v>
      </c>
      <c r="B1258" s="3">
        <v>46191</v>
      </c>
      <c r="C1258" t="s">
        <v>78</v>
      </c>
      <c r="D1258" t="s">
        <v>93</v>
      </c>
      <c r="E1258" t="s">
        <v>16</v>
      </c>
      <c r="F1258" t="s">
        <v>17</v>
      </c>
      <c r="G1258" t="s">
        <v>18</v>
      </c>
      <c r="H1258" t="s">
        <v>24</v>
      </c>
      <c r="I1258" t="s">
        <v>20</v>
      </c>
      <c r="J1258">
        <v>200</v>
      </c>
      <c r="S1258">
        <v>0</v>
      </c>
      <c r="T1258">
        <v>0</v>
      </c>
      <c r="U1258">
        <v>0</v>
      </c>
      <c r="V1258">
        <v>0</v>
      </c>
    </row>
    <row r="1259" spans="1:22">
      <c r="A1259" t="s">
        <v>1267</v>
      </c>
      <c r="B1259" s="3">
        <v>46191</v>
      </c>
      <c r="C1259" t="s">
        <v>78</v>
      </c>
      <c r="D1259" t="s">
        <v>161</v>
      </c>
      <c r="E1259" t="s">
        <v>16</v>
      </c>
      <c r="F1259" t="s">
        <v>35</v>
      </c>
      <c r="G1259" t="s">
        <v>32</v>
      </c>
      <c r="H1259" t="s">
        <v>24</v>
      </c>
      <c r="I1259" t="s">
        <v>20</v>
      </c>
      <c r="J1259">
        <v>300</v>
      </c>
      <c r="S1259">
        <v>0</v>
      </c>
      <c r="T1259">
        <v>0</v>
      </c>
      <c r="U1259">
        <v>0</v>
      </c>
      <c r="V1259">
        <v>0</v>
      </c>
    </row>
    <row r="1260" spans="1:22">
      <c r="A1260" t="s">
        <v>1268</v>
      </c>
      <c r="B1260" s="3">
        <v>46191</v>
      </c>
      <c r="C1260" t="s">
        <v>78</v>
      </c>
      <c r="D1260" t="s">
        <v>93</v>
      </c>
      <c r="E1260" t="s">
        <v>16</v>
      </c>
      <c r="F1260" t="s">
        <v>35</v>
      </c>
      <c r="G1260" t="s">
        <v>23</v>
      </c>
      <c r="H1260" t="s">
        <v>19</v>
      </c>
      <c r="I1260" t="s">
        <v>20</v>
      </c>
      <c r="J1260">
        <v>120</v>
      </c>
      <c r="S1260">
        <v>3.6</v>
      </c>
      <c r="T1260">
        <v>0</v>
      </c>
      <c r="U1260">
        <v>0</v>
      </c>
      <c r="V1260">
        <v>0</v>
      </c>
    </row>
    <row r="1261" spans="1:22">
      <c r="A1261" t="s">
        <v>1269</v>
      </c>
      <c r="B1261" s="3">
        <v>46191</v>
      </c>
      <c r="C1261" t="s">
        <v>78</v>
      </c>
      <c r="D1261" t="s">
        <v>87</v>
      </c>
      <c r="E1261" t="s">
        <v>16</v>
      </c>
      <c r="F1261" t="s">
        <v>17</v>
      </c>
      <c r="G1261" t="s">
        <v>32</v>
      </c>
      <c r="H1261" t="s">
        <v>19</v>
      </c>
      <c r="I1261" t="s">
        <v>20</v>
      </c>
      <c r="J1261">
        <v>225</v>
      </c>
      <c r="L1261" t="s">
        <v>1270</v>
      </c>
      <c r="S1261">
        <v>27</v>
      </c>
      <c r="T1261">
        <v>0</v>
      </c>
      <c r="U1261">
        <v>1</v>
      </c>
      <c r="V1261">
        <v>0</v>
      </c>
    </row>
    <row r="1262" spans="1:22">
      <c r="A1262" t="s">
        <v>1271</v>
      </c>
      <c r="B1262" s="3">
        <v>46191</v>
      </c>
      <c r="C1262" t="s">
        <v>78</v>
      </c>
      <c r="D1262" t="s">
        <v>81</v>
      </c>
      <c r="E1262" t="s">
        <v>16</v>
      </c>
      <c r="F1262" t="s">
        <v>17</v>
      </c>
      <c r="G1262" t="s">
        <v>32</v>
      </c>
      <c r="H1262" t="s">
        <v>19</v>
      </c>
      <c r="I1262" t="s">
        <v>20</v>
      </c>
      <c r="J1262">
        <v>225</v>
      </c>
      <c r="L1262" t="s">
        <v>1270</v>
      </c>
      <c r="S1262">
        <v>27</v>
      </c>
      <c r="T1262">
        <v>0</v>
      </c>
      <c r="U1262">
        <v>1</v>
      </c>
      <c r="V1262">
        <v>0</v>
      </c>
    </row>
    <row r="1263" spans="1:22">
      <c r="A1263" t="s">
        <v>1272</v>
      </c>
      <c r="B1263" s="3">
        <v>46191</v>
      </c>
      <c r="C1263" t="s">
        <v>78</v>
      </c>
      <c r="D1263" t="s">
        <v>87</v>
      </c>
      <c r="E1263" t="s">
        <v>16</v>
      </c>
      <c r="F1263" t="s">
        <v>17</v>
      </c>
      <c r="G1263" t="s">
        <v>32</v>
      </c>
      <c r="H1263" t="s">
        <v>19</v>
      </c>
      <c r="I1263" t="s">
        <v>20</v>
      </c>
      <c r="J1263">
        <v>225</v>
      </c>
      <c r="L1263" t="s">
        <v>1270</v>
      </c>
      <c r="S1263">
        <v>27</v>
      </c>
      <c r="T1263">
        <v>0</v>
      </c>
      <c r="U1263">
        <v>1</v>
      </c>
      <c r="V1263">
        <v>0</v>
      </c>
    </row>
    <row r="1264" spans="1:22">
      <c r="A1264" t="s">
        <v>1273</v>
      </c>
      <c r="B1264" s="3">
        <v>46191</v>
      </c>
      <c r="C1264" t="s">
        <v>78</v>
      </c>
      <c r="D1264" t="s">
        <v>81</v>
      </c>
      <c r="E1264" t="s">
        <v>16</v>
      </c>
      <c r="F1264" t="s">
        <v>17</v>
      </c>
      <c r="G1264" t="s">
        <v>32</v>
      </c>
      <c r="H1264" t="s">
        <v>19</v>
      </c>
      <c r="I1264" t="s">
        <v>20</v>
      </c>
      <c r="J1264">
        <v>225</v>
      </c>
      <c r="L1264" t="s">
        <v>1270</v>
      </c>
      <c r="S1264">
        <v>27</v>
      </c>
      <c r="T1264">
        <v>0</v>
      </c>
      <c r="U1264">
        <v>1</v>
      </c>
      <c r="V1264">
        <v>0</v>
      </c>
    </row>
    <row r="1265" spans="1:22">
      <c r="A1265" t="s">
        <v>1274</v>
      </c>
      <c r="B1265" s="3">
        <v>46191</v>
      </c>
      <c r="C1265" t="s">
        <v>78</v>
      </c>
      <c r="D1265" t="s">
        <v>97</v>
      </c>
      <c r="E1265" t="s">
        <v>16</v>
      </c>
      <c r="F1265" t="s">
        <v>17</v>
      </c>
      <c r="G1265" t="s">
        <v>32</v>
      </c>
      <c r="H1265" t="s">
        <v>19</v>
      </c>
      <c r="I1265" t="s">
        <v>20</v>
      </c>
      <c r="J1265">
        <v>225</v>
      </c>
      <c r="L1265" t="s">
        <v>1270</v>
      </c>
      <c r="S1265">
        <v>27</v>
      </c>
      <c r="T1265">
        <v>0</v>
      </c>
      <c r="U1265">
        <v>1</v>
      </c>
      <c r="V1265">
        <v>0</v>
      </c>
    </row>
    <row r="1266" spans="1:22">
      <c r="A1266" t="s">
        <v>1275</v>
      </c>
      <c r="B1266" s="3">
        <v>46191</v>
      </c>
      <c r="C1266" t="s">
        <v>78</v>
      </c>
      <c r="D1266" t="s">
        <v>102</v>
      </c>
      <c r="E1266" t="s">
        <v>16</v>
      </c>
      <c r="F1266" t="s">
        <v>17</v>
      </c>
      <c r="G1266" t="s">
        <v>32</v>
      </c>
      <c r="H1266" t="s">
        <v>19</v>
      </c>
      <c r="I1266" t="s">
        <v>20</v>
      </c>
      <c r="J1266">
        <v>225</v>
      </c>
      <c r="L1266" t="s">
        <v>1270</v>
      </c>
      <c r="S1266">
        <v>27</v>
      </c>
      <c r="T1266">
        <v>0</v>
      </c>
      <c r="U1266">
        <v>1</v>
      </c>
      <c r="V1266">
        <v>0</v>
      </c>
    </row>
    <row r="1267" spans="1:22">
      <c r="A1267" t="s">
        <v>1276</v>
      </c>
      <c r="B1267" s="3">
        <v>46191</v>
      </c>
      <c r="C1267" t="s">
        <v>78</v>
      </c>
      <c r="D1267" t="s">
        <v>83</v>
      </c>
      <c r="E1267" t="s">
        <v>16</v>
      </c>
      <c r="F1267" t="s">
        <v>17</v>
      </c>
      <c r="G1267" t="s">
        <v>32</v>
      </c>
      <c r="H1267" t="s">
        <v>19</v>
      </c>
      <c r="I1267" t="s">
        <v>20</v>
      </c>
      <c r="J1267">
        <v>225</v>
      </c>
      <c r="L1267" t="s">
        <v>1270</v>
      </c>
      <c r="S1267">
        <v>27</v>
      </c>
      <c r="T1267">
        <v>0</v>
      </c>
      <c r="U1267">
        <v>1</v>
      </c>
      <c r="V1267">
        <v>0</v>
      </c>
    </row>
    <row r="1268" spans="1:22">
      <c r="A1268" t="s">
        <v>1277</v>
      </c>
      <c r="B1268" s="3">
        <v>46191</v>
      </c>
      <c r="C1268" t="s">
        <v>78</v>
      </c>
      <c r="D1268" t="s">
        <v>97</v>
      </c>
      <c r="E1268" t="s">
        <v>16</v>
      </c>
      <c r="F1268" t="s">
        <v>17</v>
      </c>
      <c r="G1268" t="s">
        <v>32</v>
      </c>
      <c r="H1268" t="s">
        <v>19</v>
      </c>
      <c r="I1268" t="s">
        <v>20</v>
      </c>
      <c r="J1268">
        <v>225</v>
      </c>
      <c r="L1268" t="s">
        <v>1270</v>
      </c>
      <c r="S1268">
        <v>27</v>
      </c>
      <c r="T1268">
        <v>0</v>
      </c>
      <c r="U1268">
        <v>1</v>
      </c>
      <c r="V1268">
        <v>0</v>
      </c>
    </row>
    <row r="1269" spans="1:22">
      <c r="A1269" t="s">
        <v>1278</v>
      </c>
      <c r="B1269" s="3">
        <v>46191</v>
      </c>
      <c r="C1269" t="s">
        <v>78</v>
      </c>
      <c r="D1269" t="s">
        <v>79</v>
      </c>
      <c r="E1269" t="s">
        <v>16</v>
      </c>
      <c r="F1269" t="s">
        <v>17</v>
      </c>
      <c r="G1269" t="s">
        <v>32</v>
      </c>
      <c r="H1269" t="s">
        <v>19</v>
      </c>
      <c r="I1269" t="s">
        <v>20</v>
      </c>
      <c r="J1269">
        <v>225</v>
      </c>
      <c r="L1269" t="s">
        <v>1270</v>
      </c>
      <c r="S1269">
        <v>27</v>
      </c>
      <c r="T1269">
        <v>0</v>
      </c>
      <c r="U1269">
        <v>1</v>
      </c>
      <c r="V1269">
        <v>0</v>
      </c>
    </row>
    <row r="1270" spans="1:22">
      <c r="A1270" t="s">
        <v>1279</v>
      </c>
      <c r="B1270" s="3">
        <v>46191</v>
      </c>
      <c r="C1270" t="s">
        <v>78</v>
      </c>
      <c r="D1270" t="s">
        <v>161</v>
      </c>
      <c r="E1270" t="s">
        <v>16</v>
      </c>
      <c r="F1270" t="s">
        <v>17</v>
      </c>
      <c r="G1270" t="s">
        <v>32</v>
      </c>
      <c r="H1270" t="s">
        <v>19</v>
      </c>
      <c r="I1270" t="s">
        <v>20</v>
      </c>
      <c r="J1270">
        <v>225</v>
      </c>
      <c r="L1270" t="s">
        <v>1270</v>
      </c>
      <c r="S1270">
        <v>27</v>
      </c>
      <c r="T1270">
        <v>0</v>
      </c>
      <c r="U1270">
        <v>1</v>
      </c>
      <c r="V1270">
        <v>0</v>
      </c>
    </row>
    <row r="1271" spans="1:22">
      <c r="A1271" t="s">
        <v>1280</v>
      </c>
      <c r="B1271" s="3">
        <v>46191</v>
      </c>
      <c r="C1271" t="s">
        <v>78</v>
      </c>
      <c r="D1271" t="s">
        <v>163</v>
      </c>
      <c r="E1271" t="s">
        <v>16</v>
      </c>
      <c r="F1271" t="s">
        <v>17</v>
      </c>
      <c r="G1271" t="s">
        <v>32</v>
      </c>
      <c r="H1271" t="s">
        <v>19</v>
      </c>
      <c r="I1271" t="s">
        <v>20</v>
      </c>
      <c r="J1271">
        <v>225</v>
      </c>
      <c r="L1271" t="s">
        <v>1270</v>
      </c>
      <c r="S1271">
        <v>27</v>
      </c>
      <c r="T1271">
        <v>0</v>
      </c>
      <c r="U1271">
        <v>1</v>
      </c>
      <c r="V1271">
        <v>0</v>
      </c>
    </row>
    <row r="1272" spans="1:22">
      <c r="A1272" t="s">
        <v>1281</v>
      </c>
      <c r="B1272" s="3">
        <v>46191</v>
      </c>
      <c r="C1272" t="s">
        <v>78</v>
      </c>
      <c r="D1272" t="s">
        <v>242</v>
      </c>
      <c r="E1272" t="s">
        <v>16</v>
      </c>
      <c r="F1272" t="s">
        <v>17</v>
      </c>
      <c r="G1272" t="s">
        <v>32</v>
      </c>
      <c r="H1272" t="s">
        <v>19</v>
      </c>
      <c r="I1272" t="s">
        <v>20</v>
      </c>
      <c r="J1272">
        <v>225</v>
      </c>
      <c r="L1272" t="s">
        <v>1270</v>
      </c>
      <c r="S1272">
        <v>27</v>
      </c>
      <c r="T1272">
        <v>0</v>
      </c>
      <c r="U1272">
        <v>1</v>
      </c>
      <c r="V1272">
        <v>0</v>
      </c>
    </row>
    <row r="1273" spans="1:22">
      <c r="A1273" t="s">
        <v>1282</v>
      </c>
      <c r="B1273" s="3">
        <v>46191</v>
      </c>
      <c r="C1273" t="s">
        <v>78</v>
      </c>
      <c r="D1273" t="s">
        <v>97</v>
      </c>
      <c r="E1273" t="s">
        <v>16</v>
      </c>
      <c r="F1273" t="s">
        <v>17</v>
      </c>
      <c r="G1273" t="s">
        <v>32</v>
      </c>
      <c r="H1273" t="s">
        <v>19</v>
      </c>
      <c r="I1273" t="s">
        <v>20</v>
      </c>
      <c r="J1273">
        <v>225</v>
      </c>
      <c r="L1273" t="s">
        <v>1270</v>
      </c>
      <c r="S1273">
        <v>27</v>
      </c>
      <c r="T1273">
        <v>0</v>
      </c>
      <c r="U1273">
        <v>1</v>
      </c>
      <c r="V1273">
        <v>0</v>
      </c>
    </row>
    <row r="1274" spans="1:22">
      <c r="A1274" t="s">
        <v>1283</v>
      </c>
      <c r="B1274" s="3">
        <v>46191</v>
      </c>
      <c r="C1274" t="s">
        <v>78</v>
      </c>
      <c r="D1274" t="s">
        <v>89</v>
      </c>
      <c r="E1274" t="s">
        <v>16</v>
      </c>
      <c r="F1274" t="s">
        <v>17</v>
      </c>
      <c r="G1274" t="s">
        <v>32</v>
      </c>
      <c r="H1274" t="s">
        <v>19</v>
      </c>
      <c r="I1274" t="s">
        <v>20</v>
      </c>
      <c r="J1274">
        <v>225</v>
      </c>
      <c r="L1274" t="s">
        <v>1270</v>
      </c>
      <c r="S1274">
        <v>27</v>
      </c>
      <c r="T1274">
        <v>0</v>
      </c>
      <c r="U1274">
        <v>1</v>
      </c>
      <c r="V1274">
        <v>0</v>
      </c>
    </row>
    <row r="1275" spans="1:22">
      <c r="A1275" t="s">
        <v>1284</v>
      </c>
      <c r="B1275" s="3">
        <v>46191</v>
      </c>
      <c r="C1275" t="s">
        <v>78</v>
      </c>
      <c r="D1275" t="s">
        <v>79</v>
      </c>
      <c r="E1275" t="s">
        <v>16</v>
      </c>
      <c r="F1275" t="s">
        <v>17</v>
      </c>
      <c r="G1275" t="s">
        <v>32</v>
      </c>
      <c r="H1275" t="s">
        <v>19</v>
      </c>
      <c r="I1275" t="s">
        <v>20</v>
      </c>
      <c r="J1275">
        <v>225</v>
      </c>
      <c r="L1275" t="s">
        <v>1270</v>
      </c>
      <c r="S1275">
        <v>27</v>
      </c>
      <c r="T1275">
        <v>0</v>
      </c>
      <c r="U1275">
        <v>1</v>
      </c>
      <c r="V1275">
        <v>0</v>
      </c>
    </row>
    <row r="1276" spans="1:22">
      <c r="A1276" t="s">
        <v>1285</v>
      </c>
      <c r="B1276" s="3">
        <v>46191</v>
      </c>
      <c r="C1276" t="s">
        <v>78</v>
      </c>
      <c r="D1276" t="s">
        <v>102</v>
      </c>
      <c r="E1276" t="s">
        <v>16</v>
      </c>
      <c r="F1276" t="s">
        <v>17</v>
      </c>
      <c r="G1276" t="s">
        <v>32</v>
      </c>
      <c r="H1276" t="s">
        <v>19</v>
      </c>
      <c r="I1276" t="s">
        <v>20</v>
      </c>
      <c r="J1276">
        <v>225</v>
      </c>
      <c r="L1276" t="s">
        <v>1270</v>
      </c>
      <c r="S1276">
        <v>27</v>
      </c>
      <c r="T1276">
        <v>0</v>
      </c>
      <c r="U1276">
        <v>1</v>
      </c>
      <c r="V1276">
        <v>0</v>
      </c>
    </row>
    <row r="1277" spans="1:22">
      <c r="A1277" t="s">
        <v>1286</v>
      </c>
      <c r="B1277" s="3">
        <v>46191</v>
      </c>
      <c r="C1277" t="s">
        <v>78</v>
      </c>
      <c r="D1277" t="s">
        <v>102</v>
      </c>
      <c r="E1277" t="s">
        <v>16</v>
      </c>
      <c r="F1277" t="s">
        <v>17</v>
      </c>
      <c r="G1277" t="s">
        <v>32</v>
      </c>
      <c r="H1277" t="s">
        <v>19</v>
      </c>
      <c r="I1277" t="s">
        <v>20</v>
      </c>
      <c r="J1277">
        <v>225</v>
      </c>
      <c r="L1277" t="s">
        <v>1270</v>
      </c>
      <c r="S1277">
        <v>27</v>
      </c>
      <c r="T1277">
        <v>0</v>
      </c>
      <c r="U1277">
        <v>1</v>
      </c>
      <c r="V1277">
        <v>0</v>
      </c>
    </row>
    <row r="1278" spans="1:22">
      <c r="A1278" t="s">
        <v>1287</v>
      </c>
      <c r="B1278" s="3">
        <v>46191</v>
      </c>
      <c r="C1278" t="s">
        <v>78</v>
      </c>
      <c r="D1278" t="s">
        <v>102</v>
      </c>
      <c r="E1278" t="s">
        <v>16</v>
      </c>
      <c r="F1278" t="s">
        <v>17</v>
      </c>
      <c r="G1278" t="s">
        <v>32</v>
      </c>
      <c r="H1278" t="s">
        <v>19</v>
      </c>
      <c r="I1278" t="s">
        <v>20</v>
      </c>
      <c r="J1278">
        <v>225</v>
      </c>
      <c r="L1278" t="s">
        <v>1270</v>
      </c>
      <c r="S1278">
        <v>27</v>
      </c>
      <c r="T1278">
        <v>0</v>
      </c>
      <c r="U1278">
        <v>1</v>
      </c>
      <c r="V1278">
        <v>0</v>
      </c>
    </row>
    <row r="1279" spans="1:22">
      <c r="A1279" t="s">
        <v>1288</v>
      </c>
      <c r="B1279" s="3">
        <v>46191</v>
      </c>
      <c r="C1279" t="s">
        <v>78</v>
      </c>
      <c r="D1279" t="s">
        <v>89</v>
      </c>
      <c r="E1279" t="s">
        <v>16</v>
      </c>
      <c r="F1279" t="s">
        <v>17</v>
      </c>
      <c r="G1279" t="s">
        <v>32</v>
      </c>
      <c r="H1279" t="s">
        <v>19</v>
      </c>
      <c r="I1279" t="s">
        <v>20</v>
      </c>
      <c r="J1279">
        <v>225</v>
      </c>
      <c r="L1279" t="s">
        <v>1270</v>
      </c>
      <c r="S1279">
        <v>27</v>
      </c>
      <c r="T1279">
        <v>0</v>
      </c>
      <c r="U1279">
        <v>1</v>
      </c>
      <c r="V1279">
        <v>0</v>
      </c>
    </row>
    <row r="1280" spans="1:22">
      <c r="A1280" t="s">
        <v>1289</v>
      </c>
      <c r="B1280" s="3">
        <v>46191</v>
      </c>
      <c r="C1280" t="s">
        <v>105</v>
      </c>
      <c r="D1280" t="s">
        <v>182</v>
      </c>
      <c r="E1280" t="s">
        <v>16</v>
      </c>
      <c r="F1280" t="s">
        <v>17</v>
      </c>
      <c r="G1280" t="s">
        <v>32</v>
      </c>
      <c r="H1280" t="s">
        <v>19</v>
      </c>
      <c r="I1280" t="s">
        <v>20</v>
      </c>
      <c r="J1280">
        <v>300</v>
      </c>
      <c r="S1280">
        <v>36</v>
      </c>
      <c r="T1280">
        <v>0</v>
      </c>
      <c r="U1280">
        <v>1</v>
      </c>
      <c r="V1280">
        <v>0</v>
      </c>
    </row>
    <row r="1281" spans="1:22">
      <c r="A1281" t="s">
        <v>1290</v>
      </c>
      <c r="B1281" s="3">
        <v>46191</v>
      </c>
      <c r="C1281" t="s">
        <v>105</v>
      </c>
      <c r="D1281" t="s">
        <v>110</v>
      </c>
      <c r="E1281" t="s">
        <v>16</v>
      </c>
      <c r="F1281" t="s">
        <v>17</v>
      </c>
      <c r="G1281" t="s">
        <v>32</v>
      </c>
      <c r="H1281" t="s">
        <v>19</v>
      </c>
      <c r="I1281" t="s">
        <v>20</v>
      </c>
      <c r="J1281">
        <v>255</v>
      </c>
      <c r="L1281" t="s">
        <v>29</v>
      </c>
      <c r="S1281">
        <v>30.6</v>
      </c>
      <c r="T1281">
        <v>0</v>
      </c>
      <c r="U1281">
        <v>1</v>
      </c>
      <c r="V1281">
        <v>0</v>
      </c>
    </row>
    <row r="1282" spans="1:22">
      <c r="A1282" t="s">
        <v>1291</v>
      </c>
      <c r="B1282" s="3">
        <v>46191</v>
      </c>
      <c r="C1282" t="s">
        <v>105</v>
      </c>
      <c r="D1282" t="s">
        <v>112</v>
      </c>
      <c r="E1282" t="s">
        <v>16</v>
      </c>
      <c r="F1282" t="s">
        <v>17</v>
      </c>
      <c r="G1282" t="s">
        <v>32</v>
      </c>
      <c r="H1282" t="s">
        <v>19</v>
      </c>
      <c r="I1282" t="s">
        <v>20</v>
      </c>
      <c r="J1282">
        <v>300</v>
      </c>
      <c r="S1282">
        <v>36</v>
      </c>
      <c r="T1282">
        <v>0</v>
      </c>
      <c r="U1282">
        <v>1</v>
      </c>
      <c r="V1282">
        <v>0</v>
      </c>
    </row>
    <row r="1283" spans="1:22">
      <c r="A1283" t="s">
        <v>1292</v>
      </c>
      <c r="B1283" s="3">
        <v>46191</v>
      </c>
      <c r="C1283" t="s">
        <v>105</v>
      </c>
      <c r="D1283" t="s">
        <v>182</v>
      </c>
      <c r="E1283" t="s">
        <v>16</v>
      </c>
      <c r="F1283" t="s">
        <v>35</v>
      </c>
      <c r="G1283" t="s">
        <v>23</v>
      </c>
      <c r="H1283" t="s">
        <v>19</v>
      </c>
      <c r="I1283" t="s">
        <v>20</v>
      </c>
      <c r="J1283">
        <v>102</v>
      </c>
      <c r="L1283" t="s">
        <v>29</v>
      </c>
      <c r="S1283">
        <v>3.06</v>
      </c>
      <c r="T1283">
        <v>0</v>
      </c>
      <c r="U1283">
        <v>0</v>
      </c>
      <c r="V1283">
        <v>0</v>
      </c>
    </row>
    <row r="1284" spans="1:22">
      <c r="A1284" t="s">
        <v>1293</v>
      </c>
      <c r="B1284" s="3">
        <v>46191</v>
      </c>
      <c r="C1284" t="s">
        <v>105</v>
      </c>
      <c r="D1284" t="s">
        <v>265</v>
      </c>
      <c r="E1284" t="s">
        <v>16</v>
      </c>
      <c r="F1284" t="s">
        <v>17</v>
      </c>
      <c r="G1284" t="s">
        <v>32</v>
      </c>
      <c r="H1284" t="s">
        <v>19</v>
      </c>
      <c r="I1284" t="s">
        <v>20</v>
      </c>
      <c r="J1284">
        <v>300</v>
      </c>
      <c r="S1284">
        <v>36</v>
      </c>
      <c r="T1284">
        <v>0</v>
      </c>
      <c r="U1284">
        <v>1</v>
      </c>
      <c r="V1284">
        <v>0</v>
      </c>
    </row>
    <row r="1285" spans="1:22">
      <c r="A1285" t="s">
        <v>1294</v>
      </c>
      <c r="B1285" s="3">
        <v>46191</v>
      </c>
      <c r="C1285" t="s">
        <v>105</v>
      </c>
      <c r="D1285" t="s">
        <v>116</v>
      </c>
      <c r="E1285" t="s">
        <v>16</v>
      </c>
      <c r="F1285" t="s">
        <v>17</v>
      </c>
      <c r="G1285" t="s">
        <v>32</v>
      </c>
      <c r="H1285" t="s">
        <v>19</v>
      </c>
      <c r="I1285" t="s">
        <v>20</v>
      </c>
      <c r="J1285">
        <v>300</v>
      </c>
      <c r="S1285">
        <v>36</v>
      </c>
      <c r="T1285">
        <v>0</v>
      </c>
      <c r="U1285">
        <v>1</v>
      </c>
      <c r="V1285">
        <v>0</v>
      </c>
    </row>
    <row r="1286" spans="1:22">
      <c r="A1286" t="s">
        <v>1295</v>
      </c>
      <c r="B1286" s="3">
        <v>46191</v>
      </c>
      <c r="C1286" t="s">
        <v>105</v>
      </c>
      <c r="D1286" t="s">
        <v>191</v>
      </c>
      <c r="E1286" t="s">
        <v>16</v>
      </c>
      <c r="F1286" t="s">
        <v>17</v>
      </c>
      <c r="G1286" t="s">
        <v>23</v>
      </c>
      <c r="H1286" t="s">
        <v>19</v>
      </c>
      <c r="I1286" t="s">
        <v>20</v>
      </c>
      <c r="J1286">
        <v>120</v>
      </c>
      <c r="S1286">
        <v>9.6</v>
      </c>
      <c r="T1286">
        <v>0</v>
      </c>
      <c r="U1286">
        <v>1</v>
      </c>
      <c r="V1286">
        <v>0</v>
      </c>
    </row>
    <row r="1287" spans="1:22">
      <c r="A1287" t="s">
        <v>1296</v>
      </c>
      <c r="B1287" s="3">
        <v>46191</v>
      </c>
      <c r="C1287" t="s">
        <v>105</v>
      </c>
      <c r="D1287" t="s">
        <v>265</v>
      </c>
      <c r="E1287" t="s">
        <v>16</v>
      </c>
      <c r="F1287" t="s">
        <v>17</v>
      </c>
      <c r="G1287" t="s">
        <v>23</v>
      </c>
      <c r="H1287" t="s">
        <v>19</v>
      </c>
      <c r="I1287" t="s">
        <v>20</v>
      </c>
      <c r="J1287">
        <v>102</v>
      </c>
      <c r="L1287" t="s">
        <v>29</v>
      </c>
      <c r="S1287">
        <v>8.16</v>
      </c>
      <c r="T1287">
        <v>0</v>
      </c>
      <c r="U1287">
        <v>1</v>
      </c>
      <c r="V1287">
        <v>0</v>
      </c>
    </row>
    <row r="1288" spans="1:22">
      <c r="A1288" t="s">
        <v>1297</v>
      </c>
      <c r="B1288" s="3">
        <v>46191</v>
      </c>
      <c r="C1288" t="s">
        <v>105</v>
      </c>
      <c r="D1288" t="s">
        <v>106</v>
      </c>
      <c r="E1288" t="s">
        <v>16</v>
      </c>
      <c r="F1288" t="s">
        <v>35</v>
      </c>
      <c r="G1288" t="s">
        <v>23</v>
      </c>
      <c r="H1288" t="s">
        <v>19</v>
      </c>
      <c r="I1288" t="s">
        <v>20</v>
      </c>
      <c r="J1288">
        <v>120</v>
      </c>
      <c r="S1288">
        <v>3.6</v>
      </c>
      <c r="T1288">
        <v>0</v>
      </c>
      <c r="U1288">
        <v>0</v>
      </c>
      <c r="V1288">
        <v>0</v>
      </c>
    </row>
    <row r="1289" spans="1:22">
      <c r="A1289" t="s">
        <v>1298</v>
      </c>
      <c r="B1289" s="3">
        <v>46191</v>
      </c>
      <c r="C1289" t="s">
        <v>105</v>
      </c>
      <c r="D1289" t="s">
        <v>116</v>
      </c>
      <c r="E1289" t="s">
        <v>16</v>
      </c>
      <c r="F1289" t="s">
        <v>17</v>
      </c>
      <c r="G1289" t="s">
        <v>18</v>
      </c>
      <c r="H1289" t="s">
        <v>19</v>
      </c>
      <c r="I1289" t="s">
        <v>53</v>
      </c>
      <c r="J1289">
        <v>170</v>
      </c>
      <c r="L1289" t="s">
        <v>29</v>
      </c>
      <c r="S1289">
        <v>0</v>
      </c>
      <c r="T1289">
        <v>0</v>
      </c>
      <c r="U1289">
        <v>0</v>
      </c>
      <c r="V1289">
        <v>0</v>
      </c>
    </row>
    <row r="1290" spans="1:22">
      <c r="A1290" t="s">
        <v>1299</v>
      </c>
      <c r="B1290" s="3">
        <v>46191</v>
      </c>
      <c r="C1290" t="s">
        <v>105</v>
      </c>
      <c r="D1290" t="s">
        <v>112</v>
      </c>
      <c r="E1290" t="s">
        <v>16</v>
      </c>
      <c r="F1290" t="s">
        <v>35</v>
      </c>
      <c r="G1290" t="s">
        <v>32</v>
      </c>
      <c r="H1290" t="s">
        <v>19</v>
      </c>
      <c r="I1290" t="s">
        <v>20</v>
      </c>
      <c r="J1290">
        <v>300</v>
      </c>
      <c r="S1290">
        <v>9</v>
      </c>
      <c r="T1290">
        <v>0</v>
      </c>
      <c r="U1290">
        <v>0</v>
      </c>
      <c r="V1290">
        <v>0</v>
      </c>
    </row>
    <row r="1291" spans="1:22">
      <c r="A1291" t="s">
        <v>1300</v>
      </c>
      <c r="B1291" s="3">
        <v>46191</v>
      </c>
      <c r="C1291" t="s">
        <v>105</v>
      </c>
      <c r="D1291" t="s">
        <v>187</v>
      </c>
      <c r="E1291" t="s">
        <v>16</v>
      </c>
      <c r="F1291" t="s">
        <v>17</v>
      </c>
      <c r="G1291" t="s">
        <v>32</v>
      </c>
      <c r="H1291" t="s">
        <v>19</v>
      </c>
      <c r="I1291" t="s">
        <v>20</v>
      </c>
      <c r="J1291">
        <v>300</v>
      </c>
      <c r="S1291">
        <v>36</v>
      </c>
      <c r="T1291">
        <v>0</v>
      </c>
      <c r="U1291">
        <v>1</v>
      </c>
      <c r="V1291">
        <v>0</v>
      </c>
    </row>
    <row r="1292" spans="1:22">
      <c r="A1292" t="s">
        <v>1301</v>
      </c>
      <c r="B1292" s="3">
        <v>46191</v>
      </c>
      <c r="C1292" t="s">
        <v>105</v>
      </c>
      <c r="D1292" t="s">
        <v>191</v>
      </c>
      <c r="E1292" t="s">
        <v>16</v>
      </c>
      <c r="F1292" t="s">
        <v>17</v>
      </c>
      <c r="G1292" t="s">
        <v>23</v>
      </c>
      <c r="H1292" t="s">
        <v>19</v>
      </c>
      <c r="I1292" t="s">
        <v>20</v>
      </c>
      <c r="J1292">
        <v>120</v>
      </c>
      <c r="S1292">
        <v>9.6</v>
      </c>
      <c r="T1292">
        <v>0</v>
      </c>
      <c r="U1292">
        <v>1</v>
      </c>
      <c r="V1292">
        <v>0</v>
      </c>
    </row>
    <row r="1293" spans="1:22">
      <c r="A1293" t="s">
        <v>1302</v>
      </c>
      <c r="B1293" s="3">
        <v>46191</v>
      </c>
      <c r="C1293" t="s">
        <v>105</v>
      </c>
      <c r="D1293" t="s">
        <v>118</v>
      </c>
      <c r="E1293" t="s">
        <v>16</v>
      </c>
      <c r="F1293" t="s">
        <v>17</v>
      </c>
      <c r="G1293" t="s">
        <v>18</v>
      </c>
      <c r="H1293" t="s">
        <v>19</v>
      </c>
      <c r="I1293" t="s">
        <v>20</v>
      </c>
      <c r="J1293">
        <v>200</v>
      </c>
      <c r="S1293">
        <v>20</v>
      </c>
      <c r="T1293">
        <v>0</v>
      </c>
      <c r="U1293">
        <v>1</v>
      </c>
      <c r="V1293">
        <v>0</v>
      </c>
    </row>
    <row r="1294" spans="1:22">
      <c r="A1294" t="s">
        <v>1303</v>
      </c>
      <c r="B1294" s="3">
        <v>46191</v>
      </c>
      <c r="C1294" t="s">
        <v>105</v>
      </c>
      <c r="D1294" t="s">
        <v>191</v>
      </c>
      <c r="E1294" t="s">
        <v>16</v>
      </c>
      <c r="F1294" t="s">
        <v>17</v>
      </c>
      <c r="G1294" t="s">
        <v>18</v>
      </c>
      <c r="H1294" t="s">
        <v>19</v>
      </c>
      <c r="I1294" t="s">
        <v>20</v>
      </c>
      <c r="J1294">
        <v>200</v>
      </c>
      <c r="S1294">
        <v>20</v>
      </c>
      <c r="T1294">
        <v>0</v>
      </c>
      <c r="U1294">
        <v>1</v>
      </c>
      <c r="V1294">
        <v>0</v>
      </c>
    </row>
    <row r="1295" spans="1:22">
      <c r="A1295" t="s">
        <v>1304</v>
      </c>
      <c r="B1295" s="3">
        <v>46191</v>
      </c>
      <c r="C1295" t="s">
        <v>105</v>
      </c>
      <c r="D1295" t="s">
        <v>118</v>
      </c>
      <c r="E1295" t="s">
        <v>16</v>
      </c>
      <c r="F1295" t="s">
        <v>17</v>
      </c>
      <c r="G1295" t="s">
        <v>32</v>
      </c>
      <c r="H1295" t="s">
        <v>19</v>
      </c>
      <c r="I1295" t="s">
        <v>20</v>
      </c>
      <c r="J1295">
        <v>300</v>
      </c>
      <c r="S1295">
        <v>36</v>
      </c>
      <c r="T1295">
        <v>0</v>
      </c>
      <c r="U1295">
        <v>1</v>
      </c>
      <c r="V1295">
        <v>0</v>
      </c>
    </row>
    <row r="1296" spans="1:22">
      <c r="A1296" t="s">
        <v>1305</v>
      </c>
      <c r="B1296" s="3">
        <v>46191</v>
      </c>
      <c r="C1296" t="s">
        <v>105</v>
      </c>
      <c r="D1296" t="s">
        <v>116</v>
      </c>
      <c r="E1296" t="s">
        <v>16</v>
      </c>
      <c r="F1296" t="s">
        <v>17</v>
      </c>
      <c r="G1296" t="s">
        <v>23</v>
      </c>
      <c r="H1296" t="s">
        <v>19</v>
      </c>
      <c r="I1296" t="s">
        <v>74</v>
      </c>
      <c r="J1296">
        <v>120</v>
      </c>
      <c r="S1296">
        <v>0</v>
      </c>
      <c r="T1296">
        <v>0</v>
      </c>
      <c r="U1296">
        <v>0</v>
      </c>
      <c r="V1296">
        <v>0</v>
      </c>
    </row>
    <row r="1297" spans="1:22">
      <c r="A1297" t="s">
        <v>1306</v>
      </c>
      <c r="B1297" s="3">
        <v>46191</v>
      </c>
      <c r="C1297" t="s">
        <v>105</v>
      </c>
      <c r="D1297" t="s">
        <v>191</v>
      </c>
      <c r="E1297" t="s">
        <v>16</v>
      </c>
      <c r="F1297" t="s">
        <v>17</v>
      </c>
      <c r="G1297" t="s">
        <v>32</v>
      </c>
      <c r="H1297" t="s">
        <v>19</v>
      </c>
      <c r="I1297" t="s">
        <v>20</v>
      </c>
      <c r="J1297">
        <v>300</v>
      </c>
      <c r="S1297">
        <v>36</v>
      </c>
      <c r="T1297">
        <v>0</v>
      </c>
      <c r="U1297">
        <v>1</v>
      </c>
      <c r="V1297">
        <v>0</v>
      </c>
    </row>
    <row r="1298" spans="1:22">
      <c r="A1298" t="s">
        <v>1307</v>
      </c>
      <c r="B1298" s="3">
        <v>46191</v>
      </c>
      <c r="C1298" t="s">
        <v>105</v>
      </c>
      <c r="D1298" t="s">
        <v>118</v>
      </c>
      <c r="E1298" t="s">
        <v>16</v>
      </c>
      <c r="F1298" t="s">
        <v>17</v>
      </c>
      <c r="G1298" t="s">
        <v>32</v>
      </c>
      <c r="H1298" t="s">
        <v>19</v>
      </c>
      <c r="I1298" t="s">
        <v>20</v>
      </c>
      <c r="J1298">
        <v>300</v>
      </c>
      <c r="S1298">
        <v>36</v>
      </c>
      <c r="T1298">
        <v>0</v>
      </c>
      <c r="U1298">
        <v>1</v>
      </c>
      <c r="V1298">
        <v>0</v>
      </c>
    </row>
    <row r="1299" spans="1:22">
      <c r="A1299" t="s">
        <v>1312</v>
      </c>
      <c r="B1299" s="3">
        <v>46192</v>
      </c>
      <c r="C1299" t="s">
        <v>14</v>
      </c>
      <c r="D1299" t="s">
        <v>210</v>
      </c>
      <c r="E1299" t="s">
        <v>16</v>
      </c>
      <c r="F1299" t="s">
        <v>17</v>
      </c>
      <c r="G1299" t="s">
        <v>23</v>
      </c>
      <c r="H1299" t="s">
        <v>19</v>
      </c>
      <c r="I1299" t="s">
        <v>20</v>
      </c>
      <c r="J1299">
        <v>120</v>
      </c>
      <c r="S1299">
        <v>9.6</v>
      </c>
      <c r="T1299">
        <v>0</v>
      </c>
      <c r="U1299">
        <v>1</v>
      </c>
      <c r="V1299">
        <v>0</v>
      </c>
    </row>
    <row r="1300" spans="1:22">
      <c r="A1300" t="s">
        <v>1314</v>
      </c>
      <c r="B1300" s="3">
        <v>46192</v>
      </c>
      <c r="C1300" t="s">
        <v>14</v>
      </c>
      <c r="D1300" t="s">
        <v>210</v>
      </c>
      <c r="E1300" t="s">
        <v>16</v>
      </c>
      <c r="F1300" t="s">
        <v>35</v>
      </c>
      <c r="G1300" t="s">
        <v>18</v>
      </c>
      <c r="H1300" t="s">
        <v>19</v>
      </c>
      <c r="I1300" t="s">
        <v>20</v>
      </c>
      <c r="J1300">
        <v>200</v>
      </c>
      <c r="S1300">
        <v>6</v>
      </c>
      <c r="T1300">
        <v>0</v>
      </c>
      <c r="U1300">
        <v>0</v>
      </c>
      <c r="V1300">
        <v>0</v>
      </c>
    </row>
    <row r="1301" spans="1:22">
      <c r="A1301" t="s">
        <v>1315</v>
      </c>
      <c r="B1301" s="3">
        <v>46192</v>
      </c>
      <c r="C1301" t="s">
        <v>14</v>
      </c>
      <c r="D1301" t="s">
        <v>40</v>
      </c>
      <c r="E1301" t="s">
        <v>16</v>
      </c>
      <c r="F1301" t="s">
        <v>17</v>
      </c>
      <c r="G1301" t="s">
        <v>23</v>
      </c>
      <c r="H1301" t="s">
        <v>19</v>
      </c>
      <c r="I1301" t="s">
        <v>20</v>
      </c>
      <c r="J1301">
        <v>120</v>
      </c>
      <c r="S1301">
        <v>9.6</v>
      </c>
      <c r="T1301">
        <v>0</v>
      </c>
      <c r="U1301">
        <v>1</v>
      </c>
      <c r="V1301">
        <v>0</v>
      </c>
    </row>
    <row r="1302" spans="1:22">
      <c r="A1302" t="s">
        <v>1316</v>
      </c>
      <c r="B1302" s="3">
        <v>46192</v>
      </c>
      <c r="C1302" t="s">
        <v>14</v>
      </c>
      <c r="D1302" t="s">
        <v>26</v>
      </c>
      <c r="E1302" t="s">
        <v>16</v>
      </c>
      <c r="F1302" t="s">
        <v>17</v>
      </c>
      <c r="G1302" t="s">
        <v>32</v>
      </c>
      <c r="H1302" t="s">
        <v>19</v>
      </c>
      <c r="I1302" t="s">
        <v>53</v>
      </c>
      <c r="J1302">
        <v>300</v>
      </c>
      <c r="S1302">
        <v>0</v>
      </c>
      <c r="T1302">
        <v>0</v>
      </c>
      <c r="U1302">
        <v>0</v>
      </c>
      <c r="V1302">
        <v>0</v>
      </c>
    </row>
    <row r="1303" spans="1:22">
      <c r="A1303" t="s">
        <v>1317</v>
      </c>
      <c r="B1303" s="3">
        <v>46192</v>
      </c>
      <c r="C1303" t="s">
        <v>14</v>
      </c>
      <c r="D1303" t="s">
        <v>28</v>
      </c>
      <c r="E1303" t="s">
        <v>16</v>
      </c>
      <c r="F1303" t="s">
        <v>17</v>
      </c>
      <c r="G1303" t="s">
        <v>23</v>
      </c>
      <c r="H1303" t="s">
        <v>19</v>
      </c>
      <c r="I1303" t="s">
        <v>20</v>
      </c>
      <c r="J1303">
        <v>120</v>
      </c>
      <c r="S1303">
        <v>9.6</v>
      </c>
      <c r="T1303">
        <v>0</v>
      </c>
      <c r="U1303">
        <v>1</v>
      </c>
      <c r="V1303">
        <v>0</v>
      </c>
    </row>
    <row r="1304" spans="1:22">
      <c r="A1304" t="s">
        <v>1318</v>
      </c>
      <c r="B1304" s="3">
        <v>46192</v>
      </c>
      <c r="C1304" t="s">
        <v>14</v>
      </c>
      <c r="D1304" t="s">
        <v>31</v>
      </c>
      <c r="E1304" t="s">
        <v>16</v>
      </c>
      <c r="F1304" t="s">
        <v>17</v>
      </c>
      <c r="G1304" t="s">
        <v>32</v>
      </c>
      <c r="H1304" t="s">
        <v>19</v>
      </c>
      <c r="I1304" t="s">
        <v>20</v>
      </c>
      <c r="J1304">
        <v>300</v>
      </c>
      <c r="S1304">
        <v>36</v>
      </c>
      <c r="T1304">
        <v>0</v>
      </c>
      <c r="U1304">
        <v>1</v>
      </c>
      <c r="V1304">
        <v>0</v>
      </c>
    </row>
    <row r="1305" spans="1:22">
      <c r="A1305" t="s">
        <v>1319</v>
      </c>
      <c r="B1305" s="3">
        <v>46192</v>
      </c>
      <c r="C1305" t="s">
        <v>14</v>
      </c>
      <c r="D1305" t="s">
        <v>42</v>
      </c>
      <c r="E1305" t="s">
        <v>16</v>
      </c>
      <c r="F1305" t="s">
        <v>35</v>
      </c>
      <c r="G1305" t="s">
        <v>32</v>
      </c>
      <c r="H1305" t="s">
        <v>24</v>
      </c>
      <c r="I1305" t="s">
        <v>20</v>
      </c>
      <c r="J1305">
        <v>255</v>
      </c>
      <c r="L1305" t="s">
        <v>29</v>
      </c>
      <c r="S1305">
        <v>0</v>
      </c>
      <c r="T1305">
        <v>0</v>
      </c>
      <c r="U1305">
        <v>0</v>
      </c>
      <c r="V1305">
        <v>0</v>
      </c>
    </row>
    <row r="1306" spans="1:22">
      <c r="A1306" t="s">
        <v>1320</v>
      </c>
      <c r="B1306" s="3">
        <v>46192</v>
      </c>
      <c r="C1306" t="s">
        <v>14</v>
      </c>
      <c r="D1306" t="s">
        <v>22</v>
      </c>
      <c r="E1306" t="s">
        <v>16</v>
      </c>
      <c r="F1306" t="s">
        <v>17</v>
      </c>
      <c r="G1306" t="s">
        <v>23</v>
      </c>
      <c r="H1306" t="s">
        <v>19</v>
      </c>
      <c r="I1306" t="s">
        <v>20</v>
      </c>
      <c r="J1306">
        <v>90</v>
      </c>
      <c r="L1306" t="s">
        <v>29</v>
      </c>
      <c r="S1306">
        <v>7.2</v>
      </c>
      <c r="T1306">
        <v>0</v>
      </c>
      <c r="U1306">
        <v>1</v>
      </c>
      <c r="V1306">
        <v>0</v>
      </c>
    </row>
    <row r="1307" spans="1:22">
      <c r="A1307" t="s">
        <v>1321</v>
      </c>
      <c r="B1307" s="3">
        <v>46192</v>
      </c>
      <c r="C1307" t="s">
        <v>14</v>
      </c>
      <c r="D1307" t="s">
        <v>131</v>
      </c>
      <c r="E1307" t="s">
        <v>16</v>
      </c>
      <c r="F1307" t="s">
        <v>17</v>
      </c>
      <c r="G1307" t="s">
        <v>23</v>
      </c>
      <c r="H1307" t="s">
        <v>19</v>
      </c>
      <c r="I1307" t="s">
        <v>20</v>
      </c>
      <c r="J1307">
        <v>120</v>
      </c>
      <c r="S1307">
        <v>9.6</v>
      </c>
      <c r="T1307">
        <v>0</v>
      </c>
      <c r="U1307">
        <v>1</v>
      </c>
      <c r="V1307">
        <v>0</v>
      </c>
    </row>
    <row r="1308" spans="1:22">
      <c r="A1308" t="s">
        <v>1322</v>
      </c>
      <c r="B1308" s="3">
        <v>46192</v>
      </c>
      <c r="C1308" t="s">
        <v>14</v>
      </c>
      <c r="D1308" t="s">
        <v>26</v>
      </c>
      <c r="E1308" t="s">
        <v>16</v>
      </c>
      <c r="F1308" t="s">
        <v>17</v>
      </c>
      <c r="G1308" t="s">
        <v>32</v>
      </c>
      <c r="H1308" t="s">
        <v>19</v>
      </c>
      <c r="I1308" t="s">
        <v>20</v>
      </c>
      <c r="J1308">
        <v>300</v>
      </c>
      <c r="S1308">
        <v>36</v>
      </c>
      <c r="T1308">
        <v>0</v>
      </c>
      <c r="U1308">
        <v>1</v>
      </c>
      <c r="V1308">
        <v>0</v>
      </c>
    </row>
    <row r="1309" spans="1:22">
      <c r="A1309" t="s">
        <v>1323</v>
      </c>
      <c r="B1309" s="3">
        <v>46192</v>
      </c>
      <c r="C1309" t="s">
        <v>14</v>
      </c>
      <c r="D1309" t="s">
        <v>15</v>
      </c>
      <c r="E1309" t="s">
        <v>16</v>
      </c>
      <c r="F1309" t="s">
        <v>17</v>
      </c>
      <c r="G1309" t="s">
        <v>32</v>
      </c>
      <c r="H1309" t="s">
        <v>19</v>
      </c>
      <c r="I1309" t="s">
        <v>20</v>
      </c>
      <c r="J1309">
        <v>300</v>
      </c>
      <c r="S1309">
        <v>36</v>
      </c>
      <c r="T1309">
        <v>0</v>
      </c>
      <c r="U1309">
        <v>1</v>
      </c>
      <c r="V1309">
        <v>0</v>
      </c>
    </row>
    <row r="1310" spans="1:22">
      <c r="A1310" t="s">
        <v>1324</v>
      </c>
      <c r="B1310" s="3">
        <v>46192</v>
      </c>
      <c r="C1310" t="s">
        <v>14</v>
      </c>
      <c r="D1310" t="s">
        <v>42</v>
      </c>
      <c r="E1310" t="s">
        <v>16</v>
      </c>
      <c r="F1310" t="s">
        <v>35</v>
      </c>
      <c r="G1310" t="s">
        <v>18</v>
      </c>
      <c r="H1310" t="s">
        <v>19</v>
      </c>
      <c r="I1310" t="s">
        <v>20</v>
      </c>
      <c r="J1310">
        <v>200</v>
      </c>
      <c r="S1310">
        <v>6</v>
      </c>
      <c r="T1310">
        <v>0</v>
      </c>
      <c r="U1310">
        <v>0</v>
      </c>
      <c r="V1310">
        <v>0</v>
      </c>
    </row>
    <row r="1311" spans="1:22">
      <c r="A1311" t="s">
        <v>1325</v>
      </c>
      <c r="B1311" s="3">
        <v>46192</v>
      </c>
      <c r="C1311" t="s">
        <v>14</v>
      </c>
      <c r="D1311" t="s">
        <v>131</v>
      </c>
      <c r="E1311" t="s">
        <v>16</v>
      </c>
      <c r="F1311" t="s">
        <v>17</v>
      </c>
      <c r="G1311" t="s">
        <v>23</v>
      </c>
      <c r="H1311" t="s">
        <v>24</v>
      </c>
      <c r="I1311" t="s">
        <v>20</v>
      </c>
      <c r="J1311">
        <v>120</v>
      </c>
      <c r="S1311">
        <v>0</v>
      </c>
      <c r="T1311">
        <v>0</v>
      </c>
      <c r="U1311">
        <v>0</v>
      </c>
      <c r="V1311">
        <v>0</v>
      </c>
    </row>
    <row r="1312" spans="1:22">
      <c r="A1312" t="s">
        <v>1326</v>
      </c>
      <c r="B1312" s="3">
        <v>46192</v>
      </c>
      <c r="C1312" t="s">
        <v>14</v>
      </c>
      <c r="D1312" t="s">
        <v>15</v>
      </c>
      <c r="E1312" t="s">
        <v>16</v>
      </c>
      <c r="F1312" t="s">
        <v>17</v>
      </c>
      <c r="G1312" t="s">
        <v>32</v>
      </c>
      <c r="H1312" t="s">
        <v>19</v>
      </c>
      <c r="I1312" t="s">
        <v>20</v>
      </c>
      <c r="J1312">
        <v>300</v>
      </c>
      <c r="S1312">
        <v>36</v>
      </c>
      <c r="T1312">
        <v>0</v>
      </c>
      <c r="U1312">
        <v>1</v>
      </c>
      <c r="V1312">
        <v>0</v>
      </c>
    </row>
    <row r="1313" spans="1:22">
      <c r="A1313" t="s">
        <v>1327</v>
      </c>
      <c r="B1313" s="3">
        <v>46192</v>
      </c>
      <c r="C1313" t="s">
        <v>14</v>
      </c>
      <c r="D1313" t="s">
        <v>37</v>
      </c>
      <c r="E1313" t="s">
        <v>16</v>
      </c>
      <c r="F1313" t="s">
        <v>17</v>
      </c>
      <c r="G1313" t="s">
        <v>23</v>
      </c>
      <c r="H1313" t="s">
        <v>19</v>
      </c>
      <c r="I1313" t="s">
        <v>20</v>
      </c>
      <c r="J1313">
        <v>120</v>
      </c>
      <c r="S1313">
        <v>9.6</v>
      </c>
      <c r="T1313">
        <v>0</v>
      </c>
      <c r="U1313">
        <v>1</v>
      </c>
      <c r="V1313">
        <v>0</v>
      </c>
    </row>
    <row r="1314" spans="1:22">
      <c r="A1314" t="s">
        <v>1328</v>
      </c>
      <c r="B1314" s="3">
        <v>46192</v>
      </c>
      <c r="C1314" t="s">
        <v>14</v>
      </c>
      <c r="D1314" t="s">
        <v>37</v>
      </c>
      <c r="E1314" t="s">
        <v>16</v>
      </c>
      <c r="F1314" t="s">
        <v>17</v>
      </c>
      <c r="G1314" t="s">
        <v>23</v>
      </c>
      <c r="H1314" t="s">
        <v>19</v>
      </c>
      <c r="I1314" t="s">
        <v>20</v>
      </c>
      <c r="J1314">
        <v>120</v>
      </c>
      <c r="S1314">
        <v>9.6</v>
      </c>
      <c r="T1314">
        <v>0</v>
      </c>
      <c r="U1314">
        <v>1</v>
      </c>
      <c r="V1314">
        <v>0</v>
      </c>
    </row>
    <row r="1315" spans="1:22">
      <c r="A1315" t="s">
        <v>1329</v>
      </c>
      <c r="B1315" s="3">
        <v>46192</v>
      </c>
      <c r="C1315" t="s">
        <v>14</v>
      </c>
      <c r="D1315" t="s">
        <v>37</v>
      </c>
      <c r="E1315" t="s">
        <v>16</v>
      </c>
      <c r="F1315" t="s">
        <v>17</v>
      </c>
      <c r="G1315" t="s">
        <v>32</v>
      </c>
      <c r="H1315" t="s">
        <v>24</v>
      </c>
      <c r="I1315" t="s">
        <v>20</v>
      </c>
      <c r="J1315">
        <v>300</v>
      </c>
      <c r="S1315">
        <v>0</v>
      </c>
      <c r="T1315">
        <v>0</v>
      </c>
      <c r="U1315">
        <v>0</v>
      </c>
      <c r="V1315">
        <v>0</v>
      </c>
    </row>
    <row r="1316" spans="1:22">
      <c r="A1316" t="s">
        <v>1330</v>
      </c>
      <c r="B1316" s="3">
        <v>46192</v>
      </c>
      <c r="C1316" t="s">
        <v>14</v>
      </c>
      <c r="D1316" t="s">
        <v>42</v>
      </c>
      <c r="E1316" t="s">
        <v>16</v>
      </c>
      <c r="F1316" t="s">
        <v>17</v>
      </c>
      <c r="G1316" t="s">
        <v>32</v>
      </c>
      <c r="H1316" t="s">
        <v>19</v>
      </c>
      <c r="I1316" t="s">
        <v>20</v>
      </c>
      <c r="J1316">
        <v>225</v>
      </c>
      <c r="L1316" t="s">
        <v>29</v>
      </c>
      <c r="S1316">
        <v>27</v>
      </c>
      <c r="T1316">
        <v>0</v>
      </c>
      <c r="U1316">
        <v>1</v>
      </c>
      <c r="V1316">
        <v>0</v>
      </c>
    </row>
    <row r="1317" spans="1:22">
      <c r="A1317" t="s">
        <v>1331</v>
      </c>
      <c r="B1317" s="3">
        <v>46192</v>
      </c>
      <c r="C1317" t="s">
        <v>14</v>
      </c>
      <c r="D1317" t="s">
        <v>26</v>
      </c>
      <c r="E1317" t="s">
        <v>16</v>
      </c>
      <c r="F1317" t="s">
        <v>17</v>
      </c>
      <c r="G1317" t="s">
        <v>18</v>
      </c>
      <c r="H1317" t="s">
        <v>19</v>
      </c>
      <c r="I1317" t="s">
        <v>20</v>
      </c>
      <c r="J1317">
        <v>200</v>
      </c>
      <c r="S1317">
        <v>20</v>
      </c>
      <c r="T1317">
        <v>0</v>
      </c>
      <c r="U1317">
        <v>1</v>
      </c>
      <c r="V1317">
        <v>0</v>
      </c>
    </row>
    <row r="1318" spans="1:22">
      <c r="A1318" t="s">
        <v>1332</v>
      </c>
      <c r="B1318" s="3">
        <v>46192</v>
      </c>
      <c r="C1318" t="s">
        <v>47</v>
      </c>
      <c r="D1318" t="s">
        <v>64</v>
      </c>
      <c r="E1318" t="s">
        <v>16</v>
      </c>
      <c r="F1318" t="s">
        <v>17</v>
      </c>
      <c r="G1318" t="s">
        <v>18</v>
      </c>
      <c r="H1318" t="s">
        <v>19</v>
      </c>
      <c r="I1318" t="s">
        <v>20</v>
      </c>
      <c r="J1318">
        <v>200</v>
      </c>
      <c r="S1318">
        <v>20</v>
      </c>
      <c r="T1318">
        <v>0</v>
      </c>
      <c r="U1318">
        <v>1</v>
      </c>
      <c r="V1318">
        <v>0</v>
      </c>
    </row>
    <row r="1319" spans="1:22">
      <c r="A1319" t="s">
        <v>1333</v>
      </c>
      <c r="B1319" s="3">
        <v>46192</v>
      </c>
      <c r="C1319" t="s">
        <v>47</v>
      </c>
      <c r="D1319" t="s">
        <v>148</v>
      </c>
      <c r="E1319" t="s">
        <v>16</v>
      </c>
      <c r="F1319" t="s">
        <v>17</v>
      </c>
      <c r="G1319" t="s">
        <v>23</v>
      </c>
      <c r="H1319" t="s">
        <v>19</v>
      </c>
      <c r="I1319" t="s">
        <v>20</v>
      </c>
      <c r="J1319">
        <v>120</v>
      </c>
      <c r="S1319">
        <v>9.6</v>
      </c>
      <c r="T1319">
        <v>0</v>
      </c>
      <c r="U1319">
        <v>1</v>
      </c>
      <c r="V1319">
        <v>0</v>
      </c>
    </row>
    <row r="1320" spans="1:22">
      <c r="A1320" t="s">
        <v>1334</v>
      </c>
      <c r="B1320" s="3">
        <v>46192</v>
      </c>
      <c r="C1320" t="s">
        <v>47</v>
      </c>
      <c r="D1320" t="s">
        <v>64</v>
      </c>
      <c r="E1320" t="s">
        <v>16</v>
      </c>
      <c r="F1320" t="s">
        <v>17</v>
      </c>
      <c r="G1320" t="s">
        <v>32</v>
      </c>
      <c r="H1320" t="s">
        <v>24</v>
      </c>
      <c r="I1320" t="s">
        <v>20</v>
      </c>
      <c r="J1320">
        <v>300</v>
      </c>
      <c r="S1320">
        <v>0</v>
      </c>
      <c r="T1320">
        <v>0</v>
      </c>
      <c r="U1320">
        <v>0</v>
      </c>
      <c r="V1320">
        <v>0</v>
      </c>
    </row>
    <row r="1321" spans="1:22">
      <c r="A1321" t="s">
        <v>1335</v>
      </c>
      <c r="B1321" s="3">
        <v>46192</v>
      </c>
      <c r="C1321" t="s">
        <v>47</v>
      </c>
      <c r="D1321" t="s">
        <v>50</v>
      </c>
      <c r="E1321" t="s">
        <v>16</v>
      </c>
      <c r="F1321" t="s">
        <v>17</v>
      </c>
      <c r="G1321" t="s">
        <v>32</v>
      </c>
      <c r="H1321" t="s">
        <v>19</v>
      </c>
      <c r="I1321" t="s">
        <v>20</v>
      </c>
      <c r="J1321">
        <v>300</v>
      </c>
      <c r="S1321">
        <v>36</v>
      </c>
      <c r="T1321">
        <v>0</v>
      </c>
      <c r="U1321">
        <v>1</v>
      </c>
      <c r="V1321">
        <v>0</v>
      </c>
    </row>
    <row r="1322" spans="1:22">
      <c r="A1322" t="s">
        <v>1336</v>
      </c>
      <c r="B1322" s="3">
        <v>46192</v>
      </c>
      <c r="C1322" t="s">
        <v>47</v>
      </c>
      <c r="D1322" t="s">
        <v>152</v>
      </c>
      <c r="E1322" t="s">
        <v>16</v>
      </c>
      <c r="F1322" t="s">
        <v>17</v>
      </c>
      <c r="G1322" t="s">
        <v>18</v>
      </c>
      <c r="H1322" t="s">
        <v>19</v>
      </c>
      <c r="I1322" t="s">
        <v>20</v>
      </c>
      <c r="J1322">
        <v>170</v>
      </c>
      <c r="L1322" t="s">
        <v>29</v>
      </c>
      <c r="S1322">
        <v>17</v>
      </c>
      <c r="T1322">
        <v>0</v>
      </c>
      <c r="U1322">
        <v>1</v>
      </c>
      <c r="V1322">
        <v>0</v>
      </c>
    </row>
    <row r="1323" spans="1:22">
      <c r="A1323" t="s">
        <v>1337</v>
      </c>
      <c r="B1323" s="3">
        <v>46192</v>
      </c>
      <c r="C1323" t="s">
        <v>47</v>
      </c>
      <c r="D1323" t="s">
        <v>71</v>
      </c>
      <c r="E1323" t="s">
        <v>16</v>
      </c>
      <c r="F1323" t="s">
        <v>35</v>
      </c>
      <c r="G1323" t="s">
        <v>23</v>
      </c>
      <c r="H1323" t="s">
        <v>19</v>
      </c>
      <c r="I1323" t="s">
        <v>20</v>
      </c>
      <c r="J1323">
        <v>102</v>
      </c>
      <c r="L1323" t="s">
        <v>29</v>
      </c>
      <c r="S1323">
        <v>3.06</v>
      </c>
      <c r="T1323">
        <v>0</v>
      </c>
      <c r="U1323">
        <v>0</v>
      </c>
      <c r="V1323">
        <v>0</v>
      </c>
    </row>
    <row r="1324" spans="1:22">
      <c r="A1324" t="s">
        <v>1338</v>
      </c>
      <c r="B1324" s="3">
        <v>46192</v>
      </c>
      <c r="C1324" t="s">
        <v>47</v>
      </c>
      <c r="D1324" t="s">
        <v>52</v>
      </c>
      <c r="E1324" t="s">
        <v>16</v>
      </c>
      <c r="F1324" t="s">
        <v>17</v>
      </c>
      <c r="G1324" t="s">
        <v>18</v>
      </c>
      <c r="H1324" t="s">
        <v>19</v>
      </c>
      <c r="I1324" t="s">
        <v>20</v>
      </c>
      <c r="J1324">
        <v>200</v>
      </c>
      <c r="S1324">
        <v>20</v>
      </c>
      <c r="T1324">
        <v>0</v>
      </c>
      <c r="U1324">
        <v>1</v>
      </c>
      <c r="V1324">
        <v>0</v>
      </c>
    </row>
    <row r="1325" spans="1:22">
      <c r="A1325" t="s">
        <v>1339</v>
      </c>
      <c r="B1325" s="3">
        <v>46192</v>
      </c>
      <c r="C1325" t="s">
        <v>47</v>
      </c>
      <c r="D1325" t="s">
        <v>73</v>
      </c>
      <c r="E1325" t="s">
        <v>16</v>
      </c>
      <c r="F1325" t="s">
        <v>17</v>
      </c>
      <c r="G1325" t="s">
        <v>32</v>
      </c>
      <c r="H1325" t="s">
        <v>24</v>
      </c>
      <c r="I1325" t="s">
        <v>20</v>
      </c>
      <c r="J1325">
        <v>300</v>
      </c>
      <c r="S1325">
        <v>0</v>
      </c>
      <c r="T1325">
        <v>0</v>
      </c>
      <c r="U1325">
        <v>0</v>
      </c>
      <c r="V1325">
        <v>0</v>
      </c>
    </row>
    <row r="1326" spans="1:22">
      <c r="A1326" t="s">
        <v>1340</v>
      </c>
      <c r="B1326" s="3">
        <v>46192</v>
      </c>
      <c r="C1326" t="s">
        <v>47</v>
      </c>
      <c r="D1326" t="s">
        <v>59</v>
      </c>
      <c r="E1326" t="s">
        <v>16</v>
      </c>
      <c r="F1326" t="s">
        <v>35</v>
      </c>
      <c r="G1326" t="s">
        <v>23</v>
      </c>
      <c r="H1326" t="s">
        <v>19</v>
      </c>
      <c r="I1326" t="s">
        <v>20</v>
      </c>
      <c r="J1326">
        <v>120</v>
      </c>
      <c r="S1326">
        <v>3.6</v>
      </c>
      <c r="T1326">
        <v>0</v>
      </c>
      <c r="U1326">
        <v>0</v>
      </c>
      <c r="V1326">
        <v>0</v>
      </c>
    </row>
    <row r="1327" spans="1:22">
      <c r="A1327" t="s">
        <v>1341</v>
      </c>
      <c r="B1327" s="3">
        <v>46192</v>
      </c>
      <c r="C1327" t="s">
        <v>47</v>
      </c>
      <c r="D1327" t="s">
        <v>64</v>
      </c>
      <c r="E1327" t="s">
        <v>16</v>
      </c>
      <c r="F1327" t="s">
        <v>17</v>
      </c>
      <c r="G1327" t="s">
        <v>32</v>
      </c>
      <c r="H1327" t="s">
        <v>19</v>
      </c>
      <c r="I1327" t="s">
        <v>20</v>
      </c>
      <c r="J1327">
        <v>300</v>
      </c>
      <c r="S1327">
        <v>36</v>
      </c>
      <c r="T1327">
        <v>0</v>
      </c>
      <c r="U1327">
        <v>1</v>
      </c>
      <c r="V1327">
        <v>0</v>
      </c>
    </row>
    <row r="1328" spans="1:22">
      <c r="A1328" t="s">
        <v>1342</v>
      </c>
      <c r="B1328" s="3">
        <v>46192</v>
      </c>
      <c r="C1328" t="s">
        <v>47</v>
      </c>
      <c r="D1328" t="s">
        <v>59</v>
      </c>
      <c r="E1328" t="s">
        <v>16</v>
      </c>
      <c r="F1328" t="s">
        <v>17</v>
      </c>
      <c r="G1328" t="s">
        <v>23</v>
      </c>
      <c r="H1328" t="s">
        <v>19</v>
      </c>
      <c r="I1328" t="s">
        <v>20</v>
      </c>
      <c r="J1328">
        <v>120</v>
      </c>
      <c r="S1328">
        <v>9.6</v>
      </c>
      <c r="T1328">
        <v>0</v>
      </c>
      <c r="U1328">
        <v>1</v>
      </c>
      <c r="V1328">
        <v>0</v>
      </c>
    </row>
    <row r="1329" spans="1:22">
      <c r="A1329" t="s">
        <v>1343</v>
      </c>
      <c r="B1329" s="3">
        <v>46192</v>
      </c>
      <c r="C1329" t="s">
        <v>47</v>
      </c>
      <c r="D1329" t="s">
        <v>71</v>
      </c>
      <c r="E1329" t="s">
        <v>16</v>
      </c>
      <c r="F1329" t="s">
        <v>17</v>
      </c>
      <c r="G1329" t="s">
        <v>23</v>
      </c>
      <c r="H1329" t="s">
        <v>19</v>
      </c>
      <c r="I1329" t="s">
        <v>53</v>
      </c>
      <c r="J1329">
        <v>120</v>
      </c>
      <c r="S1329">
        <v>0</v>
      </c>
      <c r="T1329">
        <v>0</v>
      </c>
      <c r="U1329">
        <v>0</v>
      </c>
      <c r="V1329">
        <v>0</v>
      </c>
    </row>
    <row r="1330" spans="1:22">
      <c r="A1330" t="s">
        <v>1344</v>
      </c>
      <c r="B1330" s="3">
        <v>46192</v>
      </c>
      <c r="C1330" t="s">
        <v>47</v>
      </c>
      <c r="D1330" t="s">
        <v>59</v>
      </c>
      <c r="E1330" t="s">
        <v>16</v>
      </c>
      <c r="F1330" t="s">
        <v>17</v>
      </c>
      <c r="G1330" t="s">
        <v>32</v>
      </c>
      <c r="H1330" t="s">
        <v>19</v>
      </c>
      <c r="I1330" t="s">
        <v>20</v>
      </c>
      <c r="J1330">
        <v>300</v>
      </c>
      <c r="S1330">
        <v>36</v>
      </c>
      <c r="T1330">
        <v>0</v>
      </c>
      <c r="U1330">
        <v>1</v>
      </c>
      <c r="V1330">
        <v>0</v>
      </c>
    </row>
    <row r="1331" spans="1:22">
      <c r="A1331" t="s">
        <v>1345</v>
      </c>
      <c r="B1331" s="3">
        <v>46192</v>
      </c>
      <c r="C1331" t="s">
        <v>47</v>
      </c>
      <c r="D1331" t="s">
        <v>62</v>
      </c>
      <c r="E1331" t="s">
        <v>16</v>
      </c>
      <c r="F1331" t="s">
        <v>35</v>
      </c>
      <c r="G1331" t="s">
        <v>23</v>
      </c>
      <c r="H1331" t="s">
        <v>19</v>
      </c>
      <c r="I1331" t="s">
        <v>20</v>
      </c>
      <c r="J1331">
        <v>120</v>
      </c>
      <c r="S1331">
        <v>3.6</v>
      </c>
      <c r="T1331">
        <v>0</v>
      </c>
      <c r="U1331">
        <v>0</v>
      </c>
      <c r="V1331">
        <v>0</v>
      </c>
    </row>
    <row r="1332" spans="1:22">
      <c r="A1332" t="s">
        <v>1346</v>
      </c>
      <c r="B1332" s="3">
        <v>46192</v>
      </c>
      <c r="C1332" t="s">
        <v>78</v>
      </c>
      <c r="D1332" t="s">
        <v>242</v>
      </c>
      <c r="E1332" t="s">
        <v>16</v>
      </c>
      <c r="F1332" t="s">
        <v>17</v>
      </c>
      <c r="G1332" t="s">
        <v>32</v>
      </c>
      <c r="H1332" t="s">
        <v>19</v>
      </c>
      <c r="I1332" t="s">
        <v>20</v>
      </c>
      <c r="J1332">
        <v>300</v>
      </c>
      <c r="S1332">
        <v>36</v>
      </c>
      <c r="T1332">
        <v>0</v>
      </c>
      <c r="U1332">
        <v>1</v>
      </c>
      <c r="V1332">
        <v>0</v>
      </c>
    </row>
    <row r="1333" spans="1:22">
      <c r="A1333" t="s">
        <v>1347</v>
      </c>
      <c r="B1333" s="3">
        <v>46192</v>
      </c>
      <c r="C1333" t="s">
        <v>78</v>
      </c>
      <c r="D1333" t="s">
        <v>102</v>
      </c>
      <c r="E1333" t="s">
        <v>16</v>
      </c>
      <c r="F1333" t="s">
        <v>17</v>
      </c>
      <c r="G1333" t="s">
        <v>23</v>
      </c>
      <c r="H1333" t="s">
        <v>19</v>
      </c>
      <c r="I1333" t="s">
        <v>20</v>
      </c>
      <c r="J1333">
        <v>120</v>
      </c>
      <c r="S1333">
        <v>9.6</v>
      </c>
      <c r="T1333">
        <v>0</v>
      </c>
      <c r="U1333">
        <v>1</v>
      </c>
      <c r="V1333">
        <v>0</v>
      </c>
    </row>
    <row r="1334" spans="1:22">
      <c r="A1334" t="s">
        <v>1348</v>
      </c>
      <c r="B1334" s="3">
        <v>46192</v>
      </c>
      <c r="C1334" t="s">
        <v>78</v>
      </c>
      <c r="D1334" t="s">
        <v>79</v>
      </c>
      <c r="E1334" t="s">
        <v>16</v>
      </c>
      <c r="F1334" t="s">
        <v>17</v>
      </c>
      <c r="G1334" t="s">
        <v>23</v>
      </c>
      <c r="H1334" t="s">
        <v>19</v>
      </c>
      <c r="I1334" t="s">
        <v>20</v>
      </c>
      <c r="J1334">
        <v>120</v>
      </c>
      <c r="S1334">
        <v>9.6</v>
      </c>
      <c r="T1334">
        <v>0</v>
      </c>
      <c r="U1334">
        <v>1</v>
      </c>
      <c r="V1334">
        <v>0</v>
      </c>
    </row>
    <row r="1335" spans="1:22">
      <c r="A1335" t="s">
        <v>1349</v>
      </c>
      <c r="B1335" s="3">
        <v>46192</v>
      </c>
      <c r="C1335" t="s">
        <v>78</v>
      </c>
      <c r="D1335" t="s">
        <v>87</v>
      </c>
      <c r="E1335" t="s">
        <v>16</v>
      </c>
      <c r="F1335" t="s">
        <v>17</v>
      </c>
      <c r="G1335" t="s">
        <v>23</v>
      </c>
      <c r="H1335" t="s">
        <v>19</v>
      </c>
      <c r="I1335" t="s">
        <v>20</v>
      </c>
      <c r="J1335">
        <v>90</v>
      </c>
      <c r="L1335" t="s">
        <v>29</v>
      </c>
      <c r="S1335">
        <v>7.2</v>
      </c>
      <c r="T1335">
        <v>0</v>
      </c>
      <c r="U1335">
        <v>1</v>
      </c>
      <c r="V1335">
        <v>0</v>
      </c>
    </row>
    <row r="1336" spans="1:22">
      <c r="A1336" t="s">
        <v>1350</v>
      </c>
      <c r="B1336" s="3">
        <v>46192</v>
      </c>
      <c r="C1336" t="s">
        <v>78</v>
      </c>
      <c r="D1336" t="s">
        <v>242</v>
      </c>
      <c r="E1336" t="s">
        <v>16</v>
      </c>
      <c r="F1336" t="s">
        <v>17</v>
      </c>
      <c r="G1336" t="s">
        <v>32</v>
      </c>
      <c r="H1336" t="s">
        <v>19</v>
      </c>
      <c r="I1336" t="s">
        <v>20</v>
      </c>
      <c r="J1336">
        <v>225</v>
      </c>
      <c r="L1336" t="s">
        <v>29</v>
      </c>
      <c r="S1336">
        <v>27</v>
      </c>
      <c r="T1336">
        <v>0</v>
      </c>
      <c r="U1336">
        <v>1</v>
      </c>
      <c r="V1336">
        <v>0</v>
      </c>
    </row>
    <row r="1337" spans="1:22">
      <c r="A1337" t="s">
        <v>1351</v>
      </c>
      <c r="B1337" s="3">
        <v>46192</v>
      </c>
      <c r="C1337" t="s">
        <v>78</v>
      </c>
      <c r="D1337" t="s">
        <v>163</v>
      </c>
      <c r="E1337" t="s">
        <v>16</v>
      </c>
      <c r="F1337" t="s">
        <v>17</v>
      </c>
      <c r="G1337" t="s">
        <v>32</v>
      </c>
      <c r="H1337" t="s">
        <v>19</v>
      </c>
      <c r="I1337" t="s">
        <v>20</v>
      </c>
      <c r="J1337">
        <v>300</v>
      </c>
      <c r="S1337">
        <v>36</v>
      </c>
      <c r="T1337">
        <v>0</v>
      </c>
      <c r="U1337">
        <v>1</v>
      </c>
      <c r="V1337">
        <v>0</v>
      </c>
    </row>
    <row r="1338" spans="1:22">
      <c r="A1338" t="s">
        <v>1352</v>
      </c>
      <c r="B1338" s="3">
        <v>46192</v>
      </c>
      <c r="C1338" t="s">
        <v>78</v>
      </c>
      <c r="D1338" t="s">
        <v>102</v>
      </c>
      <c r="E1338" t="s">
        <v>16</v>
      </c>
      <c r="F1338" t="s">
        <v>17</v>
      </c>
      <c r="G1338" t="s">
        <v>32</v>
      </c>
      <c r="H1338" t="s">
        <v>19</v>
      </c>
      <c r="I1338" t="s">
        <v>20</v>
      </c>
      <c r="J1338">
        <v>300</v>
      </c>
      <c r="S1338">
        <v>36</v>
      </c>
      <c r="T1338">
        <v>0</v>
      </c>
      <c r="U1338">
        <v>1</v>
      </c>
      <c r="V1338">
        <v>0</v>
      </c>
    </row>
    <row r="1339" spans="1:22">
      <c r="A1339" t="s">
        <v>1353</v>
      </c>
      <c r="B1339" s="3">
        <v>46192</v>
      </c>
      <c r="C1339" t="s">
        <v>78</v>
      </c>
      <c r="D1339" t="s">
        <v>81</v>
      </c>
      <c r="E1339" t="s">
        <v>16</v>
      </c>
      <c r="F1339" t="s">
        <v>35</v>
      </c>
      <c r="G1339" t="s">
        <v>18</v>
      </c>
      <c r="H1339" t="s">
        <v>19</v>
      </c>
      <c r="I1339" t="s">
        <v>20</v>
      </c>
      <c r="J1339">
        <v>200</v>
      </c>
      <c r="S1339">
        <v>6</v>
      </c>
      <c r="T1339">
        <v>0</v>
      </c>
      <c r="U1339">
        <v>0</v>
      </c>
      <c r="V1339">
        <v>0</v>
      </c>
    </row>
    <row r="1340" spans="1:22">
      <c r="A1340" t="s">
        <v>1354</v>
      </c>
      <c r="B1340" s="3">
        <v>46192</v>
      </c>
      <c r="C1340" t="s">
        <v>78</v>
      </c>
      <c r="D1340" t="s">
        <v>83</v>
      </c>
      <c r="E1340" t="s">
        <v>16</v>
      </c>
      <c r="F1340" t="s">
        <v>17</v>
      </c>
      <c r="G1340" t="s">
        <v>18</v>
      </c>
      <c r="H1340" t="s">
        <v>19</v>
      </c>
      <c r="I1340" t="s">
        <v>20</v>
      </c>
      <c r="J1340">
        <v>200</v>
      </c>
      <c r="S1340">
        <v>20</v>
      </c>
      <c r="T1340">
        <v>0</v>
      </c>
      <c r="U1340">
        <v>1</v>
      </c>
      <c r="V1340">
        <v>0</v>
      </c>
    </row>
    <row r="1341" spans="1:22">
      <c r="A1341" t="s">
        <v>1355</v>
      </c>
      <c r="B1341" s="3">
        <v>46192</v>
      </c>
      <c r="C1341" t="s">
        <v>78</v>
      </c>
      <c r="D1341" t="s">
        <v>87</v>
      </c>
      <c r="E1341" t="s">
        <v>16</v>
      </c>
      <c r="F1341" t="s">
        <v>35</v>
      </c>
      <c r="G1341" t="s">
        <v>18</v>
      </c>
      <c r="H1341" t="s">
        <v>19</v>
      </c>
      <c r="I1341" t="s">
        <v>53</v>
      </c>
      <c r="J1341">
        <v>200</v>
      </c>
      <c r="S1341">
        <v>0</v>
      </c>
      <c r="T1341">
        <v>0</v>
      </c>
      <c r="U1341">
        <v>0</v>
      </c>
      <c r="V1341">
        <v>0</v>
      </c>
    </row>
    <row r="1342" spans="1:22">
      <c r="A1342" t="s">
        <v>1356</v>
      </c>
      <c r="B1342" s="3">
        <v>46192</v>
      </c>
      <c r="C1342" t="s">
        <v>78</v>
      </c>
      <c r="D1342" t="s">
        <v>161</v>
      </c>
      <c r="E1342" t="s">
        <v>16</v>
      </c>
      <c r="F1342" t="s">
        <v>17</v>
      </c>
      <c r="G1342" t="s">
        <v>18</v>
      </c>
      <c r="H1342" t="s">
        <v>19</v>
      </c>
      <c r="I1342" t="s">
        <v>20</v>
      </c>
      <c r="J1342">
        <v>200</v>
      </c>
      <c r="S1342">
        <v>20</v>
      </c>
      <c r="T1342">
        <v>0</v>
      </c>
      <c r="U1342">
        <v>1</v>
      </c>
      <c r="V1342">
        <v>0</v>
      </c>
    </row>
    <row r="1343" spans="1:22">
      <c r="A1343" t="s">
        <v>1357</v>
      </c>
      <c r="B1343" s="3">
        <v>46192</v>
      </c>
      <c r="C1343" t="s">
        <v>78</v>
      </c>
      <c r="D1343" t="s">
        <v>97</v>
      </c>
      <c r="E1343" t="s">
        <v>16</v>
      </c>
      <c r="F1343" t="s">
        <v>35</v>
      </c>
      <c r="G1343" t="s">
        <v>18</v>
      </c>
      <c r="H1343" t="s">
        <v>24</v>
      </c>
      <c r="I1343" t="s">
        <v>20</v>
      </c>
      <c r="J1343">
        <v>200</v>
      </c>
      <c r="S1343">
        <v>0</v>
      </c>
      <c r="T1343">
        <v>0</v>
      </c>
      <c r="U1343">
        <v>0</v>
      </c>
      <c r="V1343">
        <v>0</v>
      </c>
    </row>
    <row r="1344" spans="1:22">
      <c r="A1344" t="s">
        <v>1358</v>
      </c>
      <c r="B1344" s="3">
        <v>46192</v>
      </c>
      <c r="C1344" t="s">
        <v>78</v>
      </c>
      <c r="D1344" t="s">
        <v>242</v>
      </c>
      <c r="E1344" t="s">
        <v>16</v>
      </c>
      <c r="F1344" t="s">
        <v>17</v>
      </c>
      <c r="G1344" t="s">
        <v>23</v>
      </c>
      <c r="H1344" t="s">
        <v>19</v>
      </c>
      <c r="I1344" t="s">
        <v>20</v>
      </c>
      <c r="J1344">
        <v>120</v>
      </c>
      <c r="S1344">
        <v>9.6</v>
      </c>
      <c r="T1344">
        <v>0</v>
      </c>
      <c r="U1344">
        <v>1</v>
      </c>
      <c r="V1344">
        <v>0</v>
      </c>
    </row>
    <row r="1345" spans="1:22">
      <c r="A1345" t="s">
        <v>1359</v>
      </c>
      <c r="B1345" s="3">
        <v>46192</v>
      </c>
      <c r="C1345" t="s">
        <v>78</v>
      </c>
      <c r="D1345" t="s">
        <v>81</v>
      </c>
      <c r="E1345" t="s">
        <v>16</v>
      </c>
      <c r="F1345" t="s">
        <v>17</v>
      </c>
      <c r="G1345" t="s">
        <v>23</v>
      </c>
      <c r="H1345" t="s">
        <v>19</v>
      </c>
      <c r="I1345" t="s">
        <v>20</v>
      </c>
      <c r="J1345">
        <v>120</v>
      </c>
      <c r="S1345">
        <v>9.6</v>
      </c>
      <c r="T1345">
        <v>0</v>
      </c>
      <c r="U1345">
        <v>1</v>
      </c>
      <c r="V1345">
        <v>0</v>
      </c>
    </row>
    <row r="1346" spans="1:22">
      <c r="A1346" t="s">
        <v>1360</v>
      </c>
      <c r="B1346" s="3">
        <v>46192</v>
      </c>
      <c r="C1346" t="s">
        <v>78</v>
      </c>
      <c r="D1346" t="s">
        <v>89</v>
      </c>
      <c r="E1346" t="s">
        <v>16</v>
      </c>
      <c r="F1346" t="s">
        <v>17</v>
      </c>
      <c r="G1346" t="s">
        <v>32</v>
      </c>
      <c r="H1346" t="s">
        <v>19</v>
      </c>
      <c r="I1346" t="s">
        <v>20</v>
      </c>
      <c r="J1346">
        <v>225</v>
      </c>
      <c r="L1346" t="s">
        <v>1270</v>
      </c>
      <c r="S1346">
        <v>27</v>
      </c>
      <c r="T1346">
        <v>0</v>
      </c>
      <c r="U1346">
        <v>1</v>
      </c>
      <c r="V1346">
        <v>0</v>
      </c>
    </row>
    <row r="1347" spans="1:22">
      <c r="A1347" t="s">
        <v>1361</v>
      </c>
      <c r="B1347" s="3">
        <v>46192</v>
      </c>
      <c r="C1347" t="s">
        <v>78</v>
      </c>
      <c r="D1347" t="s">
        <v>242</v>
      </c>
      <c r="E1347" t="s">
        <v>16</v>
      </c>
      <c r="F1347" t="s">
        <v>17</v>
      </c>
      <c r="G1347" t="s">
        <v>32</v>
      </c>
      <c r="H1347" t="s">
        <v>19</v>
      </c>
      <c r="I1347" t="s">
        <v>20</v>
      </c>
      <c r="J1347">
        <v>225</v>
      </c>
      <c r="L1347" t="s">
        <v>1270</v>
      </c>
      <c r="S1347">
        <v>27</v>
      </c>
      <c r="T1347">
        <v>0</v>
      </c>
      <c r="U1347">
        <v>1</v>
      </c>
      <c r="V1347">
        <v>0</v>
      </c>
    </row>
    <row r="1348" spans="1:22">
      <c r="A1348" t="s">
        <v>1362</v>
      </c>
      <c r="B1348" s="3">
        <v>46192</v>
      </c>
      <c r="C1348" t="s">
        <v>78</v>
      </c>
      <c r="D1348" t="s">
        <v>79</v>
      </c>
      <c r="E1348" t="s">
        <v>16</v>
      </c>
      <c r="F1348" t="s">
        <v>17</v>
      </c>
      <c r="G1348" t="s">
        <v>32</v>
      </c>
      <c r="H1348" t="s">
        <v>19</v>
      </c>
      <c r="I1348" t="s">
        <v>20</v>
      </c>
      <c r="J1348">
        <v>225</v>
      </c>
      <c r="L1348" t="s">
        <v>1270</v>
      </c>
      <c r="S1348">
        <v>27</v>
      </c>
      <c r="T1348">
        <v>0</v>
      </c>
      <c r="U1348">
        <v>1</v>
      </c>
      <c r="V1348">
        <v>0</v>
      </c>
    </row>
    <row r="1349" spans="1:22">
      <c r="A1349" t="s">
        <v>1363</v>
      </c>
      <c r="B1349" s="3">
        <v>46192</v>
      </c>
      <c r="C1349" t="s">
        <v>78</v>
      </c>
      <c r="D1349" t="s">
        <v>83</v>
      </c>
      <c r="E1349" t="s">
        <v>16</v>
      </c>
      <c r="F1349" t="s">
        <v>17</v>
      </c>
      <c r="G1349" t="s">
        <v>32</v>
      </c>
      <c r="H1349" t="s">
        <v>19</v>
      </c>
      <c r="I1349" t="s">
        <v>20</v>
      </c>
      <c r="J1349">
        <v>225</v>
      </c>
      <c r="L1349" t="s">
        <v>1270</v>
      </c>
      <c r="S1349">
        <v>27</v>
      </c>
      <c r="T1349">
        <v>0</v>
      </c>
      <c r="U1349">
        <v>1</v>
      </c>
      <c r="V1349">
        <v>0</v>
      </c>
    </row>
    <row r="1350" spans="1:22">
      <c r="A1350" t="s">
        <v>1364</v>
      </c>
      <c r="B1350" s="3">
        <v>46192</v>
      </c>
      <c r="C1350" t="s">
        <v>78</v>
      </c>
      <c r="D1350" t="s">
        <v>89</v>
      </c>
      <c r="E1350" t="s">
        <v>16</v>
      </c>
      <c r="F1350" t="s">
        <v>17</v>
      </c>
      <c r="G1350" t="s">
        <v>32</v>
      </c>
      <c r="H1350" t="s">
        <v>19</v>
      </c>
      <c r="I1350" t="s">
        <v>20</v>
      </c>
      <c r="J1350">
        <v>225</v>
      </c>
      <c r="L1350" t="s">
        <v>1270</v>
      </c>
      <c r="S1350">
        <v>27</v>
      </c>
      <c r="T1350">
        <v>0</v>
      </c>
      <c r="U1350">
        <v>1</v>
      </c>
      <c r="V1350">
        <v>0</v>
      </c>
    </row>
    <row r="1351" spans="1:22">
      <c r="A1351" t="s">
        <v>1365</v>
      </c>
      <c r="B1351" s="3">
        <v>46192</v>
      </c>
      <c r="C1351" t="s">
        <v>78</v>
      </c>
      <c r="D1351" t="s">
        <v>163</v>
      </c>
      <c r="E1351" t="s">
        <v>16</v>
      </c>
      <c r="F1351" t="s">
        <v>17</v>
      </c>
      <c r="G1351" t="s">
        <v>32</v>
      </c>
      <c r="H1351" t="s">
        <v>19</v>
      </c>
      <c r="I1351" t="s">
        <v>20</v>
      </c>
      <c r="J1351">
        <v>225</v>
      </c>
      <c r="L1351" t="s">
        <v>1270</v>
      </c>
      <c r="S1351">
        <v>27</v>
      </c>
      <c r="T1351">
        <v>0</v>
      </c>
      <c r="U1351">
        <v>1</v>
      </c>
      <c r="V1351">
        <v>0</v>
      </c>
    </row>
    <row r="1352" spans="1:22">
      <c r="A1352" t="s">
        <v>1366</v>
      </c>
      <c r="B1352" s="3">
        <v>46192</v>
      </c>
      <c r="C1352" t="s">
        <v>78</v>
      </c>
      <c r="D1352" t="s">
        <v>81</v>
      </c>
      <c r="E1352" t="s">
        <v>16</v>
      </c>
      <c r="F1352" t="s">
        <v>17</v>
      </c>
      <c r="G1352" t="s">
        <v>32</v>
      </c>
      <c r="H1352" t="s">
        <v>19</v>
      </c>
      <c r="I1352" t="s">
        <v>20</v>
      </c>
      <c r="J1352">
        <v>225</v>
      </c>
      <c r="L1352" t="s">
        <v>1270</v>
      </c>
      <c r="S1352">
        <v>27</v>
      </c>
      <c r="T1352">
        <v>0</v>
      </c>
      <c r="U1352">
        <v>1</v>
      </c>
      <c r="V1352">
        <v>0</v>
      </c>
    </row>
    <row r="1353" spans="1:22">
      <c r="A1353" t="s">
        <v>1367</v>
      </c>
      <c r="B1353" s="3">
        <v>46192</v>
      </c>
      <c r="C1353" t="s">
        <v>78</v>
      </c>
      <c r="D1353" t="s">
        <v>93</v>
      </c>
      <c r="E1353" t="s">
        <v>16</v>
      </c>
      <c r="F1353" t="s">
        <v>17</v>
      </c>
      <c r="G1353" t="s">
        <v>32</v>
      </c>
      <c r="H1353" t="s">
        <v>19</v>
      </c>
      <c r="I1353" t="s">
        <v>20</v>
      </c>
      <c r="J1353">
        <v>225</v>
      </c>
      <c r="L1353" t="s">
        <v>1270</v>
      </c>
      <c r="S1353">
        <v>27</v>
      </c>
      <c r="T1353">
        <v>0</v>
      </c>
      <c r="U1353">
        <v>1</v>
      </c>
      <c r="V1353">
        <v>0</v>
      </c>
    </row>
    <row r="1354" spans="1:22">
      <c r="A1354" t="s">
        <v>1368</v>
      </c>
      <c r="B1354" s="3">
        <v>46192</v>
      </c>
      <c r="C1354" t="s">
        <v>78</v>
      </c>
      <c r="D1354" t="s">
        <v>87</v>
      </c>
      <c r="E1354" t="s">
        <v>16</v>
      </c>
      <c r="F1354" t="s">
        <v>17</v>
      </c>
      <c r="G1354" t="s">
        <v>32</v>
      </c>
      <c r="H1354" t="s">
        <v>19</v>
      </c>
      <c r="I1354" t="s">
        <v>20</v>
      </c>
      <c r="J1354">
        <v>225</v>
      </c>
      <c r="L1354" t="s">
        <v>1270</v>
      </c>
      <c r="S1354">
        <v>27</v>
      </c>
      <c r="T1354">
        <v>0</v>
      </c>
      <c r="U1354">
        <v>1</v>
      </c>
      <c r="V1354">
        <v>0</v>
      </c>
    </row>
    <row r="1355" spans="1:22">
      <c r="A1355" t="s">
        <v>1369</v>
      </c>
      <c r="B1355" s="3">
        <v>46192</v>
      </c>
      <c r="C1355" t="s">
        <v>78</v>
      </c>
      <c r="D1355" t="s">
        <v>83</v>
      </c>
      <c r="E1355" t="s">
        <v>16</v>
      </c>
      <c r="F1355" t="s">
        <v>17</v>
      </c>
      <c r="G1355" t="s">
        <v>32</v>
      </c>
      <c r="H1355" t="s">
        <v>19</v>
      </c>
      <c r="I1355" t="s">
        <v>20</v>
      </c>
      <c r="J1355">
        <v>225</v>
      </c>
      <c r="L1355" t="s">
        <v>1270</v>
      </c>
      <c r="S1355">
        <v>27</v>
      </c>
      <c r="T1355">
        <v>0</v>
      </c>
      <c r="U1355">
        <v>1</v>
      </c>
      <c r="V1355">
        <v>0</v>
      </c>
    </row>
    <row r="1356" spans="1:22">
      <c r="A1356" t="s">
        <v>1370</v>
      </c>
      <c r="B1356" s="3">
        <v>46192</v>
      </c>
      <c r="C1356" t="s">
        <v>78</v>
      </c>
      <c r="D1356" t="s">
        <v>161</v>
      </c>
      <c r="E1356" t="s">
        <v>16</v>
      </c>
      <c r="F1356" t="s">
        <v>17</v>
      </c>
      <c r="G1356" t="s">
        <v>32</v>
      </c>
      <c r="H1356" t="s">
        <v>19</v>
      </c>
      <c r="I1356" t="s">
        <v>20</v>
      </c>
      <c r="J1356">
        <v>225</v>
      </c>
      <c r="L1356" t="s">
        <v>1270</v>
      </c>
      <c r="S1356">
        <v>27</v>
      </c>
      <c r="T1356">
        <v>0</v>
      </c>
      <c r="U1356">
        <v>1</v>
      </c>
      <c r="V1356">
        <v>0</v>
      </c>
    </row>
    <row r="1357" spans="1:22">
      <c r="A1357" t="s">
        <v>1371</v>
      </c>
      <c r="B1357" s="3">
        <v>46192</v>
      </c>
      <c r="C1357" t="s">
        <v>78</v>
      </c>
      <c r="D1357" t="s">
        <v>81</v>
      </c>
      <c r="E1357" t="s">
        <v>16</v>
      </c>
      <c r="F1357" t="s">
        <v>17</v>
      </c>
      <c r="G1357" t="s">
        <v>32</v>
      </c>
      <c r="H1357" t="s">
        <v>19</v>
      </c>
      <c r="I1357" t="s">
        <v>20</v>
      </c>
      <c r="J1357">
        <v>225</v>
      </c>
      <c r="L1357" t="s">
        <v>1270</v>
      </c>
      <c r="S1357">
        <v>27</v>
      </c>
      <c r="T1357">
        <v>0</v>
      </c>
      <c r="U1357">
        <v>1</v>
      </c>
      <c r="V1357">
        <v>0</v>
      </c>
    </row>
    <row r="1358" spans="1:22">
      <c r="A1358" t="s">
        <v>1372</v>
      </c>
      <c r="B1358" s="3">
        <v>46192</v>
      </c>
      <c r="C1358" t="s">
        <v>78</v>
      </c>
      <c r="D1358" t="s">
        <v>93</v>
      </c>
      <c r="E1358" t="s">
        <v>16</v>
      </c>
      <c r="F1358" t="s">
        <v>17</v>
      </c>
      <c r="G1358" t="s">
        <v>32</v>
      </c>
      <c r="H1358" t="s">
        <v>19</v>
      </c>
      <c r="I1358" t="s">
        <v>20</v>
      </c>
      <c r="J1358">
        <v>225</v>
      </c>
      <c r="L1358" t="s">
        <v>1270</v>
      </c>
      <c r="S1358">
        <v>27</v>
      </c>
      <c r="T1358">
        <v>0</v>
      </c>
      <c r="U1358">
        <v>1</v>
      </c>
      <c r="V1358">
        <v>0</v>
      </c>
    </row>
    <row r="1359" spans="1:22">
      <c r="A1359" t="s">
        <v>1373</v>
      </c>
      <c r="B1359" s="3">
        <v>46192</v>
      </c>
      <c r="C1359" t="s">
        <v>78</v>
      </c>
      <c r="D1359" t="s">
        <v>97</v>
      </c>
      <c r="E1359" t="s">
        <v>16</v>
      </c>
      <c r="F1359" t="s">
        <v>17</v>
      </c>
      <c r="G1359" t="s">
        <v>32</v>
      </c>
      <c r="H1359" t="s">
        <v>19</v>
      </c>
      <c r="I1359" t="s">
        <v>20</v>
      </c>
      <c r="J1359">
        <v>225</v>
      </c>
      <c r="L1359" t="s">
        <v>1270</v>
      </c>
      <c r="S1359">
        <v>27</v>
      </c>
      <c r="T1359">
        <v>0</v>
      </c>
      <c r="U1359">
        <v>1</v>
      </c>
      <c r="V1359">
        <v>0</v>
      </c>
    </row>
    <row r="1360" spans="1:22">
      <c r="A1360" t="s">
        <v>1374</v>
      </c>
      <c r="B1360" s="3">
        <v>46192</v>
      </c>
      <c r="C1360" t="s">
        <v>78</v>
      </c>
      <c r="D1360" t="s">
        <v>161</v>
      </c>
      <c r="E1360" t="s">
        <v>16</v>
      </c>
      <c r="F1360" t="s">
        <v>17</v>
      </c>
      <c r="G1360" t="s">
        <v>32</v>
      </c>
      <c r="H1360" t="s">
        <v>19</v>
      </c>
      <c r="I1360" t="s">
        <v>20</v>
      </c>
      <c r="J1360">
        <v>225</v>
      </c>
      <c r="L1360" t="s">
        <v>1270</v>
      </c>
      <c r="S1360">
        <v>27</v>
      </c>
      <c r="T1360">
        <v>0</v>
      </c>
      <c r="U1360">
        <v>1</v>
      </c>
      <c r="V1360">
        <v>0</v>
      </c>
    </row>
    <row r="1361" spans="1:22">
      <c r="A1361" t="s">
        <v>1375</v>
      </c>
      <c r="B1361" s="3">
        <v>46192</v>
      </c>
      <c r="C1361" t="s">
        <v>78</v>
      </c>
      <c r="D1361" t="s">
        <v>79</v>
      </c>
      <c r="E1361" t="s">
        <v>16</v>
      </c>
      <c r="F1361" t="s">
        <v>17</v>
      </c>
      <c r="G1361" t="s">
        <v>32</v>
      </c>
      <c r="H1361" t="s">
        <v>19</v>
      </c>
      <c r="I1361" t="s">
        <v>20</v>
      </c>
      <c r="J1361">
        <v>225</v>
      </c>
      <c r="L1361" t="s">
        <v>1270</v>
      </c>
      <c r="S1361">
        <v>27</v>
      </c>
      <c r="T1361">
        <v>0</v>
      </c>
      <c r="U1361">
        <v>1</v>
      </c>
      <c r="V1361">
        <v>0</v>
      </c>
    </row>
    <row r="1362" spans="1:22">
      <c r="A1362" t="s">
        <v>1376</v>
      </c>
      <c r="B1362" s="3">
        <v>46192</v>
      </c>
      <c r="C1362" t="s">
        <v>78</v>
      </c>
      <c r="D1362" t="s">
        <v>93</v>
      </c>
      <c r="E1362" t="s">
        <v>16</v>
      </c>
      <c r="F1362" t="s">
        <v>17</v>
      </c>
      <c r="G1362" t="s">
        <v>32</v>
      </c>
      <c r="H1362" t="s">
        <v>19</v>
      </c>
      <c r="I1362" t="s">
        <v>20</v>
      </c>
      <c r="J1362">
        <v>225</v>
      </c>
      <c r="L1362" t="s">
        <v>1270</v>
      </c>
      <c r="S1362">
        <v>27</v>
      </c>
      <c r="T1362">
        <v>0</v>
      </c>
      <c r="U1362">
        <v>1</v>
      </c>
      <c r="V1362">
        <v>0</v>
      </c>
    </row>
    <row r="1363" spans="1:22">
      <c r="A1363" t="s">
        <v>1377</v>
      </c>
      <c r="B1363" s="3">
        <v>46192</v>
      </c>
      <c r="C1363" t="s">
        <v>78</v>
      </c>
      <c r="D1363" t="s">
        <v>161</v>
      </c>
      <c r="E1363" t="s">
        <v>16</v>
      </c>
      <c r="F1363" t="s">
        <v>17</v>
      </c>
      <c r="G1363" t="s">
        <v>32</v>
      </c>
      <c r="H1363" t="s">
        <v>19</v>
      </c>
      <c r="I1363" t="s">
        <v>20</v>
      </c>
      <c r="J1363">
        <v>225</v>
      </c>
      <c r="L1363" t="s">
        <v>1270</v>
      </c>
      <c r="S1363">
        <v>27</v>
      </c>
      <c r="T1363">
        <v>0</v>
      </c>
      <c r="U1363">
        <v>1</v>
      </c>
      <c r="V1363">
        <v>0</v>
      </c>
    </row>
    <row r="1364" spans="1:22">
      <c r="A1364" t="s">
        <v>1378</v>
      </c>
      <c r="B1364" s="3">
        <v>46192</v>
      </c>
      <c r="C1364" t="s">
        <v>78</v>
      </c>
      <c r="D1364" t="s">
        <v>79</v>
      </c>
      <c r="E1364" t="s">
        <v>16</v>
      </c>
      <c r="F1364" t="s">
        <v>17</v>
      </c>
      <c r="G1364" t="s">
        <v>32</v>
      </c>
      <c r="H1364" t="s">
        <v>19</v>
      </c>
      <c r="I1364" t="s">
        <v>20</v>
      </c>
      <c r="J1364">
        <v>225</v>
      </c>
      <c r="L1364" t="s">
        <v>1270</v>
      </c>
      <c r="S1364">
        <v>27</v>
      </c>
      <c r="T1364">
        <v>0</v>
      </c>
      <c r="U1364">
        <v>1</v>
      </c>
      <c r="V1364">
        <v>0</v>
      </c>
    </row>
    <row r="1365" spans="1:22">
      <c r="A1365" t="s">
        <v>1379</v>
      </c>
      <c r="B1365" s="3">
        <v>46192</v>
      </c>
      <c r="C1365" t="s">
        <v>105</v>
      </c>
      <c r="D1365" t="s">
        <v>106</v>
      </c>
      <c r="E1365" t="s">
        <v>16</v>
      </c>
      <c r="F1365" t="s">
        <v>35</v>
      </c>
      <c r="G1365" t="s">
        <v>23</v>
      </c>
      <c r="H1365" t="s">
        <v>19</v>
      </c>
      <c r="I1365" t="s">
        <v>20</v>
      </c>
      <c r="J1365">
        <v>120</v>
      </c>
      <c r="S1365">
        <v>3.6</v>
      </c>
      <c r="T1365">
        <v>0</v>
      </c>
      <c r="U1365">
        <v>0</v>
      </c>
      <c r="V1365">
        <v>0</v>
      </c>
    </row>
    <row r="1366" spans="1:22">
      <c r="A1366" t="s">
        <v>1380</v>
      </c>
      <c r="B1366" s="3">
        <v>46192</v>
      </c>
      <c r="C1366" t="s">
        <v>105</v>
      </c>
      <c r="D1366" t="s">
        <v>120</v>
      </c>
      <c r="E1366" t="s">
        <v>16</v>
      </c>
      <c r="F1366" t="s">
        <v>17</v>
      </c>
      <c r="G1366" t="s">
        <v>32</v>
      </c>
      <c r="H1366" t="s">
        <v>19</v>
      </c>
      <c r="I1366" t="s">
        <v>20</v>
      </c>
      <c r="J1366">
        <v>300</v>
      </c>
      <c r="S1366">
        <v>36</v>
      </c>
      <c r="T1366">
        <v>0</v>
      </c>
      <c r="U1366">
        <v>1</v>
      </c>
      <c r="V1366">
        <v>0</v>
      </c>
    </row>
    <row r="1367" spans="1:22">
      <c r="A1367" t="s">
        <v>1381</v>
      </c>
      <c r="B1367" s="3">
        <v>46192</v>
      </c>
      <c r="C1367" t="s">
        <v>105</v>
      </c>
      <c r="D1367" t="s">
        <v>187</v>
      </c>
      <c r="E1367" t="s">
        <v>16</v>
      </c>
      <c r="F1367" t="s">
        <v>35</v>
      </c>
      <c r="G1367" t="s">
        <v>23</v>
      </c>
      <c r="H1367" t="s">
        <v>19</v>
      </c>
      <c r="I1367" t="s">
        <v>20</v>
      </c>
      <c r="J1367">
        <v>120</v>
      </c>
      <c r="S1367">
        <v>3.6</v>
      </c>
      <c r="T1367">
        <v>0</v>
      </c>
      <c r="U1367">
        <v>0</v>
      </c>
      <c r="V1367">
        <v>0</v>
      </c>
    </row>
    <row r="1368" spans="1:22">
      <c r="A1368" t="s">
        <v>1382</v>
      </c>
      <c r="B1368" s="3">
        <v>46192</v>
      </c>
      <c r="C1368" t="s">
        <v>105</v>
      </c>
      <c r="D1368" t="s">
        <v>120</v>
      </c>
      <c r="E1368" t="s">
        <v>16</v>
      </c>
      <c r="F1368" t="s">
        <v>35</v>
      </c>
      <c r="G1368" t="s">
        <v>18</v>
      </c>
      <c r="H1368" t="s">
        <v>19</v>
      </c>
      <c r="I1368" t="s">
        <v>20</v>
      </c>
      <c r="J1368">
        <v>150</v>
      </c>
      <c r="L1368" t="s">
        <v>29</v>
      </c>
      <c r="S1368">
        <v>4.5</v>
      </c>
      <c r="T1368">
        <v>0</v>
      </c>
      <c r="U1368">
        <v>0</v>
      </c>
      <c r="V1368">
        <v>0</v>
      </c>
    </row>
    <row r="1369" spans="1:22">
      <c r="A1369" t="s">
        <v>1383</v>
      </c>
      <c r="B1369" s="3">
        <v>46192</v>
      </c>
      <c r="C1369" t="s">
        <v>105</v>
      </c>
      <c r="D1369" t="s">
        <v>194</v>
      </c>
      <c r="E1369" t="s">
        <v>16</v>
      </c>
      <c r="F1369" t="s">
        <v>17</v>
      </c>
      <c r="G1369" t="s">
        <v>18</v>
      </c>
      <c r="H1369" t="s">
        <v>19</v>
      </c>
      <c r="I1369" t="s">
        <v>20</v>
      </c>
      <c r="J1369">
        <v>200</v>
      </c>
      <c r="S1369">
        <v>20</v>
      </c>
      <c r="T1369">
        <v>0</v>
      </c>
      <c r="U1369">
        <v>1</v>
      </c>
      <c r="V1369">
        <v>0</v>
      </c>
    </row>
    <row r="1370" spans="1:22">
      <c r="A1370" t="s">
        <v>1384</v>
      </c>
      <c r="B1370" s="3">
        <v>46192</v>
      </c>
      <c r="C1370" t="s">
        <v>105</v>
      </c>
      <c r="D1370" t="s">
        <v>265</v>
      </c>
      <c r="E1370" t="s">
        <v>16</v>
      </c>
      <c r="F1370" t="s">
        <v>35</v>
      </c>
      <c r="G1370" t="s">
        <v>23</v>
      </c>
      <c r="H1370" t="s">
        <v>19</v>
      </c>
      <c r="I1370" t="s">
        <v>20</v>
      </c>
      <c r="J1370">
        <v>120</v>
      </c>
      <c r="S1370">
        <v>3.6</v>
      </c>
      <c r="T1370">
        <v>0</v>
      </c>
      <c r="U1370">
        <v>0</v>
      </c>
      <c r="V1370">
        <v>0</v>
      </c>
    </row>
    <row r="1371" spans="1:22">
      <c r="A1371" t="s">
        <v>1385</v>
      </c>
      <c r="B1371" s="3">
        <v>46192</v>
      </c>
      <c r="C1371" t="s">
        <v>105</v>
      </c>
      <c r="D1371" t="s">
        <v>112</v>
      </c>
      <c r="E1371" t="s">
        <v>16</v>
      </c>
      <c r="F1371" t="s">
        <v>17</v>
      </c>
      <c r="G1371" t="s">
        <v>18</v>
      </c>
      <c r="H1371" t="s">
        <v>19</v>
      </c>
      <c r="I1371" t="s">
        <v>20</v>
      </c>
      <c r="J1371">
        <v>200</v>
      </c>
      <c r="S1371">
        <v>20</v>
      </c>
      <c r="T1371">
        <v>0</v>
      </c>
      <c r="U1371">
        <v>1</v>
      </c>
      <c r="V1371">
        <v>0</v>
      </c>
    </row>
    <row r="1372" spans="1:22">
      <c r="A1372" t="s">
        <v>1386</v>
      </c>
      <c r="B1372" s="3">
        <v>46192</v>
      </c>
      <c r="C1372" t="s">
        <v>105</v>
      </c>
      <c r="D1372" t="s">
        <v>187</v>
      </c>
      <c r="E1372" t="s">
        <v>16</v>
      </c>
      <c r="F1372" t="s">
        <v>17</v>
      </c>
      <c r="G1372" t="s">
        <v>32</v>
      </c>
      <c r="H1372" t="s">
        <v>24</v>
      </c>
      <c r="I1372" t="s">
        <v>20</v>
      </c>
      <c r="J1372">
        <v>300</v>
      </c>
      <c r="S1372">
        <v>0</v>
      </c>
      <c r="T1372">
        <v>0</v>
      </c>
      <c r="U1372">
        <v>0</v>
      </c>
      <c r="V1372">
        <v>0</v>
      </c>
    </row>
    <row r="1373" spans="1:22">
      <c r="A1373" t="s">
        <v>1387</v>
      </c>
      <c r="B1373" s="3">
        <v>46192</v>
      </c>
      <c r="C1373" t="s">
        <v>105</v>
      </c>
      <c r="D1373" t="s">
        <v>106</v>
      </c>
      <c r="E1373" t="s">
        <v>16</v>
      </c>
      <c r="F1373" t="s">
        <v>17</v>
      </c>
      <c r="G1373" t="s">
        <v>23</v>
      </c>
      <c r="H1373" t="s">
        <v>24</v>
      </c>
      <c r="I1373" t="s">
        <v>20</v>
      </c>
      <c r="J1373">
        <v>120</v>
      </c>
      <c r="S1373">
        <v>0</v>
      </c>
      <c r="T1373">
        <v>0</v>
      </c>
      <c r="U1373">
        <v>0</v>
      </c>
      <c r="V1373">
        <v>0</v>
      </c>
    </row>
    <row r="1374" spans="1:22">
      <c r="A1374" t="s">
        <v>1388</v>
      </c>
      <c r="B1374" s="3">
        <v>46192</v>
      </c>
      <c r="C1374" t="s">
        <v>105</v>
      </c>
      <c r="D1374" t="s">
        <v>187</v>
      </c>
      <c r="E1374" t="s">
        <v>16</v>
      </c>
      <c r="F1374" t="s">
        <v>17</v>
      </c>
      <c r="G1374" t="s">
        <v>32</v>
      </c>
      <c r="H1374" t="s">
        <v>19</v>
      </c>
      <c r="I1374" t="s">
        <v>20</v>
      </c>
      <c r="J1374">
        <v>300</v>
      </c>
      <c r="S1374">
        <v>36</v>
      </c>
      <c r="T1374">
        <v>0</v>
      </c>
      <c r="U1374">
        <v>1</v>
      </c>
      <c r="V1374">
        <v>0</v>
      </c>
    </row>
    <row r="1375" spans="1:22">
      <c r="A1375" t="s">
        <v>1389</v>
      </c>
      <c r="B1375" s="3">
        <v>46192</v>
      </c>
      <c r="C1375" t="s">
        <v>105</v>
      </c>
      <c r="D1375" t="s">
        <v>187</v>
      </c>
      <c r="E1375" t="s">
        <v>16</v>
      </c>
      <c r="F1375" t="s">
        <v>17</v>
      </c>
      <c r="G1375" t="s">
        <v>32</v>
      </c>
      <c r="H1375" t="s">
        <v>19</v>
      </c>
      <c r="I1375" t="s">
        <v>20</v>
      </c>
      <c r="J1375">
        <v>300</v>
      </c>
      <c r="S1375">
        <v>36</v>
      </c>
      <c r="T1375">
        <v>0</v>
      </c>
      <c r="U1375">
        <v>1</v>
      </c>
      <c r="V1375">
        <v>0</v>
      </c>
    </row>
    <row r="1376" spans="1:22">
      <c r="A1376" t="s">
        <v>1390</v>
      </c>
      <c r="B1376" s="3">
        <v>46192</v>
      </c>
      <c r="C1376" t="s">
        <v>105</v>
      </c>
      <c r="D1376" t="s">
        <v>116</v>
      </c>
      <c r="E1376" t="s">
        <v>16</v>
      </c>
      <c r="F1376" t="s">
        <v>17</v>
      </c>
      <c r="G1376" t="s">
        <v>32</v>
      </c>
      <c r="H1376" t="s">
        <v>19</v>
      </c>
      <c r="I1376" t="s">
        <v>20</v>
      </c>
      <c r="J1376">
        <v>225</v>
      </c>
      <c r="L1376" t="s">
        <v>29</v>
      </c>
      <c r="S1376">
        <v>27</v>
      </c>
      <c r="T1376">
        <v>0</v>
      </c>
      <c r="U1376">
        <v>1</v>
      </c>
      <c r="V1376">
        <v>0</v>
      </c>
    </row>
    <row r="1377" spans="1:22">
      <c r="A1377" t="s">
        <v>1391</v>
      </c>
      <c r="B1377" s="3">
        <v>46192</v>
      </c>
      <c r="C1377" t="s">
        <v>105</v>
      </c>
      <c r="D1377" t="s">
        <v>118</v>
      </c>
      <c r="E1377" t="s">
        <v>16</v>
      </c>
      <c r="F1377" t="s">
        <v>35</v>
      </c>
      <c r="G1377" t="s">
        <v>23</v>
      </c>
      <c r="H1377" t="s">
        <v>19</v>
      </c>
      <c r="I1377" t="s">
        <v>20</v>
      </c>
      <c r="J1377">
        <v>120</v>
      </c>
      <c r="S1377">
        <v>3.6</v>
      </c>
      <c r="T1377">
        <v>0</v>
      </c>
      <c r="U1377">
        <v>0</v>
      </c>
      <c r="V1377">
        <v>0</v>
      </c>
    </row>
    <row r="1378" spans="1:22">
      <c r="A1378" t="s">
        <v>1392</v>
      </c>
      <c r="B1378" s="3">
        <v>46192</v>
      </c>
      <c r="C1378" t="s">
        <v>105</v>
      </c>
      <c r="D1378" t="s">
        <v>108</v>
      </c>
      <c r="E1378" t="s">
        <v>16</v>
      </c>
      <c r="F1378" t="s">
        <v>17</v>
      </c>
      <c r="G1378" t="s">
        <v>18</v>
      </c>
      <c r="H1378" t="s">
        <v>19</v>
      </c>
      <c r="I1378" t="s">
        <v>20</v>
      </c>
      <c r="J1378">
        <v>200</v>
      </c>
      <c r="S1378">
        <v>20</v>
      </c>
      <c r="T1378">
        <v>0</v>
      </c>
      <c r="U1378">
        <v>1</v>
      </c>
      <c r="V1378">
        <v>0</v>
      </c>
    </row>
    <row r="1379" spans="1:22">
      <c r="A1379" t="s">
        <v>1393</v>
      </c>
      <c r="B1379" s="3">
        <v>46192</v>
      </c>
      <c r="C1379" t="s">
        <v>105</v>
      </c>
      <c r="D1379" t="s">
        <v>108</v>
      </c>
      <c r="E1379" t="s">
        <v>16</v>
      </c>
      <c r="F1379" t="s">
        <v>17</v>
      </c>
      <c r="G1379" t="s">
        <v>23</v>
      </c>
      <c r="H1379" t="s">
        <v>19</v>
      </c>
      <c r="I1379" t="s">
        <v>20</v>
      </c>
      <c r="J1379">
        <v>120</v>
      </c>
      <c r="S1379">
        <v>9.6</v>
      </c>
      <c r="T1379">
        <v>0</v>
      </c>
      <c r="U1379">
        <v>1</v>
      </c>
      <c r="V1379">
        <v>0</v>
      </c>
    </row>
    <row r="1380" spans="1:22">
      <c r="A1380" t="s">
        <v>1394</v>
      </c>
      <c r="B1380" s="3">
        <v>46192</v>
      </c>
      <c r="C1380" t="s">
        <v>105</v>
      </c>
      <c r="D1380" t="s">
        <v>106</v>
      </c>
      <c r="E1380" t="s">
        <v>16</v>
      </c>
      <c r="F1380" t="s">
        <v>17</v>
      </c>
      <c r="G1380" t="s">
        <v>23</v>
      </c>
      <c r="H1380" t="s">
        <v>19</v>
      </c>
      <c r="I1380" t="s">
        <v>20</v>
      </c>
      <c r="J1380">
        <v>120</v>
      </c>
      <c r="S1380">
        <v>9.6</v>
      </c>
      <c r="T1380">
        <v>0</v>
      </c>
      <c r="U1380">
        <v>1</v>
      </c>
      <c r="V1380">
        <v>0</v>
      </c>
    </row>
    <row r="1381" spans="1:22">
      <c r="A1381" t="s">
        <v>1395</v>
      </c>
      <c r="B1381" s="3">
        <v>46192</v>
      </c>
      <c r="C1381" t="s">
        <v>105</v>
      </c>
      <c r="D1381" t="s">
        <v>187</v>
      </c>
      <c r="E1381" t="s">
        <v>16</v>
      </c>
      <c r="F1381" t="s">
        <v>35</v>
      </c>
      <c r="G1381" t="s">
        <v>23</v>
      </c>
      <c r="H1381" t="s">
        <v>24</v>
      </c>
      <c r="I1381" t="s">
        <v>20</v>
      </c>
      <c r="J1381">
        <v>120</v>
      </c>
      <c r="S1381">
        <v>0</v>
      </c>
      <c r="T1381">
        <v>0</v>
      </c>
      <c r="U1381">
        <v>0</v>
      </c>
      <c r="V1381">
        <v>0</v>
      </c>
    </row>
    <row r="1382" spans="1:22">
      <c r="A1382" t="s">
        <v>1396</v>
      </c>
      <c r="B1382" s="3">
        <v>46192</v>
      </c>
      <c r="C1382" t="s">
        <v>105</v>
      </c>
      <c r="D1382" t="s">
        <v>182</v>
      </c>
      <c r="E1382" t="s">
        <v>16</v>
      </c>
      <c r="F1382" t="s">
        <v>17</v>
      </c>
      <c r="G1382" t="s">
        <v>32</v>
      </c>
      <c r="H1382" t="s">
        <v>19</v>
      </c>
      <c r="I1382" t="s">
        <v>20</v>
      </c>
      <c r="J1382">
        <v>300</v>
      </c>
      <c r="S1382">
        <v>36</v>
      </c>
      <c r="T1382">
        <v>0</v>
      </c>
      <c r="U1382">
        <v>1</v>
      </c>
      <c r="V1382">
        <v>0</v>
      </c>
    </row>
    <row r="1383" spans="1:22">
      <c r="A1383" t="s">
        <v>1398</v>
      </c>
      <c r="B1383" s="3">
        <v>46193</v>
      </c>
      <c r="C1383" t="s">
        <v>14</v>
      </c>
      <c r="D1383" t="s">
        <v>131</v>
      </c>
      <c r="E1383" t="s">
        <v>16</v>
      </c>
      <c r="F1383" t="s">
        <v>17</v>
      </c>
      <c r="G1383" t="s">
        <v>32</v>
      </c>
      <c r="H1383" t="s">
        <v>19</v>
      </c>
      <c r="I1383" t="s">
        <v>20</v>
      </c>
      <c r="J1383">
        <v>300</v>
      </c>
      <c r="S1383">
        <v>36</v>
      </c>
      <c r="T1383">
        <v>0</v>
      </c>
      <c r="U1383">
        <v>1</v>
      </c>
      <c r="V1383">
        <v>0</v>
      </c>
    </row>
    <row r="1384" spans="1:22">
      <c r="A1384" t="s">
        <v>1400</v>
      </c>
      <c r="B1384" s="3">
        <v>46193</v>
      </c>
      <c r="C1384" t="s">
        <v>14</v>
      </c>
      <c r="D1384" t="s">
        <v>210</v>
      </c>
      <c r="E1384" t="s">
        <v>16</v>
      </c>
      <c r="F1384" t="s">
        <v>17</v>
      </c>
      <c r="G1384" t="s">
        <v>23</v>
      </c>
      <c r="H1384" t="s">
        <v>19</v>
      </c>
      <c r="I1384" t="s">
        <v>20</v>
      </c>
      <c r="J1384">
        <v>120</v>
      </c>
      <c r="S1384">
        <v>9.6</v>
      </c>
      <c r="T1384">
        <v>0</v>
      </c>
      <c r="U1384">
        <v>1</v>
      </c>
      <c r="V1384">
        <v>0</v>
      </c>
    </row>
    <row r="1385" spans="1:22">
      <c r="A1385" t="s">
        <v>1401</v>
      </c>
      <c r="B1385" s="3">
        <v>46193</v>
      </c>
      <c r="C1385" t="s">
        <v>14</v>
      </c>
      <c r="D1385" t="s">
        <v>34</v>
      </c>
      <c r="E1385" t="s">
        <v>16</v>
      </c>
      <c r="F1385" t="s">
        <v>17</v>
      </c>
      <c r="G1385" t="s">
        <v>23</v>
      </c>
      <c r="H1385" t="s">
        <v>19</v>
      </c>
      <c r="I1385" t="s">
        <v>20</v>
      </c>
      <c r="J1385">
        <v>120</v>
      </c>
      <c r="S1385">
        <v>9.6</v>
      </c>
      <c r="T1385">
        <v>0</v>
      </c>
      <c r="U1385">
        <v>1</v>
      </c>
      <c r="V1385">
        <v>0</v>
      </c>
    </row>
    <row r="1386" spans="1:22">
      <c r="A1386" t="s">
        <v>1402</v>
      </c>
      <c r="B1386" s="3">
        <v>46193</v>
      </c>
      <c r="C1386" t="s">
        <v>14</v>
      </c>
      <c r="D1386" t="s">
        <v>26</v>
      </c>
      <c r="E1386" t="s">
        <v>16</v>
      </c>
      <c r="F1386" t="s">
        <v>17</v>
      </c>
      <c r="G1386" t="s">
        <v>18</v>
      </c>
      <c r="H1386" t="s">
        <v>19</v>
      </c>
      <c r="I1386" t="s">
        <v>20</v>
      </c>
      <c r="J1386">
        <v>200</v>
      </c>
      <c r="S1386">
        <v>20</v>
      </c>
      <c r="T1386">
        <v>0</v>
      </c>
      <c r="U1386">
        <v>1</v>
      </c>
      <c r="V1386">
        <v>0</v>
      </c>
    </row>
    <row r="1387" spans="1:22">
      <c r="A1387" t="s">
        <v>1403</v>
      </c>
      <c r="B1387" s="3">
        <v>46193</v>
      </c>
      <c r="C1387" t="s">
        <v>14</v>
      </c>
      <c r="D1387" t="s">
        <v>31</v>
      </c>
      <c r="E1387" t="s">
        <v>16</v>
      </c>
      <c r="F1387" t="s">
        <v>17</v>
      </c>
      <c r="G1387" t="s">
        <v>23</v>
      </c>
      <c r="H1387" t="s">
        <v>19</v>
      </c>
      <c r="I1387" t="s">
        <v>20</v>
      </c>
      <c r="J1387">
        <v>120</v>
      </c>
      <c r="S1387">
        <v>9.6</v>
      </c>
      <c r="T1387">
        <v>0</v>
      </c>
      <c r="U1387">
        <v>1</v>
      </c>
      <c r="V1387">
        <v>0</v>
      </c>
    </row>
    <row r="1388" spans="1:22">
      <c r="A1388" t="s">
        <v>1404</v>
      </c>
      <c r="B1388" s="3">
        <v>46193</v>
      </c>
      <c r="C1388" t="s">
        <v>14</v>
      </c>
      <c r="D1388" t="s">
        <v>210</v>
      </c>
      <c r="E1388" t="s">
        <v>16</v>
      </c>
      <c r="F1388" t="s">
        <v>17</v>
      </c>
      <c r="G1388" t="s">
        <v>32</v>
      </c>
      <c r="H1388" t="s">
        <v>19</v>
      </c>
      <c r="I1388" t="s">
        <v>20</v>
      </c>
      <c r="J1388">
        <v>300</v>
      </c>
      <c r="S1388">
        <v>36</v>
      </c>
      <c r="T1388">
        <v>0</v>
      </c>
      <c r="U1388">
        <v>1</v>
      </c>
      <c r="V1388">
        <v>0</v>
      </c>
    </row>
    <row r="1389" spans="1:22">
      <c r="A1389" t="s">
        <v>1405</v>
      </c>
      <c r="B1389" s="3">
        <v>46193</v>
      </c>
      <c r="C1389" t="s">
        <v>14</v>
      </c>
      <c r="D1389" t="s">
        <v>31</v>
      </c>
      <c r="E1389" t="s">
        <v>16</v>
      </c>
      <c r="F1389" t="s">
        <v>17</v>
      </c>
      <c r="G1389" t="s">
        <v>32</v>
      </c>
      <c r="H1389" t="s">
        <v>19</v>
      </c>
      <c r="I1389" t="s">
        <v>20</v>
      </c>
      <c r="J1389">
        <v>300</v>
      </c>
      <c r="S1389">
        <v>36</v>
      </c>
      <c r="T1389">
        <v>0</v>
      </c>
      <c r="U1389">
        <v>1</v>
      </c>
      <c r="V1389">
        <v>0</v>
      </c>
    </row>
    <row r="1390" spans="1:22">
      <c r="A1390" t="s">
        <v>1406</v>
      </c>
      <c r="B1390" s="3">
        <v>46193</v>
      </c>
      <c r="C1390" t="s">
        <v>14</v>
      </c>
      <c r="D1390" t="s">
        <v>22</v>
      </c>
      <c r="E1390" t="s">
        <v>16</v>
      </c>
      <c r="F1390" t="s">
        <v>17</v>
      </c>
      <c r="G1390" t="s">
        <v>32</v>
      </c>
      <c r="H1390" t="s">
        <v>19</v>
      </c>
      <c r="I1390" t="s">
        <v>20</v>
      </c>
      <c r="J1390">
        <v>300</v>
      </c>
      <c r="S1390">
        <v>36</v>
      </c>
      <c r="T1390">
        <v>0</v>
      </c>
      <c r="U1390">
        <v>1</v>
      </c>
      <c r="V1390">
        <v>0</v>
      </c>
    </row>
    <row r="1391" spans="1:22">
      <c r="A1391" t="s">
        <v>1407</v>
      </c>
      <c r="B1391" s="3">
        <v>46193</v>
      </c>
      <c r="C1391" t="s">
        <v>14</v>
      </c>
      <c r="D1391" t="s">
        <v>40</v>
      </c>
      <c r="E1391" t="s">
        <v>16</v>
      </c>
      <c r="F1391" t="s">
        <v>17</v>
      </c>
      <c r="G1391" t="s">
        <v>23</v>
      </c>
      <c r="H1391" t="s">
        <v>19</v>
      </c>
      <c r="I1391" t="s">
        <v>20</v>
      </c>
      <c r="J1391">
        <v>120</v>
      </c>
      <c r="S1391">
        <v>9.6</v>
      </c>
      <c r="T1391">
        <v>0</v>
      </c>
      <c r="U1391">
        <v>1</v>
      </c>
      <c r="V1391">
        <v>0</v>
      </c>
    </row>
    <row r="1392" spans="1:22">
      <c r="A1392" t="s">
        <v>1408</v>
      </c>
      <c r="B1392" s="3">
        <v>46193</v>
      </c>
      <c r="C1392" t="s">
        <v>14</v>
      </c>
      <c r="D1392" t="s">
        <v>28</v>
      </c>
      <c r="E1392" t="s">
        <v>16</v>
      </c>
      <c r="F1392" t="s">
        <v>17</v>
      </c>
      <c r="G1392" t="s">
        <v>32</v>
      </c>
      <c r="H1392" t="s">
        <v>19</v>
      </c>
      <c r="I1392" t="s">
        <v>20</v>
      </c>
      <c r="J1392">
        <v>300</v>
      </c>
      <c r="S1392">
        <v>36</v>
      </c>
      <c r="T1392">
        <v>0</v>
      </c>
      <c r="U1392">
        <v>1</v>
      </c>
      <c r="V1392">
        <v>0</v>
      </c>
    </row>
    <row r="1393" spans="1:22">
      <c r="A1393" t="s">
        <v>1409</v>
      </c>
      <c r="B1393" s="3">
        <v>46193</v>
      </c>
      <c r="C1393" t="s">
        <v>14</v>
      </c>
      <c r="D1393" t="s">
        <v>37</v>
      </c>
      <c r="E1393" t="s">
        <v>16</v>
      </c>
      <c r="F1393" t="s">
        <v>17</v>
      </c>
      <c r="G1393" t="s">
        <v>23</v>
      </c>
      <c r="H1393" t="s">
        <v>19</v>
      </c>
      <c r="I1393" t="s">
        <v>20</v>
      </c>
      <c r="J1393">
        <v>102</v>
      </c>
      <c r="L1393" t="s">
        <v>29</v>
      </c>
      <c r="S1393">
        <v>8.16</v>
      </c>
      <c r="T1393">
        <v>0</v>
      </c>
      <c r="U1393">
        <v>1</v>
      </c>
      <c r="V1393">
        <v>0</v>
      </c>
    </row>
    <row r="1394" spans="1:22">
      <c r="A1394" t="s">
        <v>1410</v>
      </c>
      <c r="B1394" s="3">
        <v>46193</v>
      </c>
      <c r="C1394" t="s">
        <v>14</v>
      </c>
      <c r="D1394" t="s">
        <v>131</v>
      </c>
      <c r="E1394" t="s">
        <v>16</v>
      </c>
      <c r="F1394" t="s">
        <v>17</v>
      </c>
      <c r="G1394" t="s">
        <v>32</v>
      </c>
      <c r="H1394" t="s">
        <v>19</v>
      </c>
      <c r="I1394" t="s">
        <v>20</v>
      </c>
      <c r="J1394">
        <v>300</v>
      </c>
      <c r="S1394">
        <v>36</v>
      </c>
      <c r="T1394">
        <v>0</v>
      </c>
      <c r="U1394">
        <v>1</v>
      </c>
      <c r="V1394">
        <v>0</v>
      </c>
    </row>
    <row r="1395" spans="1:22">
      <c r="A1395" t="s">
        <v>1411</v>
      </c>
      <c r="B1395" s="3">
        <v>46193</v>
      </c>
      <c r="C1395" t="s">
        <v>14</v>
      </c>
      <c r="D1395" t="s">
        <v>40</v>
      </c>
      <c r="E1395" t="s">
        <v>16</v>
      </c>
      <c r="F1395" t="s">
        <v>17</v>
      </c>
      <c r="G1395" t="s">
        <v>32</v>
      </c>
      <c r="H1395" t="s">
        <v>19</v>
      </c>
      <c r="I1395" t="s">
        <v>20</v>
      </c>
      <c r="J1395">
        <v>300</v>
      </c>
      <c r="S1395">
        <v>36</v>
      </c>
      <c r="T1395">
        <v>0</v>
      </c>
      <c r="U1395">
        <v>1</v>
      </c>
      <c r="V1395">
        <v>0</v>
      </c>
    </row>
    <row r="1396" spans="1:22">
      <c r="A1396" t="s">
        <v>1412</v>
      </c>
      <c r="B1396" s="3">
        <v>46193</v>
      </c>
      <c r="C1396" t="s">
        <v>14</v>
      </c>
      <c r="D1396" t="s">
        <v>26</v>
      </c>
      <c r="E1396" t="s">
        <v>16</v>
      </c>
      <c r="F1396" t="s">
        <v>35</v>
      </c>
      <c r="G1396" t="s">
        <v>23</v>
      </c>
      <c r="H1396" t="s">
        <v>19</v>
      </c>
      <c r="I1396" t="s">
        <v>20</v>
      </c>
      <c r="J1396">
        <v>120</v>
      </c>
      <c r="S1396">
        <v>3.6</v>
      </c>
      <c r="T1396">
        <v>0</v>
      </c>
      <c r="U1396">
        <v>0</v>
      </c>
      <c r="V1396">
        <v>0</v>
      </c>
    </row>
    <row r="1397" spans="1:22">
      <c r="A1397" t="s">
        <v>1413</v>
      </c>
      <c r="B1397" s="3">
        <v>46193</v>
      </c>
      <c r="C1397" t="s">
        <v>14</v>
      </c>
      <c r="D1397" t="s">
        <v>37</v>
      </c>
      <c r="E1397" t="s">
        <v>16</v>
      </c>
      <c r="F1397" t="s">
        <v>17</v>
      </c>
      <c r="G1397" t="s">
        <v>32</v>
      </c>
      <c r="H1397" t="s">
        <v>19</v>
      </c>
      <c r="I1397" t="s">
        <v>20</v>
      </c>
      <c r="J1397">
        <v>300</v>
      </c>
      <c r="S1397">
        <v>36</v>
      </c>
      <c r="T1397">
        <v>0</v>
      </c>
      <c r="U1397">
        <v>1</v>
      </c>
      <c r="V1397">
        <v>0</v>
      </c>
    </row>
    <row r="1398" spans="1:22">
      <c r="A1398" t="s">
        <v>1414</v>
      </c>
      <c r="B1398" s="3">
        <v>46193</v>
      </c>
      <c r="C1398" t="s">
        <v>14</v>
      </c>
      <c r="D1398" t="s">
        <v>131</v>
      </c>
      <c r="E1398" t="s">
        <v>16</v>
      </c>
      <c r="F1398" t="s">
        <v>17</v>
      </c>
      <c r="G1398" t="s">
        <v>23</v>
      </c>
      <c r="H1398" t="s">
        <v>19</v>
      </c>
      <c r="I1398" t="s">
        <v>20</v>
      </c>
      <c r="J1398">
        <v>120</v>
      </c>
      <c r="S1398">
        <v>9.6</v>
      </c>
      <c r="T1398">
        <v>0</v>
      </c>
      <c r="U1398">
        <v>1</v>
      </c>
      <c r="V1398">
        <v>0</v>
      </c>
    </row>
    <row r="1399" spans="1:22">
      <c r="A1399" t="s">
        <v>1415</v>
      </c>
      <c r="B1399" s="3">
        <v>46193</v>
      </c>
      <c r="C1399" t="s">
        <v>14</v>
      </c>
      <c r="D1399" t="s">
        <v>15</v>
      </c>
      <c r="E1399" t="s">
        <v>16</v>
      </c>
      <c r="F1399" t="s">
        <v>17</v>
      </c>
      <c r="G1399" t="s">
        <v>23</v>
      </c>
      <c r="H1399" t="s">
        <v>19</v>
      </c>
      <c r="I1399" t="s">
        <v>20</v>
      </c>
      <c r="J1399">
        <v>120</v>
      </c>
      <c r="S1399">
        <v>9.6</v>
      </c>
      <c r="T1399">
        <v>0</v>
      </c>
      <c r="U1399">
        <v>1</v>
      </c>
      <c r="V1399">
        <v>0</v>
      </c>
    </row>
    <row r="1400" spans="1:22">
      <c r="A1400" t="s">
        <v>1416</v>
      </c>
      <c r="B1400" s="3">
        <v>46193</v>
      </c>
      <c r="C1400" t="s">
        <v>47</v>
      </c>
      <c r="D1400" t="s">
        <v>62</v>
      </c>
      <c r="E1400" t="s">
        <v>16</v>
      </c>
      <c r="F1400" t="s">
        <v>17</v>
      </c>
      <c r="G1400" t="s">
        <v>18</v>
      </c>
      <c r="H1400" t="s">
        <v>19</v>
      </c>
      <c r="I1400" t="s">
        <v>20</v>
      </c>
      <c r="J1400">
        <v>200</v>
      </c>
      <c r="S1400">
        <v>20</v>
      </c>
      <c r="T1400">
        <v>0</v>
      </c>
      <c r="U1400">
        <v>1</v>
      </c>
      <c r="V1400">
        <v>0</v>
      </c>
    </row>
    <row r="1401" spans="1:22">
      <c r="A1401" t="s">
        <v>1417</v>
      </c>
      <c r="B1401" s="3">
        <v>46193</v>
      </c>
      <c r="C1401" t="s">
        <v>47</v>
      </c>
      <c r="D1401" t="s">
        <v>152</v>
      </c>
      <c r="E1401" t="s">
        <v>16</v>
      </c>
      <c r="F1401" t="s">
        <v>17</v>
      </c>
      <c r="G1401" t="s">
        <v>32</v>
      </c>
      <c r="H1401" t="s">
        <v>19</v>
      </c>
      <c r="I1401" t="s">
        <v>20</v>
      </c>
      <c r="J1401">
        <v>300</v>
      </c>
      <c r="S1401">
        <v>36</v>
      </c>
      <c r="T1401">
        <v>0</v>
      </c>
      <c r="U1401">
        <v>1</v>
      </c>
      <c r="V1401">
        <v>0</v>
      </c>
    </row>
    <row r="1402" spans="1:22">
      <c r="A1402" t="s">
        <v>1418</v>
      </c>
      <c r="B1402" s="3">
        <v>46193</v>
      </c>
      <c r="C1402" t="s">
        <v>47</v>
      </c>
      <c r="D1402" t="s">
        <v>59</v>
      </c>
      <c r="E1402" t="s">
        <v>16</v>
      </c>
      <c r="F1402" t="s">
        <v>17</v>
      </c>
      <c r="G1402" t="s">
        <v>32</v>
      </c>
      <c r="H1402" t="s">
        <v>19</v>
      </c>
      <c r="I1402" t="s">
        <v>20</v>
      </c>
      <c r="J1402">
        <v>225</v>
      </c>
      <c r="L1402" t="s">
        <v>29</v>
      </c>
      <c r="S1402">
        <v>27</v>
      </c>
      <c r="T1402">
        <v>0</v>
      </c>
      <c r="U1402">
        <v>1</v>
      </c>
      <c r="V1402">
        <v>0</v>
      </c>
    </row>
    <row r="1403" spans="1:22">
      <c r="A1403" t="s">
        <v>1419</v>
      </c>
      <c r="B1403" s="3">
        <v>46193</v>
      </c>
      <c r="C1403" t="s">
        <v>47</v>
      </c>
      <c r="D1403" t="s">
        <v>50</v>
      </c>
      <c r="E1403" t="s">
        <v>16</v>
      </c>
      <c r="F1403" t="s">
        <v>17</v>
      </c>
      <c r="G1403" t="s">
        <v>18</v>
      </c>
      <c r="H1403" t="s">
        <v>19</v>
      </c>
      <c r="I1403" t="s">
        <v>20</v>
      </c>
      <c r="J1403">
        <v>200</v>
      </c>
      <c r="S1403">
        <v>20</v>
      </c>
      <c r="T1403">
        <v>0</v>
      </c>
      <c r="U1403">
        <v>1</v>
      </c>
      <c r="V1403">
        <v>0</v>
      </c>
    </row>
    <row r="1404" spans="1:22">
      <c r="A1404" t="s">
        <v>1420</v>
      </c>
      <c r="B1404" s="3">
        <v>46193</v>
      </c>
      <c r="C1404" t="s">
        <v>47</v>
      </c>
      <c r="D1404" t="s">
        <v>59</v>
      </c>
      <c r="E1404" t="s">
        <v>16</v>
      </c>
      <c r="F1404" t="s">
        <v>17</v>
      </c>
      <c r="G1404" t="s">
        <v>23</v>
      </c>
      <c r="H1404" t="s">
        <v>19</v>
      </c>
      <c r="I1404" t="s">
        <v>20</v>
      </c>
      <c r="J1404">
        <v>120</v>
      </c>
      <c r="S1404">
        <v>9.6</v>
      </c>
      <c r="T1404">
        <v>0</v>
      </c>
      <c r="U1404">
        <v>1</v>
      </c>
      <c r="V1404">
        <v>0</v>
      </c>
    </row>
    <row r="1405" spans="1:22">
      <c r="A1405" t="s">
        <v>1421</v>
      </c>
      <c r="B1405" s="3">
        <v>46193</v>
      </c>
      <c r="C1405" t="s">
        <v>47</v>
      </c>
      <c r="D1405" t="s">
        <v>55</v>
      </c>
      <c r="E1405" t="s">
        <v>16</v>
      </c>
      <c r="F1405" t="s">
        <v>17</v>
      </c>
      <c r="G1405" t="s">
        <v>32</v>
      </c>
      <c r="H1405" t="s">
        <v>19</v>
      </c>
      <c r="I1405" t="s">
        <v>20</v>
      </c>
      <c r="J1405">
        <v>300</v>
      </c>
      <c r="S1405">
        <v>36</v>
      </c>
      <c r="T1405">
        <v>0</v>
      </c>
      <c r="U1405">
        <v>1</v>
      </c>
      <c r="V1405">
        <v>0</v>
      </c>
    </row>
    <row r="1406" spans="1:22">
      <c r="A1406" t="s">
        <v>1422</v>
      </c>
      <c r="B1406" s="3">
        <v>46193</v>
      </c>
      <c r="C1406" t="s">
        <v>47</v>
      </c>
      <c r="D1406" t="s">
        <v>66</v>
      </c>
      <c r="E1406" t="s">
        <v>16</v>
      </c>
      <c r="F1406" t="s">
        <v>17</v>
      </c>
      <c r="G1406" t="s">
        <v>32</v>
      </c>
      <c r="H1406" t="s">
        <v>19</v>
      </c>
      <c r="I1406" t="s">
        <v>20</v>
      </c>
      <c r="J1406">
        <v>300</v>
      </c>
      <c r="S1406">
        <v>36</v>
      </c>
      <c r="T1406">
        <v>0</v>
      </c>
      <c r="U1406">
        <v>1</v>
      </c>
      <c r="V1406">
        <v>0</v>
      </c>
    </row>
    <row r="1407" spans="1:22">
      <c r="A1407" t="s">
        <v>1423</v>
      </c>
      <c r="B1407" s="3">
        <v>46193</v>
      </c>
      <c r="C1407" t="s">
        <v>47</v>
      </c>
      <c r="D1407" t="s">
        <v>64</v>
      </c>
      <c r="E1407" t="s">
        <v>16</v>
      </c>
      <c r="F1407" t="s">
        <v>17</v>
      </c>
      <c r="G1407" t="s">
        <v>18</v>
      </c>
      <c r="H1407" t="s">
        <v>19</v>
      </c>
      <c r="I1407" t="s">
        <v>20</v>
      </c>
      <c r="J1407">
        <v>200</v>
      </c>
      <c r="S1407">
        <v>20</v>
      </c>
      <c r="T1407">
        <v>0</v>
      </c>
      <c r="U1407">
        <v>1</v>
      </c>
      <c r="V1407">
        <v>0</v>
      </c>
    </row>
    <row r="1408" spans="1:22">
      <c r="A1408" t="s">
        <v>1424</v>
      </c>
      <c r="B1408" s="3">
        <v>46193</v>
      </c>
      <c r="C1408" t="s">
        <v>47</v>
      </c>
      <c r="D1408" t="s">
        <v>71</v>
      </c>
      <c r="E1408" t="s">
        <v>16</v>
      </c>
      <c r="F1408" t="s">
        <v>17</v>
      </c>
      <c r="G1408" t="s">
        <v>23</v>
      </c>
      <c r="H1408" t="s">
        <v>19</v>
      </c>
      <c r="I1408" t="s">
        <v>20</v>
      </c>
      <c r="J1408">
        <v>120</v>
      </c>
      <c r="S1408">
        <v>9.6</v>
      </c>
      <c r="T1408">
        <v>0</v>
      </c>
      <c r="U1408">
        <v>1</v>
      </c>
      <c r="V1408">
        <v>0</v>
      </c>
    </row>
    <row r="1409" spans="1:22">
      <c r="A1409" t="s">
        <v>1425</v>
      </c>
      <c r="B1409" s="3">
        <v>46193</v>
      </c>
      <c r="C1409" t="s">
        <v>47</v>
      </c>
      <c r="D1409" t="s">
        <v>73</v>
      </c>
      <c r="E1409" t="s">
        <v>16</v>
      </c>
      <c r="F1409" t="s">
        <v>17</v>
      </c>
      <c r="G1409" t="s">
        <v>32</v>
      </c>
      <c r="H1409" t="s">
        <v>19</v>
      </c>
      <c r="I1409" t="s">
        <v>20</v>
      </c>
      <c r="J1409">
        <v>300</v>
      </c>
      <c r="S1409">
        <v>36</v>
      </c>
      <c r="T1409">
        <v>0</v>
      </c>
      <c r="U1409">
        <v>1</v>
      </c>
      <c r="V1409">
        <v>0</v>
      </c>
    </row>
    <row r="1410" spans="1:22">
      <c r="A1410" t="s">
        <v>1426</v>
      </c>
      <c r="B1410" s="3">
        <v>46193</v>
      </c>
      <c r="C1410" t="s">
        <v>47</v>
      </c>
      <c r="D1410" t="s">
        <v>59</v>
      </c>
      <c r="E1410" t="s">
        <v>16</v>
      </c>
      <c r="F1410" t="s">
        <v>17</v>
      </c>
      <c r="G1410" t="s">
        <v>32</v>
      </c>
      <c r="H1410" t="s">
        <v>24</v>
      </c>
      <c r="I1410" t="s">
        <v>20</v>
      </c>
      <c r="J1410">
        <v>300</v>
      </c>
      <c r="S1410">
        <v>0</v>
      </c>
      <c r="T1410">
        <v>0</v>
      </c>
      <c r="U1410">
        <v>0</v>
      </c>
      <c r="V1410">
        <v>0</v>
      </c>
    </row>
    <row r="1411" spans="1:22">
      <c r="A1411" t="s">
        <v>1427</v>
      </c>
      <c r="B1411" s="3">
        <v>46193</v>
      </c>
      <c r="C1411" t="s">
        <v>47</v>
      </c>
      <c r="D1411" t="s">
        <v>152</v>
      </c>
      <c r="E1411" t="s">
        <v>16</v>
      </c>
      <c r="F1411" t="s">
        <v>17</v>
      </c>
      <c r="G1411" t="s">
        <v>32</v>
      </c>
      <c r="H1411" t="s">
        <v>19</v>
      </c>
      <c r="I1411" t="s">
        <v>20</v>
      </c>
      <c r="J1411">
        <v>300</v>
      </c>
      <c r="S1411">
        <v>36</v>
      </c>
      <c r="T1411">
        <v>0</v>
      </c>
      <c r="U1411">
        <v>1</v>
      </c>
      <c r="V1411">
        <v>0</v>
      </c>
    </row>
    <row r="1412" spans="1:22">
      <c r="A1412" t="s">
        <v>1428</v>
      </c>
      <c r="B1412" s="3">
        <v>46193</v>
      </c>
      <c r="C1412" t="s">
        <v>47</v>
      </c>
      <c r="D1412" t="s">
        <v>50</v>
      </c>
      <c r="E1412" t="s">
        <v>16</v>
      </c>
      <c r="F1412" t="s">
        <v>17</v>
      </c>
      <c r="G1412" t="s">
        <v>18</v>
      </c>
      <c r="H1412" t="s">
        <v>19</v>
      </c>
      <c r="I1412" t="s">
        <v>20</v>
      </c>
      <c r="J1412">
        <v>200</v>
      </c>
      <c r="S1412">
        <v>20</v>
      </c>
      <c r="T1412">
        <v>0</v>
      </c>
      <c r="U1412">
        <v>1</v>
      </c>
      <c r="V1412">
        <v>0</v>
      </c>
    </row>
    <row r="1413" spans="1:22">
      <c r="A1413" t="s">
        <v>1429</v>
      </c>
      <c r="B1413" s="3">
        <v>46193</v>
      </c>
      <c r="C1413" t="s">
        <v>47</v>
      </c>
      <c r="D1413" t="s">
        <v>48</v>
      </c>
      <c r="E1413" t="s">
        <v>16</v>
      </c>
      <c r="F1413" t="s">
        <v>17</v>
      </c>
      <c r="G1413" t="s">
        <v>18</v>
      </c>
      <c r="H1413" t="s">
        <v>19</v>
      </c>
      <c r="I1413" t="s">
        <v>20</v>
      </c>
      <c r="J1413">
        <v>200</v>
      </c>
      <c r="S1413">
        <v>20</v>
      </c>
      <c r="T1413">
        <v>0</v>
      </c>
      <c r="U1413">
        <v>1</v>
      </c>
      <c r="V1413">
        <v>0</v>
      </c>
    </row>
    <row r="1414" spans="1:22">
      <c r="A1414" t="s">
        <v>1430</v>
      </c>
      <c r="B1414" s="3">
        <v>46193</v>
      </c>
      <c r="C1414" t="s">
        <v>47</v>
      </c>
      <c r="D1414" t="s">
        <v>55</v>
      </c>
      <c r="E1414" t="s">
        <v>16</v>
      </c>
      <c r="F1414" t="s">
        <v>17</v>
      </c>
      <c r="G1414" t="s">
        <v>18</v>
      </c>
      <c r="H1414" t="s">
        <v>19</v>
      </c>
      <c r="I1414" t="s">
        <v>20</v>
      </c>
      <c r="J1414">
        <v>200</v>
      </c>
      <c r="S1414">
        <v>20</v>
      </c>
      <c r="T1414">
        <v>0</v>
      </c>
      <c r="U1414">
        <v>1</v>
      </c>
      <c r="V1414">
        <v>0</v>
      </c>
    </row>
    <row r="1415" spans="1:22">
      <c r="A1415" t="s">
        <v>1431</v>
      </c>
      <c r="B1415" s="3">
        <v>46193</v>
      </c>
      <c r="C1415" t="s">
        <v>78</v>
      </c>
      <c r="D1415" t="s">
        <v>85</v>
      </c>
      <c r="E1415" t="s">
        <v>16</v>
      </c>
      <c r="F1415" t="s">
        <v>17</v>
      </c>
      <c r="G1415" t="s">
        <v>23</v>
      </c>
      <c r="H1415" t="s">
        <v>19</v>
      </c>
      <c r="I1415" t="s">
        <v>20</v>
      </c>
      <c r="J1415">
        <v>102</v>
      </c>
      <c r="L1415" t="s">
        <v>29</v>
      </c>
      <c r="S1415">
        <v>8.16</v>
      </c>
      <c r="T1415">
        <v>0</v>
      </c>
      <c r="U1415">
        <v>1</v>
      </c>
      <c r="V1415">
        <v>0</v>
      </c>
    </row>
    <row r="1416" spans="1:22">
      <c r="A1416" t="s">
        <v>1432</v>
      </c>
      <c r="B1416" s="3">
        <v>46193</v>
      </c>
      <c r="C1416" t="s">
        <v>78</v>
      </c>
      <c r="D1416" t="s">
        <v>79</v>
      </c>
      <c r="E1416" t="s">
        <v>16</v>
      </c>
      <c r="F1416" t="s">
        <v>17</v>
      </c>
      <c r="G1416" t="s">
        <v>23</v>
      </c>
      <c r="H1416" t="s">
        <v>19</v>
      </c>
      <c r="I1416" t="s">
        <v>20</v>
      </c>
      <c r="J1416">
        <v>120</v>
      </c>
      <c r="S1416">
        <v>9.6</v>
      </c>
      <c r="T1416">
        <v>0</v>
      </c>
      <c r="U1416">
        <v>1</v>
      </c>
      <c r="V1416">
        <v>0</v>
      </c>
    </row>
    <row r="1417" spans="1:22">
      <c r="A1417" t="s">
        <v>1433</v>
      </c>
      <c r="B1417" s="3">
        <v>46193</v>
      </c>
      <c r="C1417" t="s">
        <v>78</v>
      </c>
      <c r="D1417" t="s">
        <v>97</v>
      </c>
      <c r="E1417" t="s">
        <v>16</v>
      </c>
      <c r="F1417" t="s">
        <v>17</v>
      </c>
      <c r="G1417" t="s">
        <v>23</v>
      </c>
      <c r="H1417" t="s">
        <v>19</v>
      </c>
      <c r="I1417" t="s">
        <v>20</v>
      </c>
      <c r="J1417">
        <v>120</v>
      </c>
      <c r="S1417">
        <v>9.6</v>
      </c>
      <c r="T1417">
        <v>0</v>
      </c>
      <c r="U1417">
        <v>1</v>
      </c>
      <c r="V1417">
        <v>0</v>
      </c>
    </row>
    <row r="1418" spans="1:22">
      <c r="A1418" t="s">
        <v>1434</v>
      </c>
      <c r="B1418" s="3">
        <v>46193</v>
      </c>
      <c r="C1418" t="s">
        <v>78</v>
      </c>
      <c r="D1418" t="s">
        <v>87</v>
      </c>
      <c r="E1418" t="s">
        <v>16</v>
      </c>
      <c r="F1418" t="s">
        <v>17</v>
      </c>
      <c r="G1418" t="s">
        <v>18</v>
      </c>
      <c r="H1418" t="s">
        <v>19</v>
      </c>
      <c r="I1418" t="s">
        <v>20</v>
      </c>
      <c r="J1418">
        <v>200</v>
      </c>
      <c r="S1418">
        <v>20</v>
      </c>
      <c r="T1418">
        <v>0</v>
      </c>
      <c r="U1418">
        <v>1</v>
      </c>
      <c r="V1418">
        <v>0</v>
      </c>
    </row>
    <row r="1419" spans="1:22">
      <c r="A1419" t="s">
        <v>1435</v>
      </c>
      <c r="B1419" s="3">
        <v>46193</v>
      </c>
      <c r="C1419" t="s">
        <v>78</v>
      </c>
      <c r="D1419" t="s">
        <v>102</v>
      </c>
      <c r="E1419" t="s">
        <v>16</v>
      </c>
      <c r="F1419" t="s">
        <v>17</v>
      </c>
      <c r="G1419" t="s">
        <v>32</v>
      </c>
      <c r="H1419" t="s">
        <v>19</v>
      </c>
      <c r="I1419" t="s">
        <v>53</v>
      </c>
      <c r="J1419">
        <v>300</v>
      </c>
      <c r="S1419">
        <v>0</v>
      </c>
      <c r="T1419">
        <v>0</v>
      </c>
      <c r="U1419">
        <v>0</v>
      </c>
      <c r="V1419">
        <v>0</v>
      </c>
    </row>
    <row r="1420" spans="1:22">
      <c r="A1420" t="s">
        <v>1436</v>
      </c>
      <c r="B1420" s="3">
        <v>46193</v>
      </c>
      <c r="C1420" t="s">
        <v>78</v>
      </c>
      <c r="D1420" t="s">
        <v>83</v>
      </c>
      <c r="E1420" t="s">
        <v>16</v>
      </c>
      <c r="F1420" t="s">
        <v>17</v>
      </c>
      <c r="G1420" t="s">
        <v>18</v>
      </c>
      <c r="H1420" t="s">
        <v>19</v>
      </c>
      <c r="I1420" t="s">
        <v>20</v>
      </c>
      <c r="J1420">
        <v>200</v>
      </c>
      <c r="S1420">
        <v>20</v>
      </c>
      <c r="T1420">
        <v>0</v>
      </c>
      <c r="U1420">
        <v>1</v>
      </c>
      <c r="V1420">
        <v>0</v>
      </c>
    </row>
    <row r="1421" spans="1:22">
      <c r="A1421" t="s">
        <v>1437</v>
      </c>
      <c r="B1421" s="3">
        <v>46193</v>
      </c>
      <c r="C1421" t="s">
        <v>78</v>
      </c>
      <c r="D1421" t="s">
        <v>89</v>
      </c>
      <c r="E1421" t="s">
        <v>16</v>
      </c>
      <c r="F1421" t="s">
        <v>17</v>
      </c>
      <c r="G1421" t="s">
        <v>32</v>
      </c>
      <c r="H1421" t="s">
        <v>19</v>
      </c>
      <c r="I1421" t="s">
        <v>20</v>
      </c>
      <c r="J1421">
        <v>300</v>
      </c>
      <c r="S1421">
        <v>36</v>
      </c>
      <c r="T1421">
        <v>0</v>
      </c>
      <c r="U1421">
        <v>1</v>
      </c>
      <c r="V1421">
        <v>0</v>
      </c>
    </row>
    <row r="1422" spans="1:22">
      <c r="A1422" t="s">
        <v>1438</v>
      </c>
      <c r="B1422" s="3">
        <v>46193</v>
      </c>
      <c r="C1422" t="s">
        <v>78</v>
      </c>
      <c r="D1422" t="s">
        <v>89</v>
      </c>
      <c r="E1422" t="s">
        <v>16</v>
      </c>
      <c r="F1422" t="s">
        <v>17</v>
      </c>
      <c r="G1422" t="s">
        <v>32</v>
      </c>
      <c r="H1422" t="s">
        <v>24</v>
      </c>
      <c r="I1422" t="s">
        <v>20</v>
      </c>
      <c r="J1422">
        <v>300</v>
      </c>
      <c r="S1422">
        <v>0</v>
      </c>
      <c r="T1422">
        <v>0</v>
      </c>
      <c r="U1422">
        <v>0</v>
      </c>
      <c r="V1422">
        <v>0</v>
      </c>
    </row>
    <row r="1423" spans="1:22">
      <c r="A1423" t="s">
        <v>1439</v>
      </c>
      <c r="B1423" s="3">
        <v>46193</v>
      </c>
      <c r="C1423" t="s">
        <v>78</v>
      </c>
      <c r="D1423" t="s">
        <v>97</v>
      </c>
      <c r="E1423" t="s">
        <v>16</v>
      </c>
      <c r="F1423" t="s">
        <v>17</v>
      </c>
      <c r="G1423" t="s">
        <v>18</v>
      </c>
      <c r="H1423" t="s">
        <v>19</v>
      </c>
      <c r="I1423" t="s">
        <v>20</v>
      </c>
      <c r="J1423">
        <v>200</v>
      </c>
      <c r="S1423">
        <v>20</v>
      </c>
      <c r="T1423">
        <v>0</v>
      </c>
      <c r="U1423">
        <v>1</v>
      </c>
      <c r="V1423">
        <v>0</v>
      </c>
    </row>
    <row r="1424" spans="1:22">
      <c r="A1424" t="s">
        <v>1440</v>
      </c>
      <c r="B1424" s="3">
        <v>46193</v>
      </c>
      <c r="C1424" t="s">
        <v>78</v>
      </c>
      <c r="D1424" t="s">
        <v>87</v>
      </c>
      <c r="E1424" t="s">
        <v>16</v>
      </c>
      <c r="F1424" t="s">
        <v>35</v>
      </c>
      <c r="G1424" t="s">
        <v>23</v>
      </c>
      <c r="H1424" t="s">
        <v>19</v>
      </c>
      <c r="I1424" t="s">
        <v>20</v>
      </c>
      <c r="J1424">
        <v>120</v>
      </c>
      <c r="S1424">
        <v>3.6</v>
      </c>
      <c r="T1424">
        <v>0</v>
      </c>
      <c r="U1424">
        <v>0</v>
      </c>
      <c r="V1424">
        <v>0</v>
      </c>
    </row>
    <row r="1425" spans="1:22">
      <c r="A1425" t="s">
        <v>1441</v>
      </c>
      <c r="B1425" s="3">
        <v>46193</v>
      </c>
      <c r="C1425" t="s">
        <v>78</v>
      </c>
      <c r="D1425" t="s">
        <v>102</v>
      </c>
      <c r="E1425" t="s">
        <v>16</v>
      </c>
      <c r="F1425" t="s">
        <v>17</v>
      </c>
      <c r="G1425" t="s">
        <v>32</v>
      </c>
      <c r="H1425" t="s">
        <v>19</v>
      </c>
      <c r="I1425" t="s">
        <v>20</v>
      </c>
      <c r="J1425">
        <v>300</v>
      </c>
      <c r="S1425">
        <v>36</v>
      </c>
      <c r="T1425">
        <v>0</v>
      </c>
      <c r="U1425">
        <v>1</v>
      </c>
      <c r="V1425">
        <v>0</v>
      </c>
    </row>
    <row r="1426" spans="1:22">
      <c r="A1426" t="s">
        <v>1442</v>
      </c>
      <c r="B1426" s="3">
        <v>46193</v>
      </c>
      <c r="C1426" t="s">
        <v>78</v>
      </c>
      <c r="D1426" t="s">
        <v>161</v>
      </c>
      <c r="E1426" t="s">
        <v>16</v>
      </c>
      <c r="F1426" t="s">
        <v>17</v>
      </c>
      <c r="G1426" t="s">
        <v>23</v>
      </c>
      <c r="H1426" t="s">
        <v>19</v>
      </c>
      <c r="I1426" t="s">
        <v>20</v>
      </c>
      <c r="J1426">
        <v>120</v>
      </c>
      <c r="S1426">
        <v>9.6</v>
      </c>
      <c r="T1426">
        <v>0</v>
      </c>
      <c r="U1426">
        <v>1</v>
      </c>
      <c r="V1426">
        <v>0</v>
      </c>
    </row>
    <row r="1427" spans="1:22">
      <c r="A1427" t="s">
        <v>1443</v>
      </c>
      <c r="B1427" s="3">
        <v>46193</v>
      </c>
      <c r="C1427" t="s">
        <v>78</v>
      </c>
      <c r="D1427" t="s">
        <v>83</v>
      </c>
      <c r="E1427" t="s">
        <v>16</v>
      </c>
      <c r="F1427" t="s">
        <v>17</v>
      </c>
      <c r="G1427" t="s">
        <v>18</v>
      </c>
      <c r="H1427" t="s">
        <v>19</v>
      </c>
      <c r="I1427" t="s">
        <v>20</v>
      </c>
      <c r="J1427">
        <v>150</v>
      </c>
      <c r="L1427" t="s">
        <v>29</v>
      </c>
      <c r="S1427">
        <v>15</v>
      </c>
      <c r="T1427">
        <v>0</v>
      </c>
      <c r="U1427">
        <v>1</v>
      </c>
      <c r="V1427">
        <v>0</v>
      </c>
    </row>
    <row r="1428" spans="1:22">
      <c r="A1428" t="s">
        <v>1444</v>
      </c>
      <c r="B1428" s="3">
        <v>46193</v>
      </c>
      <c r="C1428" t="s">
        <v>78</v>
      </c>
      <c r="D1428" t="s">
        <v>97</v>
      </c>
      <c r="E1428" t="s">
        <v>16</v>
      </c>
      <c r="F1428" t="s">
        <v>17</v>
      </c>
      <c r="G1428" t="s">
        <v>32</v>
      </c>
      <c r="H1428" t="s">
        <v>19</v>
      </c>
      <c r="I1428" t="s">
        <v>20</v>
      </c>
      <c r="J1428">
        <v>225</v>
      </c>
      <c r="L1428" t="s">
        <v>29</v>
      </c>
      <c r="S1428">
        <v>27</v>
      </c>
      <c r="T1428">
        <v>0</v>
      </c>
      <c r="U1428">
        <v>1</v>
      </c>
      <c r="V1428">
        <v>0</v>
      </c>
    </row>
    <row r="1429" spans="1:22">
      <c r="A1429" t="s">
        <v>1445</v>
      </c>
      <c r="B1429" s="3">
        <v>46193</v>
      </c>
      <c r="C1429" t="s">
        <v>78</v>
      </c>
      <c r="D1429" t="s">
        <v>79</v>
      </c>
      <c r="E1429" t="s">
        <v>16</v>
      </c>
      <c r="F1429" t="s">
        <v>17</v>
      </c>
      <c r="G1429" t="s">
        <v>32</v>
      </c>
      <c r="H1429" t="s">
        <v>19</v>
      </c>
      <c r="I1429" t="s">
        <v>20</v>
      </c>
      <c r="J1429">
        <v>300</v>
      </c>
      <c r="S1429">
        <v>36</v>
      </c>
      <c r="T1429">
        <v>0</v>
      </c>
      <c r="U1429">
        <v>1</v>
      </c>
      <c r="V1429">
        <v>0</v>
      </c>
    </row>
    <row r="1430" spans="1:22">
      <c r="A1430" t="s">
        <v>1446</v>
      </c>
      <c r="B1430" s="3">
        <v>46193</v>
      </c>
      <c r="C1430" t="s">
        <v>78</v>
      </c>
      <c r="D1430" t="s">
        <v>163</v>
      </c>
      <c r="E1430" t="s">
        <v>16</v>
      </c>
      <c r="F1430" t="s">
        <v>17</v>
      </c>
      <c r="G1430" t="s">
        <v>32</v>
      </c>
      <c r="H1430" t="s">
        <v>19</v>
      </c>
      <c r="I1430" t="s">
        <v>20</v>
      </c>
      <c r="J1430">
        <v>225</v>
      </c>
      <c r="L1430" t="s">
        <v>1270</v>
      </c>
      <c r="S1430">
        <v>27</v>
      </c>
      <c r="T1430">
        <v>0</v>
      </c>
      <c r="U1430">
        <v>1</v>
      </c>
      <c r="V1430">
        <v>0</v>
      </c>
    </row>
    <row r="1431" spans="1:22">
      <c r="A1431" t="s">
        <v>1447</v>
      </c>
      <c r="B1431" s="3">
        <v>46193</v>
      </c>
      <c r="C1431" t="s">
        <v>78</v>
      </c>
      <c r="D1431" t="s">
        <v>89</v>
      </c>
      <c r="E1431" t="s">
        <v>16</v>
      </c>
      <c r="F1431" t="s">
        <v>17</v>
      </c>
      <c r="G1431" t="s">
        <v>32</v>
      </c>
      <c r="H1431" t="s">
        <v>19</v>
      </c>
      <c r="I1431" t="s">
        <v>20</v>
      </c>
      <c r="J1431">
        <v>225</v>
      </c>
      <c r="L1431" t="s">
        <v>1270</v>
      </c>
      <c r="S1431">
        <v>27</v>
      </c>
      <c r="T1431">
        <v>0</v>
      </c>
      <c r="U1431">
        <v>1</v>
      </c>
      <c r="V1431">
        <v>0</v>
      </c>
    </row>
    <row r="1432" spans="1:22">
      <c r="A1432" t="s">
        <v>1448</v>
      </c>
      <c r="B1432" s="3">
        <v>46193</v>
      </c>
      <c r="C1432" t="s">
        <v>78</v>
      </c>
      <c r="D1432" t="s">
        <v>93</v>
      </c>
      <c r="E1432" t="s">
        <v>16</v>
      </c>
      <c r="F1432" t="s">
        <v>17</v>
      </c>
      <c r="G1432" t="s">
        <v>32</v>
      </c>
      <c r="H1432" t="s">
        <v>19</v>
      </c>
      <c r="I1432" t="s">
        <v>20</v>
      </c>
      <c r="J1432">
        <v>225</v>
      </c>
      <c r="L1432" t="s">
        <v>1270</v>
      </c>
      <c r="S1432">
        <v>27</v>
      </c>
      <c r="T1432">
        <v>0</v>
      </c>
      <c r="U1432">
        <v>1</v>
      </c>
      <c r="V1432">
        <v>0</v>
      </c>
    </row>
    <row r="1433" spans="1:22">
      <c r="A1433" t="s">
        <v>1449</v>
      </c>
      <c r="B1433" s="3">
        <v>46193</v>
      </c>
      <c r="C1433" t="s">
        <v>78</v>
      </c>
      <c r="D1433" t="s">
        <v>87</v>
      </c>
      <c r="E1433" t="s">
        <v>16</v>
      </c>
      <c r="F1433" t="s">
        <v>17</v>
      </c>
      <c r="G1433" t="s">
        <v>32</v>
      </c>
      <c r="H1433" t="s">
        <v>19</v>
      </c>
      <c r="I1433" t="s">
        <v>20</v>
      </c>
      <c r="J1433">
        <v>225</v>
      </c>
      <c r="L1433" t="s">
        <v>1270</v>
      </c>
      <c r="S1433">
        <v>27</v>
      </c>
      <c r="T1433">
        <v>0</v>
      </c>
      <c r="U1433">
        <v>1</v>
      </c>
      <c r="V1433">
        <v>0</v>
      </c>
    </row>
    <row r="1434" spans="1:22">
      <c r="A1434" t="s">
        <v>1450</v>
      </c>
      <c r="B1434" s="3">
        <v>46193</v>
      </c>
      <c r="C1434" t="s">
        <v>78</v>
      </c>
      <c r="D1434" t="s">
        <v>89</v>
      </c>
      <c r="E1434" t="s">
        <v>16</v>
      </c>
      <c r="F1434" t="s">
        <v>17</v>
      </c>
      <c r="G1434" t="s">
        <v>32</v>
      </c>
      <c r="H1434" t="s">
        <v>19</v>
      </c>
      <c r="I1434" t="s">
        <v>20</v>
      </c>
      <c r="J1434">
        <v>225</v>
      </c>
      <c r="L1434" t="s">
        <v>1270</v>
      </c>
      <c r="S1434">
        <v>27</v>
      </c>
      <c r="T1434">
        <v>0</v>
      </c>
      <c r="U1434">
        <v>1</v>
      </c>
      <c r="V1434">
        <v>0</v>
      </c>
    </row>
    <row r="1435" spans="1:22">
      <c r="A1435" t="s">
        <v>1451</v>
      </c>
      <c r="B1435" s="3">
        <v>46193</v>
      </c>
      <c r="C1435" t="s">
        <v>78</v>
      </c>
      <c r="D1435" t="s">
        <v>79</v>
      </c>
      <c r="E1435" t="s">
        <v>16</v>
      </c>
      <c r="F1435" t="s">
        <v>17</v>
      </c>
      <c r="G1435" t="s">
        <v>32</v>
      </c>
      <c r="H1435" t="s">
        <v>19</v>
      </c>
      <c r="I1435" t="s">
        <v>20</v>
      </c>
      <c r="J1435">
        <v>225</v>
      </c>
      <c r="L1435" t="s">
        <v>1270</v>
      </c>
      <c r="S1435">
        <v>27</v>
      </c>
      <c r="T1435">
        <v>0</v>
      </c>
      <c r="U1435">
        <v>1</v>
      </c>
      <c r="V1435">
        <v>0</v>
      </c>
    </row>
    <row r="1436" spans="1:22">
      <c r="A1436" t="s">
        <v>1452</v>
      </c>
      <c r="B1436" s="3">
        <v>46193</v>
      </c>
      <c r="C1436" t="s">
        <v>78</v>
      </c>
      <c r="D1436" t="s">
        <v>79</v>
      </c>
      <c r="E1436" t="s">
        <v>16</v>
      </c>
      <c r="F1436" t="s">
        <v>17</v>
      </c>
      <c r="G1436" t="s">
        <v>32</v>
      </c>
      <c r="H1436" t="s">
        <v>19</v>
      </c>
      <c r="I1436" t="s">
        <v>20</v>
      </c>
      <c r="J1436">
        <v>225</v>
      </c>
      <c r="L1436" t="s">
        <v>1270</v>
      </c>
      <c r="S1436">
        <v>27</v>
      </c>
      <c r="T1436">
        <v>0</v>
      </c>
      <c r="U1436">
        <v>1</v>
      </c>
      <c r="V1436">
        <v>0</v>
      </c>
    </row>
    <row r="1437" spans="1:22">
      <c r="A1437" t="s">
        <v>1453</v>
      </c>
      <c r="B1437" s="3">
        <v>46193</v>
      </c>
      <c r="C1437" t="s">
        <v>78</v>
      </c>
      <c r="D1437" t="s">
        <v>79</v>
      </c>
      <c r="E1437" t="s">
        <v>16</v>
      </c>
      <c r="F1437" t="s">
        <v>17</v>
      </c>
      <c r="G1437" t="s">
        <v>32</v>
      </c>
      <c r="H1437" t="s">
        <v>19</v>
      </c>
      <c r="I1437" t="s">
        <v>20</v>
      </c>
      <c r="J1437">
        <v>225</v>
      </c>
      <c r="L1437" t="s">
        <v>1270</v>
      </c>
      <c r="S1437">
        <v>27</v>
      </c>
      <c r="T1437">
        <v>0</v>
      </c>
      <c r="U1437">
        <v>1</v>
      </c>
      <c r="V1437">
        <v>0</v>
      </c>
    </row>
    <row r="1438" spans="1:22">
      <c r="A1438" t="s">
        <v>1454</v>
      </c>
      <c r="B1438" s="3">
        <v>46193</v>
      </c>
      <c r="C1438" t="s">
        <v>78</v>
      </c>
      <c r="D1438" t="s">
        <v>102</v>
      </c>
      <c r="E1438" t="s">
        <v>16</v>
      </c>
      <c r="F1438" t="s">
        <v>17</v>
      </c>
      <c r="G1438" t="s">
        <v>32</v>
      </c>
      <c r="H1438" t="s">
        <v>19</v>
      </c>
      <c r="I1438" t="s">
        <v>20</v>
      </c>
      <c r="J1438">
        <v>225</v>
      </c>
      <c r="L1438" t="s">
        <v>1270</v>
      </c>
      <c r="S1438">
        <v>27</v>
      </c>
      <c r="T1438">
        <v>0</v>
      </c>
      <c r="U1438">
        <v>1</v>
      </c>
      <c r="V1438">
        <v>0</v>
      </c>
    </row>
    <row r="1439" spans="1:22">
      <c r="A1439" t="s">
        <v>1455</v>
      </c>
      <c r="B1439" s="3">
        <v>46193</v>
      </c>
      <c r="C1439" t="s">
        <v>78</v>
      </c>
      <c r="D1439" t="s">
        <v>163</v>
      </c>
      <c r="E1439" t="s">
        <v>16</v>
      </c>
      <c r="F1439" t="s">
        <v>17</v>
      </c>
      <c r="G1439" t="s">
        <v>32</v>
      </c>
      <c r="H1439" t="s">
        <v>19</v>
      </c>
      <c r="I1439" t="s">
        <v>20</v>
      </c>
      <c r="J1439">
        <v>225</v>
      </c>
      <c r="L1439" t="s">
        <v>1270</v>
      </c>
      <c r="S1439">
        <v>27</v>
      </c>
      <c r="T1439">
        <v>0</v>
      </c>
      <c r="U1439">
        <v>1</v>
      </c>
      <c r="V1439">
        <v>0</v>
      </c>
    </row>
    <row r="1440" spans="1:22">
      <c r="A1440" t="s">
        <v>1456</v>
      </c>
      <c r="B1440" s="3">
        <v>46193</v>
      </c>
      <c r="C1440" t="s">
        <v>78</v>
      </c>
      <c r="D1440" t="s">
        <v>85</v>
      </c>
      <c r="E1440" t="s">
        <v>16</v>
      </c>
      <c r="F1440" t="s">
        <v>17</v>
      </c>
      <c r="G1440" t="s">
        <v>32</v>
      </c>
      <c r="H1440" t="s">
        <v>19</v>
      </c>
      <c r="I1440" t="s">
        <v>20</v>
      </c>
      <c r="J1440">
        <v>225</v>
      </c>
      <c r="L1440" t="s">
        <v>1270</v>
      </c>
      <c r="S1440">
        <v>27</v>
      </c>
      <c r="T1440">
        <v>0</v>
      </c>
      <c r="U1440">
        <v>1</v>
      </c>
      <c r="V1440">
        <v>0</v>
      </c>
    </row>
    <row r="1441" spans="1:22">
      <c r="A1441" t="s">
        <v>1457</v>
      </c>
      <c r="B1441" s="3">
        <v>46193</v>
      </c>
      <c r="C1441" t="s">
        <v>78</v>
      </c>
      <c r="D1441" t="s">
        <v>81</v>
      </c>
      <c r="E1441" t="s">
        <v>16</v>
      </c>
      <c r="F1441" t="s">
        <v>17</v>
      </c>
      <c r="G1441" t="s">
        <v>32</v>
      </c>
      <c r="H1441" t="s">
        <v>19</v>
      </c>
      <c r="I1441" t="s">
        <v>20</v>
      </c>
      <c r="J1441">
        <v>225</v>
      </c>
      <c r="L1441" t="s">
        <v>1270</v>
      </c>
      <c r="S1441">
        <v>27</v>
      </c>
      <c r="T1441">
        <v>0</v>
      </c>
      <c r="U1441">
        <v>1</v>
      </c>
      <c r="V1441">
        <v>0</v>
      </c>
    </row>
    <row r="1442" spans="1:22">
      <c r="A1442" t="s">
        <v>1458</v>
      </c>
      <c r="B1442" s="3">
        <v>46193</v>
      </c>
      <c r="C1442" t="s">
        <v>78</v>
      </c>
      <c r="D1442" t="s">
        <v>89</v>
      </c>
      <c r="E1442" t="s">
        <v>16</v>
      </c>
      <c r="F1442" t="s">
        <v>17</v>
      </c>
      <c r="G1442" t="s">
        <v>32</v>
      </c>
      <c r="H1442" t="s">
        <v>19</v>
      </c>
      <c r="I1442" t="s">
        <v>20</v>
      </c>
      <c r="J1442">
        <v>225</v>
      </c>
      <c r="L1442" t="s">
        <v>1270</v>
      </c>
      <c r="S1442">
        <v>27</v>
      </c>
      <c r="T1442">
        <v>0</v>
      </c>
      <c r="U1442">
        <v>1</v>
      </c>
      <c r="V1442">
        <v>0</v>
      </c>
    </row>
    <row r="1443" spans="1:22">
      <c r="A1443" t="s">
        <v>1459</v>
      </c>
      <c r="B1443" s="3">
        <v>46193</v>
      </c>
      <c r="C1443" t="s">
        <v>78</v>
      </c>
      <c r="D1443" t="s">
        <v>102</v>
      </c>
      <c r="E1443" t="s">
        <v>16</v>
      </c>
      <c r="F1443" t="s">
        <v>17</v>
      </c>
      <c r="G1443" t="s">
        <v>32</v>
      </c>
      <c r="H1443" t="s">
        <v>19</v>
      </c>
      <c r="I1443" t="s">
        <v>20</v>
      </c>
      <c r="J1443">
        <v>225</v>
      </c>
      <c r="L1443" t="s">
        <v>1270</v>
      </c>
      <c r="S1443">
        <v>27</v>
      </c>
      <c r="T1443">
        <v>0</v>
      </c>
      <c r="U1443">
        <v>1</v>
      </c>
      <c r="V1443">
        <v>0</v>
      </c>
    </row>
    <row r="1444" spans="1:22">
      <c r="A1444" t="s">
        <v>1460</v>
      </c>
      <c r="B1444" s="3">
        <v>46193</v>
      </c>
      <c r="C1444" t="s">
        <v>78</v>
      </c>
      <c r="D1444" t="s">
        <v>93</v>
      </c>
      <c r="E1444" t="s">
        <v>16</v>
      </c>
      <c r="F1444" t="s">
        <v>17</v>
      </c>
      <c r="G1444" t="s">
        <v>32</v>
      </c>
      <c r="H1444" t="s">
        <v>19</v>
      </c>
      <c r="I1444" t="s">
        <v>20</v>
      </c>
      <c r="J1444">
        <v>225</v>
      </c>
      <c r="L1444" t="s">
        <v>1270</v>
      </c>
      <c r="S1444">
        <v>27</v>
      </c>
      <c r="T1444">
        <v>0</v>
      </c>
      <c r="U1444">
        <v>1</v>
      </c>
      <c r="V1444">
        <v>0</v>
      </c>
    </row>
    <row r="1445" spans="1:22">
      <c r="A1445" t="s">
        <v>1461</v>
      </c>
      <c r="B1445" s="3">
        <v>46193</v>
      </c>
      <c r="C1445" t="s">
        <v>78</v>
      </c>
      <c r="D1445" t="s">
        <v>93</v>
      </c>
      <c r="E1445" t="s">
        <v>16</v>
      </c>
      <c r="F1445" t="s">
        <v>17</v>
      </c>
      <c r="G1445" t="s">
        <v>32</v>
      </c>
      <c r="H1445" t="s">
        <v>19</v>
      </c>
      <c r="I1445" t="s">
        <v>20</v>
      </c>
      <c r="J1445">
        <v>225</v>
      </c>
      <c r="L1445" t="s">
        <v>1270</v>
      </c>
      <c r="S1445">
        <v>27</v>
      </c>
      <c r="T1445">
        <v>0</v>
      </c>
      <c r="U1445">
        <v>1</v>
      </c>
      <c r="V1445">
        <v>0</v>
      </c>
    </row>
    <row r="1446" spans="1:22">
      <c r="A1446" t="s">
        <v>1462</v>
      </c>
      <c r="B1446" s="3">
        <v>46193</v>
      </c>
      <c r="C1446" t="s">
        <v>78</v>
      </c>
      <c r="D1446" t="s">
        <v>161</v>
      </c>
      <c r="E1446" t="s">
        <v>16</v>
      </c>
      <c r="F1446" t="s">
        <v>17</v>
      </c>
      <c r="G1446" t="s">
        <v>32</v>
      </c>
      <c r="H1446" t="s">
        <v>19</v>
      </c>
      <c r="I1446" t="s">
        <v>20</v>
      </c>
      <c r="J1446">
        <v>225</v>
      </c>
      <c r="L1446" t="s">
        <v>1270</v>
      </c>
      <c r="S1446">
        <v>27</v>
      </c>
      <c r="T1446">
        <v>0</v>
      </c>
      <c r="U1446">
        <v>1</v>
      </c>
      <c r="V1446">
        <v>0</v>
      </c>
    </row>
    <row r="1447" spans="1:22">
      <c r="A1447" t="s">
        <v>1463</v>
      </c>
      <c r="B1447" s="3">
        <v>46193</v>
      </c>
      <c r="C1447" t="s">
        <v>78</v>
      </c>
      <c r="D1447" t="s">
        <v>242</v>
      </c>
      <c r="E1447" t="s">
        <v>16</v>
      </c>
      <c r="F1447" t="s">
        <v>17</v>
      </c>
      <c r="G1447" t="s">
        <v>32</v>
      </c>
      <c r="H1447" t="s">
        <v>19</v>
      </c>
      <c r="I1447" t="s">
        <v>20</v>
      </c>
      <c r="J1447">
        <v>225</v>
      </c>
      <c r="L1447" t="s">
        <v>1270</v>
      </c>
      <c r="S1447">
        <v>27</v>
      </c>
      <c r="T1447">
        <v>0</v>
      </c>
      <c r="U1447">
        <v>1</v>
      </c>
      <c r="V1447">
        <v>0</v>
      </c>
    </row>
    <row r="1448" spans="1:22">
      <c r="A1448" t="s">
        <v>1464</v>
      </c>
      <c r="B1448" s="3">
        <v>46193</v>
      </c>
      <c r="C1448" t="s">
        <v>78</v>
      </c>
      <c r="D1448" t="s">
        <v>161</v>
      </c>
      <c r="E1448" t="s">
        <v>16</v>
      </c>
      <c r="F1448" t="s">
        <v>17</v>
      </c>
      <c r="G1448" t="s">
        <v>32</v>
      </c>
      <c r="H1448" t="s">
        <v>19</v>
      </c>
      <c r="I1448" t="s">
        <v>20</v>
      </c>
      <c r="J1448">
        <v>225</v>
      </c>
      <c r="L1448" t="s">
        <v>1270</v>
      </c>
      <c r="S1448">
        <v>27</v>
      </c>
      <c r="T1448">
        <v>0</v>
      </c>
      <c r="U1448">
        <v>1</v>
      </c>
      <c r="V1448">
        <v>0</v>
      </c>
    </row>
    <row r="1449" spans="1:22">
      <c r="A1449" t="s">
        <v>1465</v>
      </c>
      <c r="B1449" s="3">
        <v>46193</v>
      </c>
      <c r="C1449" t="s">
        <v>105</v>
      </c>
      <c r="D1449" t="s">
        <v>118</v>
      </c>
      <c r="E1449" t="s">
        <v>16</v>
      </c>
      <c r="F1449" t="s">
        <v>35</v>
      </c>
      <c r="G1449" t="s">
        <v>18</v>
      </c>
      <c r="H1449" t="s">
        <v>19</v>
      </c>
      <c r="I1449" t="s">
        <v>20</v>
      </c>
      <c r="J1449">
        <v>200</v>
      </c>
      <c r="S1449">
        <v>6</v>
      </c>
      <c r="T1449">
        <v>0</v>
      </c>
      <c r="U1449">
        <v>0</v>
      </c>
      <c r="V1449">
        <v>0</v>
      </c>
    </row>
    <row r="1450" spans="1:22">
      <c r="A1450" t="s">
        <v>1466</v>
      </c>
      <c r="B1450" s="3">
        <v>46193</v>
      </c>
      <c r="C1450" t="s">
        <v>105</v>
      </c>
      <c r="D1450" t="s">
        <v>194</v>
      </c>
      <c r="E1450" t="s">
        <v>16</v>
      </c>
      <c r="F1450" t="s">
        <v>17</v>
      </c>
      <c r="G1450" t="s">
        <v>18</v>
      </c>
      <c r="H1450" t="s">
        <v>24</v>
      </c>
      <c r="I1450" t="s">
        <v>20</v>
      </c>
      <c r="J1450">
        <v>200</v>
      </c>
      <c r="S1450">
        <v>0</v>
      </c>
      <c r="T1450">
        <v>0</v>
      </c>
      <c r="U1450">
        <v>0</v>
      </c>
      <c r="V1450">
        <v>0</v>
      </c>
    </row>
    <row r="1451" spans="1:22">
      <c r="A1451" t="s">
        <v>1467</v>
      </c>
      <c r="B1451" s="3">
        <v>46193</v>
      </c>
      <c r="C1451" t="s">
        <v>105</v>
      </c>
      <c r="D1451" t="s">
        <v>187</v>
      </c>
      <c r="E1451" t="s">
        <v>16</v>
      </c>
      <c r="F1451" t="s">
        <v>17</v>
      </c>
      <c r="G1451" t="s">
        <v>18</v>
      </c>
      <c r="H1451" t="s">
        <v>19</v>
      </c>
      <c r="I1451" t="s">
        <v>20</v>
      </c>
      <c r="J1451">
        <v>200</v>
      </c>
      <c r="S1451">
        <v>20</v>
      </c>
      <c r="T1451">
        <v>0</v>
      </c>
      <c r="U1451">
        <v>1</v>
      </c>
      <c r="V1451">
        <v>0</v>
      </c>
    </row>
    <row r="1452" spans="1:22">
      <c r="A1452" t="s">
        <v>1468</v>
      </c>
      <c r="B1452" s="3">
        <v>46193</v>
      </c>
      <c r="C1452" t="s">
        <v>105</v>
      </c>
      <c r="D1452" t="s">
        <v>120</v>
      </c>
      <c r="E1452" t="s">
        <v>16</v>
      </c>
      <c r="F1452" t="s">
        <v>17</v>
      </c>
      <c r="G1452" t="s">
        <v>23</v>
      </c>
      <c r="H1452" t="s">
        <v>19</v>
      </c>
      <c r="I1452" t="s">
        <v>20</v>
      </c>
      <c r="J1452">
        <v>120</v>
      </c>
      <c r="S1452">
        <v>9.6</v>
      </c>
      <c r="T1452">
        <v>0</v>
      </c>
      <c r="U1452">
        <v>1</v>
      </c>
      <c r="V1452">
        <v>0</v>
      </c>
    </row>
    <row r="1453" spans="1:22">
      <c r="A1453" t="s">
        <v>1469</v>
      </c>
      <c r="B1453" s="3">
        <v>46193</v>
      </c>
      <c r="C1453" t="s">
        <v>105</v>
      </c>
      <c r="D1453" t="s">
        <v>191</v>
      </c>
      <c r="E1453" t="s">
        <v>16</v>
      </c>
      <c r="F1453" t="s">
        <v>17</v>
      </c>
      <c r="G1453" t="s">
        <v>32</v>
      </c>
      <c r="H1453" t="s">
        <v>19</v>
      </c>
      <c r="I1453" t="s">
        <v>20</v>
      </c>
      <c r="J1453">
        <v>300</v>
      </c>
      <c r="S1453">
        <v>36</v>
      </c>
      <c r="T1453">
        <v>0</v>
      </c>
      <c r="U1453">
        <v>1</v>
      </c>
      <c r="V1453">
        <v>0</v>
      </c>
    </row>
    <row r="1454" spans="1:22">
      <c r="A1454" t="s">
        <v>1470</v>
      </c>
      <c r="B1454" s="3">
        <v>46193</v>
      </c>
      <c r="C1454" t="s">
        <v>105</v>
      </c>
      <c r="D1454" t="s">
        <v>191</v>
      </c>
      <c r="E1454" t="s">
        <v>16</v>
      </c>
      <c r="F1454" t="s">
        <v>35</v>
      </c>
      <c r="G1454" t="s">
        <v>23</v>
      </c>
      <c r="H1454" t="s">
        <v>19</v>
      </c>
      <c r="I1454" t="s">
        <v>20</v>
      </c>
      <c r="J1454">
        <v>120</v>
      </c>
      <c r="S1454">
        <v>3.6</v>
      </c>
      <c r="T1454">
        <v>0</v>
      </c>
      <c r="U1454">
        <v>0</v>
      </c>
      <c r="V1454">
        <v>0</v>
      </c>
    </row>
    <row r="1455" spans="1:22">
      <c r="A1455" t="s">
        <v>1471</v>
      </c>
      <c r="B1455" s="3">
        <v>46193</v>
      </c>
      <c r="C1455" t="s">
        <v>105</v>
      </c>
      <c r="D1455" t="s">
        <v>106</v>
      </c>
      <c r="E1455" t="s">
        <v>16</v>
      </c>
      <c r="F1455" t="s">
        <v>17</v>
      </c>
      <c r="G1455" t="s">
        <v>18</v>
      </c>
      <c r="H1455" t="s">
        <v>19</v>
      </c>
      <c r="I1455" t="s">
        <v>20</v>
      </c>
      <c r="J1455">
        <v>200</v>
      </c>
      <c r="S1455">
        <v>20</v>
      </c>
      <c r="T1455">
        <v>0</v>
      </c>
      <c r="U1455">
        <v>1</v>
      </c>
      <c r="V1455">
        <v>0</v>
      </c>
    </row>
    <row r="1456" spans="1:22">
      <c r="A1456" t="s">
        <v>1472</v>
      </c>
      <c r="B1456" s="3">
        <v>46193</v>
      </c>
      <c r="C1456" t="s">
        <v>105</v>
      </c>
      <c r="D1456" t="s">
        <v>110</v>
      </c>
      <c r="E1456" t="s">
        <v>16</v>
      </c>
      <c r="F1456" t="s">
        <v>35</v>
      </c>
      <c r="G1456" t="s">
        <v>18</v>
      </c>
      <c r="H1456" t="s">
        <v>24</v>
      </c>
      <c r="I1456" t="s">
        <v>20</v>
      </c>
      <c r="J1456">
        <v>200</v>
      </c>
      <c r="S1456">
        <v>0</v>
      </c>
      <c r="T1456">
        <v>0</v>
      </c>
      <c r="U1456">
        <v>0</v>
      </c>
      <c r="V1456">
        <v>0</v>
      </c>
    </row>
    <row r="1457" spans="1:22">
      <c r="A1457" t="s">
        <v>1473</v>
      </c>
      <c r="B1457" s="3">
        <v>46193</v>
      </c>
      <c r="C1457" t="s">
        <v>105</v>
      </c>
      <c r="D1457" t="s">
        <v>112</v>
      </c>
      <c r="E1457" t="s">
        <v>16</v>
      </c>
      <c r="F1457" t="s">
        <v>17</v>
      </c>
      <c r="G1457" t="s">
        <v>32</v>
      </c>
      <c r="H1457" t="s">
        <v>19</v>
      </c>
      <c r="I1457" t="s">
        <v>20</v>
      </c>
      <c r="J1457">
        <v>300</v>
      </c>
      <c r="S1457">
        <v>36</v>
      </c>
      <c r="T1457">
        <v>0</v>
      </c>
      <c r="U1457">
        <v>1</v>
      </c>
      <c r="V1457">
        <v>0</v>
      </c>
    </row>
    <row r="1458" spans="1:22">
      <c r="A1458" t="s">
        <v>1474</v>
      </c>
      <c r="B1458" s="3">
        <v>46193</v>
      </c>
      <c r="C1458" t="s">
        <v>105</v>
      </c>
      <c r="D1458" t="s">
        <v>191</v>
      </c>
      <c r="E1458" t="s">
        <v>16</v>
      </c>
      <c r="F1458" t="s">
        <v>17</v>
      </c>
      <c r="G1458" t="s">
        <v>23</v>
      </c>
      <c r="H1458" t="s">
        <v>19</v>
      </c>
      <c r="I1458" t="s">
        <v>20</v>
      </c>
      <c r="J1458">
        <v>120</v>
      </c>
      <c r="S1458">
        <v>9.6</v>
      </c>
      <c r="T1458">
        <v>0</v>
      </c>
      <c r="U1458">
        <v>1</v>
      </c>
      <c r="V1458">
        <v>0</v>
      </c>
    </row>
    <row r="1459" spans="1:22">
      <c r="A1459" t="s">
        <v>1475</v>
      </c>
      <c r="B1459" s="3">
        <v>46193</v>
      </c>
      <c r="C1459" t="s">
        <v>105</v>
      </c>
      <c r="D1459" t="s">
        <v>194</v>
      </c>
      <c r="E1459" t="s">
        <v>16</v>
      </c>
      <c r="F1459" t="s">
        <v>17</v>
      </c>
      <c r="G1459" t="s">
        <v>18</v>
      </c>
      <c r="H1459" t="s">
        <v>19</v>
      </c>
      <c r="I1459" t="s">
        <v>20</v>
      </c>
      <c r="J1459">
        <v>200</v>
      </c>
      <c r="S1459">
        <v>20</v>
      </c>
      <c r="T1459">
        <v>0</v>
      </c>
      <c r="U1459">
        <v>1</v>
      </c>
      <c r="V1459">
        <v>0</v>
      </c>
    </row>
    <row r="1460" spans="1:22">
      <c r="A1460" t="s">
        <v>1476</v>
      </c>
      <c r="B1460" s="3">
        <v>46193</v>
      </c>
      <c r="C1460" t="s">
        <v>105</v>
      </c>
      <c r="D1460" t="s">
        <v>194</v>
      </c>
      <c r="E1460" t="s">
        <v>16</v>
      </c>
      <c r="F1460" t="s">
        <v>17</v>
      </c>
      <c r="G1460" t="s">
        <v>32</v>
      </c>
      <c r="H1460" t="s">
        <v>19</v>
      </c>
      <c r="I1460" t="s">
        <v>20</v>
      </c>
      <c r="J1460">
        <v>300</v>
      </c>
      <c r="S1460">
        <v>36</v>
      </c>
      <c r="T1460">
        <v>0</v>
      </c>
      <c r="U1460">
        <v>1</v>
      </c>
      <c r="V1460">
        <v>0</v>
      </c>
    </row>
    <row r="1461" spans="1:22">
      <c r="A1461" t="s">
        <v>1477</v>
      </c>
      <c r="B1461" s="3">
        <v>46193</v>
      </c>
      <c r="C1461" t="s">
        <v>105</v>
      </c>
      <c r="D1461" t="s">
        <v>265</v>
      </c>
      <c r="E1461" t="s">
        <v>16</v>
      </c>
      <c r="F1461" t="s">
        <v>17</v>
      </c>
      <c r="G1461" t="s">
        <v>23</v>
      </c>
      <c r="H1461" t="s">
        <v>19</v>
      </c>
      <c r="I1461" t="s">
        <v>20</v>
      </c>
      <c r="J1461">
        <v>102</v>
      </c>
      <c r="L1461" t="s">
        <v>29</v>
      </c>
      <c r="S1461">
        <v>8.16</v>
      </c>
      <c r="T1461">
        <v>0</v>
      </c>
      <c r="U1461">
        <v>1</v>
      </c>
      <c r="V1461">
        <v>0</v>
      </c>
    </row>
    <row r="1462" spans="1:22">
      <c r="A1462" t="s">
        <v>1478</v>
      </c>
      <c r="B1462" s="3">
        <v>46193</v>
      </c>
      <c r="C1462" t="s">
        <v>105</v>
      </c>
      <c r="D1462" t="s">
        <v>191</v>
      </c>
      <c r="E1462" t="s">
        <v>16</v>
      </c>
      <c r="F1462" t="s">
        <v>17</v>
      </c>
      <c r="G1462" t="s">
        <v>18</v>
      </c>
      <c r="H1462" t="s">
        <v>19</v>
      </c>
      <c r="I1462" t="s">
        <v>20</v>
      </c>
      <c r="J1462">
        <v>200</v>
      </c>
      <c r="S1462">
        <v>20</v>
      </c>
      <c r="T1462">
        <v>0</v>
      </c>
      <c r="U1462">
        <v>1</v>
      </c>
      <c r="V1462">
        <v>0</v>
      </c>
    </row>
    <row r="1463" spans="1:22">
      <c r="A1463" t="s">
        <v>1482</v>
      </c>
      <c r="B1463" s="3">
        <v>46194</v>
      </c>
      <c r="C1463" t="s">
        <v>14</v>
      </c>
      <c r="D1463" t="s">
        <v>34</v>
      </c>
      <c r="E1463" t="s">
        <v>16</v>
      </c>
      <c r="F1463" t="s">
        <v>17</v>
      </c>
      <c r="G1463" t="s">
        <v>32</v>
      </c>
      <c r="H1463" t="s">
        <v>19</v>
      </c>
      <c r="I1463" t="s">
        <v>20</v>
      </c>
      <c r="J1463">
        <v>225</v>
      </c>
      <c r="L1463" t="s">
        <v>29</v>
      </c>
      <c r="S1463">
        <v>27</v>
      </c>
      <c r="T1463">
        <v>0</v>
      </c>
      <c r="U1463">
        <v>1</v>
      </c>
      <c r="V1463">
        <v>0</v>
      </c>
    </row>
    <row r="1464" spans="1:22">
      <c r="A1464" t="s">
        <v>1484</v>
      </c>
      <c r="B1464" s="3">
        <v>46194</v>
      </c>
      <c r="C1464" t="s">
        <v>14</v>
      </c>
      <c r="D1464" t="s">
        <v>131</v>
      </c>
      <c r="E1464" t="s">
        <v>16</v>
      </c>
      <c r="F1464" t="s">
        <v>17</v>
      </c>
      <c r="G1464" t="s">
        <v>32</v>
      </c>
      <c r="H1464" t="s">
        <v>19</v>
      </c>
      <c r="I1464" t="s">
        <v>20</v>
      </c>
      <c r="J1464">
        <v>300</v>
      </c>
      <c r="S1464">
        <v>36</v>
      </c>
      <c r="T1464">
        <v>0</v>
      </c>
      <c r="U1464">
        <v>1</v>
      </c>
      <c r="V1464">
        <v>0</v>
      </c>
    </row>
    <row r="1465" spans="1:22">
      <c r="A1465" t="s">
        <v>1485</v>
      </c>
      <c r="B1465" s="3">
        <v>46194</v>
      </c>
      <c r="C1465" t="s">
        <v>14</v>
      </c>
      <c r="D1465" t="s">
        <v>34</v>
      </c>
      <c r="E1465" t="s">
        <v>16</v>
      </c>
      <c r="F1465" t="s">
        <v>17</v>
      </c>
      <c r="G1465" t="s">
        <v>32</v>
      </c>
      <c r="H1465" t="s">
        <v>19</v>
      </c>
      <c r="I1465" t="s">
        <v>20</v>
      </c>
      <c r="J1465">
        <v>300</v>
      </c>
      <c r="S1465">
        <v>36</v>
      </c>
      <c r="T1465">
        <v>0</v>
      </c>
      <c r="U1465">
        <v>1</v>
      </c>
      <c r="V1465">
        <v>0</v>
      </c>
    </row>
    <row r="1466" spans="1:22">
      <c r="A1466" t="s">
        <v>1486</v>
      </c>
      <c r="B1466" s="3">
        <v>46194</v>
      </c>
      <c r="C1466" t="s">
        <v>14</v>
      </c>
      <c r="D1466" t="s">
        <v>34</v>
      </c>
      <c r="E1466" t="s">
        <v>16</v>
      </c>
      <c r="F1466" t="s">
        <v>17</v>
      </c>
      <c r="G1466" t="s">
        <v>18</v>
      </c>
      <c r="H1466" t="s">
        <v>19</v>
      </c>
      <c r="I1466" t="s">
        <v>20</v>
      </c>
      <c r="J1466">
        <v>200</v>
      </c>
      <c r="S1466">
        <v>20</v>
      </c>
      <c r="T1466">
        <v>0</v>
      </c>
      <c r="U1466">
        <v>1</v>
      </c>
      <c r="V1466">
        <v>0</v>
      </c>
    </row>
    <row r="1467" spans="1:22">
      <c r="A1467" t="s">
        <v>1487</v>
      </c>
      <c r="B1467" s="3">
        <v>46194</v>
      </c>
      <c r="C1467" t="s">
        <v>14</v>
      </c>
      <c r="D1467" t="s">
        <v>137</v>
      </c>
      <c r="E1467" t="s">
        <v>16</v>
      </c>
      <c r="F1467" t="s">
        <v>17</v>
      </c>
      <c r="G1467" t="s">
        <v>23</v>
      </c>
      <c r="H1467" t="s">
        <v>24</v>
      </c>
      <c r="I1467" t="s">
        <v>20</v>
      </c>
      <c r="J1467">
        <v>120</v>
      </c>
      <c r="S1467">
        <v>0</v>
      </c>
      <c r="T1467">
        <v>0</v>
      </c>
      <c r="U1467">
        <v>0</v>
      </c>
      <c r="V1467">
        <v>0</v>
      </c>
    </row>
    <row r="1468" spans="1:22">
      <c r="A1468" t="s">
        <v>1488</v>
      </c>
      <c r="B1468" s="3">
        <v>46194</v>
      </c>
      <c r="C1468" t="s">
        <v>14</v>
      </c>
      <c r="D1468" t="s">
        <v>40</v>
      </c>
      <c r="E1468" t="s">
        <v>16</v>
      </c>
      <c r="F1468" t="s">
        <v>35</v>
      </c>
      <c r="G1468" t="s">
        <v>32</v>
      </c>
      <c r="H1468" t="s">
        <v>24</v>
      </c>
      <c r="I1468" t="s">
        <v>20</v>
      </c>
      <c r="J1468">
        <v>300</v>
      </c>
      <c r="S1468">
        <v>0</v>
      </c>
      <c r="T1468">
        <v>0</v>
      </c>
      <c r="U1468">
        <v>0</v>
      </c>
      <c r="V1468">
        <v>0</v>
      </c>
    </row>
    <row r="1469" spans="1:22">
      <c r="A1469" t="s">
        <v>1489</v>
      </c>
      <c r="B1469" s="3">
        <v>46194</v>
      </c>
      <c r="C1469" t="s">
        <v>14</v>
      </c>
      <c r="D1469" t="s">
        <v>28</v>
      </c>
      <c r="E1469" t="s">
        <v>16</v>
      </c>
      <c r="F1469" t="s">
        <v>17</v>
      </c>
      <c r="G1469" t="s">
        <v>23</v>
      </c>
      <c r="H1469" t="s">
        <v>19</v>
      </c>
      <c r="I1469" t="s">
        <v>20</v>
      </c>
      <c r="J1469">
        <v>120</v>
      </c>
      <c r="S1469">
        <v>9.6</v>
      </c>
      <c r="T1469">
        <v>0</v>
      </c>
      <c r="U1469">
        <v>1</v>
      </c>
      <c r="V1469">
        <v>0</v>
      </c>
    </row>
    <row r="1470" spans="1:22">
      <c r="A1470" t="s">
        <v>1490</v>
      </c>
      <c r="B1470" s="3">
        <v>46194</v>
      </c>
      <c r="C1470" t="s">
        <v>14</v>
      </c>
      <c r="D1470" t="s">
        <v>210</v>
      </c>
      <c r="E1470" t="s">
        <v>16</v>
      </c>
      <c r="F1470" t="s">
        <v>17</v>
      </c>
      <c r="G1470" t="s">
        <v>18</v>
      </c>
      <c r="H1470" t="s">
        <v>19</v>
      </c>
      <c r="I1470" t="s">
        <v>20</v>
      </c>
      <c r="J1470">
        <v>200</v>
      </c>
      <c r="S1470">
        <v>20</v>
      </c>
      <c r="T1470">
        <v>0</v>
      </c>
      <c r="U1470">
        <v>1</v>
      </c>
      <c r="V1470">
        <v>0</v>
      </c>
    </row>
    <row r="1471" spans="1:22">
      <c r="A1471" t="s">
        <v>1491</v>
      </c>
      <c r="B1471" s="3">
        <v>46194</v>
      </c>
      <c r="C1471" t="s">
        <v>14</v>
      </c>
      <c r="D1471" t="s">
        <v>40</v>
      </c>
      <c r="E1471" t="s">
        <v>16</v>
      </c>
      <c r="F1471" t="s">
        <v>17</v>
      </c>
      <c r="G1471" t="s">
        <v>32</v>
      </c>
      <c r="H1471" t="s">
        <v>19</v>
      </c>
      <c r="I1471" t="s">
        <v>20</v>
      </c>
      <c r="J1471">
        <v>300</v>
      </c>
      <c r="S1471">
        <v>36</v>
      </c>
      <c r="T1471">
        <v>0</v>
      </c>
      <c r="U1471">
        <v>1</v>
      </c>
      <c r="V1471">
        <v>0</v>
      </c>
    </row>
    <row r="1472" spans="1:22">
      <c r="A1472" t="s">
        <v>1492</v>
      </c>
      <c r="B1472" s="3">
        <v>46194</v>
      </c>
      <c r="C1472" t="s">
        <v>14</v>
      </c>
      <c r="D1472" t="s">
        <v>34</v>
      </c>
      <c r="E1472" t="s">
        <v>16</v>
      </c>
      <c r="F1472" t="s">
        <v>17</v>
      </c>
      <c r="G1472" t="s">
        <v>32</v>
      </c>
      <c r="H1472" t="s">
        <v>19</v>
      </c>
      <c r="I1472" t="s">
        <v>20</v>
      </c>
      <c r="J1472">
        <v>255</v>
      </c>
      <c r="L1472" t="s">
        <v>29</v>
      </c>
      <c r="S1472">
        <v>30.6</v>
      </c>
      <c r="T1472">
        <v>0</v>
      </c>
      <c r="U1472">
        <v>1</v>
      </c>
      <c r="V1472">
        <v>0</v>
      </c>
    </row>
    <row r="1473" spans="1:22">
      <c r="A1473" t="s">
        <v>1493</v>
      </c>
      <c r="B1473" s="3">
        <v>46194</v>
      </c>
      <c r="C1473" t="s">
        <v>14</v>
      </c>
      <c r="D1473" t="s">
        <v>34</v>
      </c>
      <c r="E1473" t="s">
        <v>16</v>
      </c>
      <c r="F1473" t="s">
        <v>35</v>
      </c>
      <c r="G1473" t="s">
        <v>23</v>
      </c>
      <c r="H1473" t="s">
        <v>19</v>
      </c>
      <c r="I1473" t="s">
        <v>53</v>
      </c>
      <c r="J1473">
        <v>120</v>
      </c>
      <c r="S1473">
        <v>0</v>
      </c>
      <c r="T1473">
        <v>0</v>
      </c>
      <c r="U1473">
        <v>0</v>
      </c>
      <c r="V1473">
        <v>0</v>
      </c>
    </row>
    <row r="1474" spans="1:22">
      <c r="A1474" t="s">
        <v>1494</v>
      </c>
      <c r="B1474" s="3">
        <v>46194</v>
      </c>
      <c r="C1474" t="s">
        <v>14</v>
      </c>
      <c r="D1474" t="s">
        <v>22</v>
      </c>
      <c r="E1474" t="s">
        <v>16</v>
      </c>
      <c r="F1474" t="s">
        <v>35</v>
      </c>
      <c r="G1474" t="s">
        <v>23</v>
      </c>
      <c r="H1474" t="s">
        <v>19</v>
      </c>
      <c r="I1474" t="s">
        <v>20</v>
      </c>
      <c r="J1474">
        <v>120</v>
      </c>
      <c r="S1474">
        <v>3.6</v>
      </c>
      <c r="T1474">
        <v>0</v>
      </c>
      <c r="U1474">
        <v>0</v>
      </c>
      <c r="V1474">
        <v>0</v>
      </c>
    </row>
    <row r="1475" spans="1:22">
      <c r="A1475" t="s">
        <v>1495</v>
      </c>
      <c r="B1475" s="3">
        <v>46194</v>
      </c>
      <c r="C1475" t="s">
        <v>14</v>
      </c>
      <c r="D1475" t="s">
        <v>31</v>
      </c>
      <c r="E1475" t="s">
        <v>16</v>
      </c>
      <c r="F1475" t="s">
        <v>35</v>
      </c>
      <c r="G1475" t="s">
        <v>23</v>
      </c>
      <c r="H1475" t="s">
        <v>19</v>
      </c>
      <c r="I1475" t="s">
        <v>20</v>
      </c>
      <c r="J1475">
        <v>120</v>
      </c>
      <c r="S1475">
        <v>3.6</v>
      </c>
      <c r="T1475">
        <v>0</v>
      </c>
      <c r="U1475">
        <v>0</v>
      </c>
      <c r="V1475">
        <v>0</v>
      </c>
    </row>
    <row r="1476" spans="1:22">
      <c r="A1476" t="s">
        <v>1496</v>
      </c>
      <c r="B1476" s="3">
        <v>46194</v>
      </c>
      <c r="C1476" t="s">
        <v>14</v>
      </c>
      <c r="D1476" t="s">
        <v>28</v>
      </c>
      <c r="E1476" t="s">
        <v>16</v>
      </c>
      <c r="F1476" t="s">
        <v>17</v>
      </c>
      <c r="G1476" t="s">
        <v>18</v>
      </c>
      <c r="H1476" t="s">
        <v>19</v>
      </c>
      <c r="I1476" t="s">
        <v>20</v>
      </c>
      <c r="J1476">
        <v>200</v>
      </c>
      <c r="S1476">
        <v>20</v>
      </c>
      <c r="T1476">
        <v>0</v>
      </c>
      <c r="U1476">
        <v>1</v>
      </c>
      <c r="V1476">
        <v>0</v>
      </c>
    </row>
    <row r="1477" spans="1:22">
      <c r="A1477" t="s">
        <v>1497</v>
      </c>
      <c r="B1477" s="3">
        <v>46194</v>
      </c>
      <c r="C1477" t="s">
        <v>14</v>
      </c>
      <c r="D1477" t="s">
        <v>137</v>
      </c>
      <c r="E1477" t="s">
        <v>16</v>
      </c>
      <c r="F1477" t="s">
        <v>17</v>
      </c>
      <c r="G1477" t="s">
        <v>18</v>
      </c>
      <c r="H1477" t="s">
        <v>24</v>
      </c>
      <c r="I1477" t="s">
        <v>20</v>
      </c>
      <c r="J1477">
        <v>200</v>
      </c>
      <c r="S1477">
        <v>0</v>
      </c>
      <c r="T1477">
        <v>0</v>
      </c>
      <c r="U1477">
        <v>0</v>
      </c>
      <c r="V1477">
        <v>0</v>
      </c>
    </row>
    <row r="1478" spans="1:22">
      <c r="A1478" t="s">
        <v>1498</v>
      </c>
      <c r="B1478" s="3">
        <v>46194</v>
      </c>
      <c r="C1478" t="s">
        <v>14</v>
      </c>
      <c r="D1478" t="s">
        <v>131</v>
      </c>
      <c r="E1478" t="s">
        <v>16</v>
      </c>
      <c r="F1478" t="s">
        <v>17</v>
      </c>
      <c r="G1478" t="s">
        <v>18</v>
      </c>
      <c r="H1478" t="s">
        <v>19</v>
      </c>
      <c r="I1478" t="s">
        <v>20</v>
      </c>
      <c r="J1478">
        <v>200</v>
      </c>
      <c r="S1478">
        <v>20</v>
      </c>
      <c r="T1478">
        <v>0</v>
      </c>
      <c r="U1478">
        <v>1</v>
      </c>
      <c r="V1478">
        <v>0</v>
      </c>
    </row>
    <row r="1479" spans="1:22">
      <c r="A1479" t="s">
        <v>1499</v>
      </c>
      <c r="B1479" s="3">
        <v>46194</v>
      </c>
      <c r="C1479" t="s">
        <v>14</v>
      </c>
      <c r="D1479" t="s">
        <v>40</v>
      </c>
      <c r="E1479" t="s">
        <v>16</v>
      </c>
      <c r="F1479" t="s">
        <v>17</v>
      </c>
      <c r="G1479" t="s">
        <v>23</v>
      </c>
      <c r="H1479" t="s">
        <v>24</v>
      </c>
      <c r="I1479" t="s">
        <v>20</v>
      </c>
      <c r="J1479">
        <v>120</v>
      </c>
      <c r="S1479">
        <v>0</v>
      </c>
      <c r="T1479">
        <v>0</v>
      </c>
      <c r="U1479">
        <v>0</v>
      </c>
      <c r="V1479">
        <v>0</v>
      </c>
    </row>
    <row r="1480" spans="1:22">
      <c r="A1480" t="s">
        <v>1500</v>
      </c>
      <c r="B1480" s="3">
        <v>46194</v>
      </c>
      <c r="C1480" t="s">
        <v>14</v>
      </c>
      <c r="D1480" t="s">
        <v>137</v>
      </c>
      <c r="E1480" t="s">
        <v>16</v>
      </c>
      <c r="F1480" t="s">
        <v>17</v>
      </c>
      <c r="G1480" t="s">
        <v>32</v>
      </c>
      <c r="H1480" t="s">
        <v>19</v>
      </c>
      <c r="I1480" t="s">
        <v>74</v>
      </c>
      <c r="J1480">
        <v>300</v>
      </c>
      <c r="S1480">
        <v>0</v>
      </c>
      <c r="T1480">
        <v>0</v>
      </c>
      <c r="U1480">
        <v>0</v>
      </c>
      <c r="V1480">
        <v>0</v>
      </c>
    </row>
    <row r="1481" spans="1:22">
      <c r="A1481" t="s">
        <v>1501</v>
      </c>
      <c r="B1481" s="3">
        <v>46194</v>
      </c>
      <c r="C1481" t="s">
        <v>14</v>
      </c>
      <c r="D1481" t="s">
        <v>15</v>
      </c>
      <c r="E1481" t="s">
        <v>16</v>
      </c>
      <c r="F1481" t="s">
        <v>35</v>
      </c>
      <c r="G1481" t="s">
        <v>32</v>
      </c>
      <c r="H1481" t="s">
        <v>19</v>
      </c>
      <c r="I1481" t="s">
        <v>20</v>
      </c>
      <c r="J1481">
        <v>300</v>
      </c>
      <c r="S1481">
        <v>9</v>
      </c>
      <c r="T1481">
        <v>0</v>
      </c>
      <c r="U1481">
        <v>0</v>
      </c>
      <c r="V1481">
        <v>0</v>
      </c>
    </row>
    <row r="1482" spans="1:22">
      <c r="A1482" t="s">
        <v>1502</v>
      </c>
      <c r="B1482" s="3">
        <v>46194</v>
      </c>
      <c r="C1482" t="s">
        <v>47</v>
      </c>
      <c r="D1482" t="s">
        <v>62</v>
      </c>
      <c r="E1482" t="s">
        <v>16</v>
      </c>
      <c r="F1482" t="s">
        <v>17</v>
      </c>
      <c r="G1482" t="s">
        <v>23</v>
      </c>
      <c r="H1482" t="s">
        <v>24</v>
      </c>
      <c r="I1482" t="s">
        <v>20</v>
      </c>
      <c r="J1482">
        <v>120</v>
      </c>
      <c r="S1482">
        <v>0</v>
      </c>
      <c r="T1482">
        <v>0</v>
      </c>
      <c r="U1482">
        <v>0</v>
      </c>
      <c r="V1482">
        <v>0</v>
      </c>
    </row>
    <row r="1483" spans="1:22">
      <c r="A1483" t="s">
        <v>1503</v>
      </c>
      <c r="B1483" s="3">
        <v>46194</v>
      </c>
      <c r="C1483" t="s">
        <v>47</v>
      </c>
      <c r="D1483" t="s">
        <v>52</v>
      </c>
      <c r="E1483" t="s">
        <v>16</v>
      </c>
      <c r="F1483" t="s">
        <v>17</v>
      </c>
      <c r="G1483" t="s">
        <v>32</v>
      </c>
      <c r="H1483" t="s">
        <v>19</v>
      </c>
      <c r="I1483" t="s">
        <v>20</v>
      </c>
      <c r="J1483">
        <v>255</v>
      </c>
      <c r="L1483" t="s">
        <v>29</v>
      </c>
      <c r="S1483">
        <v>30.6</v>
      </c>
      <c r="T1483">
        <v>0</v>
      </c>
      <c r="U1483">
        <v>1</v>
      </c>
      <c r="V1483">
        <v>0</v>
      </c>
    </row>
    <row r="1484" spans="1:22">
      <c r="A1484" t="s">
        <v>1504</v>
      </c>
      <c r="B1484" s="3">
        <v>46194</v>
      </c>
      <c r="C1484" t="s">
        <v>47</v>
      </c>
      <c r="D1484" t="s">
        <v>152</v>
      </c>
      <c r="E1484" t="s">
        <v>16</v>
      </c>
      <c r="F1484" t="s">
        <v>17</v>
      </c>
      <c r="G1484" t="s">
        <v>32</v>
      </c>
      <c r="H1484" t="s">
        <v>19</v>
      </c>
      <c r="I1484" t="s">
        <v>20</v>
      </c>
      <c r="J1484">
        <v>300</v>
      </c>
      <c r="S1484">
        <v>36</v>
      </c>
      <c r="T1484">
        <v>0</v>
      </c>
      <c r="U1484">
        <v>1</v>
      </c>
      <c r="V1484">
        <v>0</v>
      </c>
    </row>
    <row r="1485" spans="1:22">
      <c r="A1485" t="s">
        <v>1505</v>
      </c>
      <c r="B1485" s="3">
        <v>46194</v>
      </c>
      <c r="C1485" t="s">
        <v>47</v>
      </c>
      <c r="D1485" t="s">
        <v>55</v>
      </c>
      <c r="E1485" t="s">
        <v>16</v>
      </c>
      <c r="F1485" t="s">
        <v>17</v>
      </c>
      <c r="G1485" t="s">
        <v>23</v>
      </c>
      <c r="H1485" t="s">
        <v>19</v>
      </c>
      <c r="I1485" t="s">
        <v>20</v>
      </c>
      <c r="J1485">
        <v>120</v>
      </c>
      <c r="S1485">
        <v>9.6</v>
      </c>
      <c r="T1485">
        <v>0</v>
      </c>
      <c r="U1485">
        <v>1</v>
      </c>
      <c r="V1485">
        <v>0</v>
      </c>
    </row>
    <row r="1486" spans="1:22">
      <c r="A1486" t="s">
        <v>1506</v>
      </c>
      <c r="B1486" s="3">
        <v>46194</v>
      </c>
      <c r="C1486" t="s">
        <v>47</v>
      </c>
      <c r="D1486" t="s">
        <v>52</v>
      </c>
      <c r="E1486" t="s">
        <v>16</v>
      </c>
      <c r="F1486" t="s">
        <v>17</v>
      </c>
      <c r="G1486" t="s">
        <v>18</v>
      </c>
      <c r="H1486" t="s">
        <v>19</v>
      </c>
      <c r="I1486" t="s">
        <v>20</v>
      </c>
      <c r="J1486">
        <v>200</v>
      </c>
      <c r="S1486">
        <v>20</v>
      </c>
      <c r="T1486">
        <v>0</v>
      </c>
      <c r="U1486">
        <v>1</v>
      </c>
      <c r="V1486">
        <v>0</v>
      </c>
    </row>
    <row r="1487" spans="1:22">
      <c r="A1487" t="s">
        <v>1507</v>
      </c>
      <c r="B1487" s="3">
        <v>46194</v>
      </c>
      <c r="C1487" t="s">
        <v>47</v>
      </c>
      <c r="D1487" t="s">
        <v>64</v>
      </c>
      <c r="E1487" t="s">
        <v>16</v>
      </c>
      <c r="F1487" t="s">
        <v>17</v>
      </c>
      <c r="G1487" t="s">
        <v>18</v>
      </c>
      <c r="H1487" t="s">
        <v>19</v>
      </c>
      <c r="I1487" t="s">
        <v>20</v>
      </c>
      <c r="J1487">
        <v>200</v>
      </c>
      <c r="S1487">
        <v>20</v>
      </c>
      <c r="T1487">
        <v>0</v>
      </c>
      <c r="U1487">
        <v>1</v>
      </c>
      <c r="V1487">
        <v>0</v>
      </c>
    </row>
    <row r="1488" spans="1:22">
      <c r="A1488" t="s">
        <v>1508</v>
      </c>
      <c r="B1488" s="3">
        <v>46194</v>
      </c>
      <c r="C1488" t="s">
        <v>47</v>
      </c>
      <c r="D1488" t="s">
        <v>66</v>
      </c>
      <c r="E1488" t="s">
        <v>16</v>
      </c>
      <c r="F1488" t="s">
        <v>17</v>
      </c>
      <c r="G1488" t="s">
        <v>18</v>
      </c>
      <c r="H1488" t="s">
        <v>19</v>
      </c>
      <c r="I1488" t="s">
        <v>20</v>
      </c>
      <c r="J1488">
        <v>200</v>
      </c>
      <c r="S1488">
        <v>20</v>
      </c>
      <c r="T1488">
        <v>0</v>
      </c>
      <c r="U1488">
        <v>1</v>
      </c>
      <c r="V1488">
        <v>0</v>
      </c>
    </row>
    <row r="1489" spans="1:22">
      <c r="A1489" t="s">
        <v>1509</v>
      </c>
      <c r="B1489" s="3">
        <v>46194</v>
      </c>
      <c r="C1489" t="s">
        <v>47</v>
      </c>
      <c r="D1489" t="s">
        <v>59</v>
      </c>
      <c r="E1489" t="s">
        <v>16</v>
      </c>
      <c r="F1489" t="s">
        <v>17</v>
      </c>
      <c r="G1489" t="s">
        <v>32</v>
      </c>
      <c r="H1489" t="s">
        <v>19</v>
      </c>
      <c r="I1489" t="s">
        <v>20</v>
      </c>
      <c r="J1489">
        <v>300</v>
      </c>
      <c r="S1489">
        <v>36</v>
      </c>
      <c r="T1489">
        <v>0</v>
      </c>
      <c r="U1489">
        <v>1</v>
      </c>
      <c r="V1489">
        <v>0</v>
      </c>
    </row>
    <row r="1490" spans="1:22">
      <c r="A1490" t="s">
        <v>1510</v>
      </c>
      <c r="B1490" s="3">
        <v>46194</v>
      </c>
      <c r="C1490" t="s">
        <v>47</v>
      </c>
      <c r="D1490" t="s">
        <v>62</v>
      </c>
      <c r="E1490" t="s">
        <v>16</v>
      </c>
      <c r="F1490" t="s">
        <v>17</v>
      </c>
      <c r="G1490" t="s">
        <v>23</v>
      </c>
      <c r="H1490" t="s">
        <v>19</v>
      </c>
      <c r="I1490" t="s">
        <v>20</v>
      </c>
      <c r="J1490">
        <v>120</v>
      </c>
      <c r="S1490">
        <v>9.6</v>
      </c>
      <c r="T1490">
        <v>0</v>
      </c>
      <c r="U1490">
        <v>1</v>
      </c>
      <c r="V1490">
        <v>0</v>
      </c>
    </row>
    <row r="1491" spans="1:22">
      <c r="A1491" t="s">
        <v>1511</v>
      </c>
      <c r="B1491" s="3">
        <v>46194</v>
      </c>
      <c r="C1491" t="s">
        <v>47</v>
      </c>
      <c r="D1491" t="s">
        <v>52</v>
      </c>
      <c r="E1491" t="s">
        <v>16</v>
      </c>
      <c r="F1491" t="s">
        <v>17</v>
      </c>
      <c r="G1491" t="s">
        <v>18</v>
      </c>
      <c r="H1491" t="s">
        <v>24</v>
      </c>
      <c r="I1491" t="s">
        <v>20</v>
      </c>
      <c r="J1491">
        <v>200</v>
      </c>
      <c r="S1491">
        <v>0</v>
      </c>
      <c r="T1491">
        <v>0</v>
      </c>
      <c r="U1491">
        <v>0</v>
      </c>
      <c r="V1491">
        <v>0</v>
      </c>
    </row>
    <row r="1492" spans="1:22">
      <c r="A1492" t="s">
        <v>1512</v>
      </c>
      <c r="B1492" s="3">
        <v>46194</v>
      </c>
      <c r="C1492" t="s">
        <v>47</v>
      </c>
      <c r="D1492" t="s">
        <v>55</v>
      </c>
      <c r="E1492" t="s">
        <v>16</v>
      </c>
      <c r="F1492" t="s">
        <v>17</v>
      </c>
      <c r="G1492" t="s">
        <v>23</v>
      </c>
      <c r="H1492" t="s">
        <v>19</v>
      </c>
      <c r="I1492" t="s">
        <v>20</v>
      </c>
      <c r="J1492">
        <v>120</v>
      </c>
      <c r="S1492">
        <v>9.6</v>
      </c>
      <c r="T1492">
        <v>0</v>
      </c>
      <c r="U1492">
        <v>1</v>
      </c>
      <c r="V1492">
        <v>0</v>
      </c>
    </row>
    <row r="1493" spans="1:22">
      <c r="A1493" t="s">
        <v>1513</v>
      </c>
      <c r="B1493" s="3">
        <v>46194</v>
      </c>
      <c r="C1493" t="s">
        <v>47</v>
      </c>
      <c r="D1493" t="s">
        <v>66</v>
      </c>
      <c r="E1493" t="s">
        <v>16</v>
      </c>
      <c r="F1493" t="s">
        <v>17</v>
      </c>
      <c r="G1493" t="s">
        <v>23</v>
      </c>
      <c r="H1493" t="s">
        <v>19</v>
      </c>
      <c r="I1493" t="s">
        <v>20</v>
      </c>
      <c r="J1493">
        <v>120</v>
      </c>
      <c r="S1493">
        <v>9.6</v>
      </c>
      <c r="T1493">
        <v>0</v>
      </c>
      <c r="U1493">
        <v>1</v>
      </c>
      <c r="V1493">
        <v>0</v>
      </c>
    </row>
    <row r="1494" spans="1:22">
      <c r="A1494" t="s">
        <v>1514</v>
      </c>
      <c r="B1494" s="3">
        <v>46194</v>
      </c>
      <c r="C1494" t="s">
        <v>47</v>
      </c>
      <c r="D1494" t="s">
        <v>66</v>
      </c>
      <c r="E1494" t="s">
        <v>16</v>
      </c>
      <c r="F1494" t="s">
        <v>17</v>
      </c>
      <c r="G1494" t="s">
        <v>18</v>
      </c>
      <c r="H1494" t="s">
        <v>19</v>
      </c>
      <c r="I1494" t="s">
        <v>20</v>
      </c>
      <c r="J1494">
        <v>150</v>
      </c>
      <c r="L1494" t="s">
        <v>29</v>
      </c>
      <c r="S1494">
        <v>15</v>
      </c>
      <c r="T1494">
        <v>0</v>
      </c>
      <c r="U1494">
        <v>1</v>
      </c>
      <c r="V1494">
        <v>0</v>
      </c>
    </row>
    <row r="1495" spans="1:22">
      <c r="A1495" t="s">
        <v>1515</v>
      </c>
      <c r="B1495" s="3">
        <v>46194</v>
      </c>
      <c r="C1495" t="s">
        <v>78</v>
      </c>
      <c r="D1495" t="s">
        <v>83</v>
      </c>
      <c r="E1495" t="s">
        <v>16</v>
      </c>
      <c r="F1495" t="s">
        <v>35</v>
      </c>
      <c r="G1495" t="s">
        <v>32</v>
      </c>
      <c r="H1495" t="s">
        <v>24</v>
      </c>
      <c r="I1495" t="s">
        <v>20</v>
      </c>
      <c r="J1495">
        <v>300</v>
      </c>
      <c r="S1495">
        <v>0</v>
      </c>
      <c r="T1495">
        <v>0</v>
      </c>
      <c r="U1495">
        <v>0</v>
      </c>
      <c r="V1495">
        <v>0</v>
      </c>
    </row>
    <row r="1496" spans="1:22">
      <c r="A1496" t="s">
        <v>1516</v>
      </c>
      <c r="B1496" s="3">
        <v>46194</v>
      </c>
      <c r="C1496" t="s">
        <v>78</v>
      </c>
      <c r="D1496" t="s">
        <v>87</v>
      </c>
      <c r="E1496" t="s">
        <v>16</v>
      </c>
      <c r="F1496" t="s">
        <v>17</v>
      </c>
      <c r="G1496" t="s">
        <v>23</v>
      </c>
      <c r="H1496" t="s">
        <v>19</v>
      </c>
      <c r="I1496" t="s">
        <v>20</v>
      </c>
      <c r="J1496">
        <v>120</v>
      </c>
      <c r="S1496">
        <v>9.6</v>
      </c>
      <c r="T1496">
        <v>0</v>
      </c>
      <c r="U1496">
        <v>1</v>
      </c>
      <c r="V1496">
        <v>0</v>
      </c>
    </row>
    <row r="1497" spans="1:22">
      <c r="A1497" t="s">
        <v>1517</v>
      </c>
      <c r="B1497" s="3">
        <v>46194</v>
      </c>
      <c r="C1497" t="s">
        <v>78</v>
      </c>
      <c r="D1497" t="s">
        <v>102</v>
      </c>
      <c r="E1497" t="s">
        <v>16</v>
      </c>
      <c r="F1497" t="s">
        <v>17</v>
      </c>
      <c r="G1497" t="s">
        <v>23</v>
      </c>
      <c r="H1497" t="s">
        <v>19</v>
      </c>
      <c r="I1497" t="s">
        <v>53</v>
      </c>
      <c r="J1497">
        <v>120</v>
      </c>
      <c r="S1497">
        <v>0</v>
      </c>
      <c r="T1497">
        <v>0</v>
      </c>
      <c r="U1497">
        <v>0</v>
      </c>
      <c r="V1497">
        <v>0</v>
      </c>
    </row>
    <row r="1498" spans="1:22">
      <c r="A1498" t="s">
        <v>1518</v>
      </c>
      <c r="B1498" s="3">
        <v>46194</v>
      </c>
      <c r="C1498" t="s">
        <v>78</v>
      </c>
      <c r="D1498" t="s">
        <v>79</v>
      </c>
      <c r="E1498" t="s">
        <v>16</v>
      </c>
      <c r="F1498" t="s">
        <v>17</v>
      </c>
      <c r="G1498" t="s">
        <v>18</v>
      </c>
      <c r="H1498" t="s">
        <v>19</v>
      </c>
      <c r="I1498" t="s">
        <v>20</v>
      </c>
      <c r="J1498">
        <v>200</v>
      </c>
      <c r="S1498">
        <v>20</v>
      </c>
      <c r="T1498">
        <v>0</v>
      </c>
      <c r="U1498">
        <v>1</v>
      </c>
      <c r="V1498">
        <v>0</v>
      </c>
    </row>
    <row r="1499" spans="1:22">
      <c r="A1499" t="s">
        <v>1519</v>
      </c>
      <c r="B1499" s="3">
        <v>46194</v>
      </c>
      <c r="C1499" t="s">
        <v>78</v>
      </c>
      <c r="D1499" t="s">
        <v>89</v>
      </c>
      <c r="E1499" t="s">
        <v>16</v>
      </c>
      <c r="F1499" t="s">
        <v>17</v>
      </c>
      <c r="G1499" t="s">
        <v>18</v>
      </c>
      <c r="H1499" t="s">
        <v>19</v>
      </c>
      <c r="I1499" t="s">
        <v>20</v>
      </c>
      <c r="J1499">
        <v>200</v>
      </c>
      <c r="S1499">
        <v>20</v>
      </c>
      <c r="T1499">
        <v>0</v>
      </c>
      <c r="U1499">
        <v>1</v>
      </c>
      <c r="V1499">
        <v>0</v>
      </c>
    </row>
    <row r="1500" spans="1:22">
      <c r="A1500" t="s">
        <v>1520</v>
      </c>
      <c r="B1500" s="3">
        <v>46194</v>
      </c>
      <c r="C1500" t="s">
        <v>78</v>
      </c>
      <c r="D1500" t="s">
        <v>85</v>
      </c>
      <c r="E1500" t="s">
        <v>16</v>
      </c>
      <c r="F1500" t="s">
        <v>17</v>
      </c>
      <c r="G1500" t="s">
        <v>23</v>
      </c>
      <c r="H1500" t="s">
        <v>19</v>
      </c>
      <c r="I1500" t="s">
        <v>20</v>
      </c>
      <c r="J1500">
        <v>120</v>
      </c>
      <c r="S1500">
        <v>9.6</v>
      </c>
      <c r="T1500">
        <v>0</v>
      </c>
      <c r="U1500">
        <v>1</v>
      </c>
      <c r="V1500">
        <v>0</v>
      </c>
    </row>
    <row r="1501" spans="1:22">
      <c r="A1501" t="s">
        <v>1521</v>
      </c>
      <c r="B1501" s="3">
        <v>46194</v>
      </c>
      <c r="C1501" t="s">
        <v>78</v>
      </c>
      <c r="D1501" t="s">
        <v>97</v>
      </c>
      <c r="E1501" t="s">
        <v>16</v>
      </c>
      <c r="F1501" t="s">
        <v>17</v>
      </c>
      <c r="G1501" t="s">
        <v>23</v>
      </c>
      <c r="H1501" t="s">
        <v>19</v>
      </c>
      <c r="I1501" t="s">
        <v>20</v>
      </c>
      <c r="J1501">
        <v>120</v>
      </c>
      <c r="S1501">
        <v>9.6</v>
      </c>
      <c r="T1501">
        <v>0</v>
      </c>
      <c r="U1501">
        <v>1</v>
      </c>
      <c r="V1501">
        <v>0</v>
      </c>
    </row>
    <row r="1502" spans="1:22">
      <c r="A1502" t="s">
        <v>1522</v>
      </c>
      <c r="B1502" s="3">
        <v>46194</v>
      </c>
      <c r="C1502" t="s">
        <v>78</v>
      </c>
      <c r="D1502" t="s">
        <v>161</v>
      </c>
      <c r="E1502" t="s">
        <v>16</v>
      </c>
      <c r="F1502" t="s">
        <v>17</v>
      </c>
      <c r="G1502" t="s">
        <v>23</v>
      </c>
      <c r="H1502" t="s">
        <v>19</v>
      </c>
      <c r="I1502" t="s">
        <v>20</v>
      </c>
      <c r="J1502">
        <v>120</v>
      </c>
      <c r="S1502">
        <v>9.6</v>
      </c>
      <c r="T1502">
        <v>0</v>
      </c>
      <c r="U1502">
        <v>1</v>
      </c>
      <c r="V1502">
        <v>0</v>
      </c>
    </row>
    <row r="1503" spans="1:22">
      <c r="A1503" t="s">
        <v>1523</v>
      </c>
      <c r="B1503" s="3">
        <v>46194</v>
      </c>
      <c r="C1503" t="s">
        <v>78</v>
      </c>
      <c r="D1503" t="s">
        <v>87</v>
      </c>
      <c r="E1503" t="s">
        <v>16</v>
      </c>
      <c r="F1503" t="s">
        <v>17</v>
      </c>
      <c r="G1503" t="s">
        <v>32</v>
      </c>
      <c r="H1503" t="s">
        <v>19</v>
      </c>
      <c r="I1503" t="s">
        <v>20</v>
      </c>
      <c r="J1503">
        <v>300</v>
      </c>
      <c r="S1503">
        <v>36</v>
      </c>
      <c r="T1503">
        <v>0</v>
      </c>
      <c r="U1503">
        <v>1</v>
      </c>
      <c r="V1503">
        <v>0</v>
      </c>
    </row>
    <row r="1504" spans="1:22">
      <c r="A1504" t="s">
        <v>1524</v>
      </c>
      <c r="B1504" s="3">
        <v>46194</v>
      </c>
      <c r="C1504" t="s">
        <v>78</v>
      </c>
      <c r="D1504" t="s">
        <v>102</v>
      </c>
      <c r="E1504" t="s">
        <v>16</v>
      </c>
      <c r="F1504" t="s">
        <v>17</v>
      </c>
      <c r="G1504" t="s">
        <v>23</v>
      </c>
      <c r="H1504" t="s">
        <v>19</v>
      </c>
      <c r="I1504" t="s">
        <v>20</v>
      </c>
      <c r="J1504">
        <v>120</v>
      </c>
      <c r="S1504">
        <v>9.6</v>
      </c>
      <c r="T1504">
        <v>0</v>
      </c>
      <c r="U1504">
        <v>1</v>
      </c>
      <c r="V1504">
        <v>0</v>
      </c>
    </row>
    <row r="1505" spans="1:22">
      <c r="A1505" t="s">
        <v>1525</v>
      </c>
      <c r="B1505" s="3">
        <v>46194</v>
      </c>
      <c r="C1505" t="s">
        <v>78</v>
      </c>
      <c r="D1505" t="s">
        <v>89</v>
      </c>
      <c r="E1505" t="s">
        <v>16</v>
      </c>
      <c r="F1505" t="s">
        <v>17</v>
      </c>
      <c r="G1505" t="s">
        <v>18</v>
      </c>
      <c r="H1505" t="s">
        <v>19</v>
      </c>
      <c r="I1505" t="s">
        <v>20</v>
      </c>
      <c r="J1505">
        <v>200</v>
      </c>
      <c r="S1505">
        <v>20</v>
      </c>
      <c r="T1505">
        <v>0</v>
      </c>
      <c r="U1505">
        <v>1</v>
      </c>
      <c r="V1505">
        <v>0</v>
      </c>
    </row>
    <row r="1506" spans="1:22">
      <c r="A1506" t="s">
        <v>1526</v>
      </c>
      <c r="B1506" s="3">
        <v>46194</v>
      </c>
      <c r="C1506" t="s">
        <v>78</v>
      </c>
      <c r="D1506" t="s">
        <v>81</v>
      </c>
      <c r="E1506" t="s">
        <v>16</v>
      </c>
      <c r="F1506" t="s">
        <v>17</v>
      </c>
      <c r="G1506" t="s">
        <v>23</v>
      </c>
      <c r="H1506" t="s">
        <v>19</v>
      </c>
      <c r="I1506" t="s">
        <v>20</v>
      </c>
      <c r="J1506">
        <v>120</v>
      </c>
      <c r="S1506">
        <v>9.6</v>
      </c>
      <c r="T1506">
        <v>0</v>
      </c>
      <c r="U1506">
        <v>1</v>
      </c>
      <c r="V1506">
        <v>0</v>
      </c>
    </row>
    <row r="1507" spans="1:22">
      <c r="A1507" t="s">
        <v>1527</v>
      </c>
      <c r="B1507" s="3">
        <v>46194</v>
      </c>
      <c r="C1507" t="s">
        <v>78</v>
      </c>
      <c r="D1507" t="s">
        <v>97</v>
      </c>
      <c r="E1507" t="s">
        <v>16</v>
      </c>
      <c r="F1507" t="s">
        <v>17</v>
      </c>
      <c r="G1507" t="s">
        <v>32</v>
      </c>
      <c r="H1507" t="s">
        <v>19</v>
      </c>
      <c r="I1507" t="s">
        <v>20</v>
      </c>
      <c r="J1507">
        <v>300</v>
      </c>
      <c r="S1507">
        <v>36</v>
      </c>
      <c r="T1507">
        <v>0</v>
      </c>
      <c r="U1507">
        <v>1</v>
      </c>
      <c r="V1507">
        <v>0</v>
      </c>
    </row>
    <row r="1508" spans="1:22">
      <c r="A1508" t="s">
        <v>1528</v>
      </c>
      <c r="B1508" s="3">
        <v>46194</v>
      </c>
      <c r="C1508" t="s">
        <v>78</v>
      </c>
      <c r="D1508" t="s">
        <v>93</v>
      </c>
      <c r="E1508" t="s">
        <v>16</v>
      </c>
      <c r="F1508" t="s">
        <v>17</v>
      </c>
      <c r="G1508" t="s">
        <v>23</v>
      </c>
      <c r="H1508" t="s">
        <v>19</v>
      </c>
      <c r="I1508" t="s">
        <v>20</v>
      </c>
      <c r="J1508">
        <v>120</v>
      </c>
      <c r="S1508">
        <v>9.6</v>
      </c>
      <c r="T1508">
        <v>0</v>
      </c>
      <c r="U1508">
        <v>1</v>
      </c>
      <c r="V1508">
        <v>0</v>
      </c>
    </row>
    <row r="1509" spans="1:22">
      <c r="A1509" t="s">
        <v>1529</v>
      </c>
      <c r="B1509" s="3">
        <v>46194</v>
      </c>
      <c r="C1509" t="s">
        <v>78</v>
      </c>
      <c r="D1509" t="s">
        <v>89</v>
      </c>
      <c r="E1509" t="s">
        <v>16</v>
      </c>
      <c r="F1509" t="s">
        <v>17</v>
      </c>
      <c r="G1509" t="s">
        <v>18</v>
      </c>
      <c r="H1509" t="s">
        <v>19</v>
      </c>
      <c r="I1509" t="s">
        <v>20</v>
      </c>
      <c r="J1509">
        <v>200</v>
      </c>
      <c r="S1509">
        <v>20</v>
      </c>
      <c r="T1509">
        <v>0</v>
      </c>
      <c r="U1509">
        <v>1</v>
      </c>
      <c r="V1509">
        <v>0</v>
      </c>
    </row>
    <row r="1510" spans="1:22">
      <c r="A1510" t="s">
        <v>1530</v>
      </c>
      <c r="B1510" s="3">
        <v>46194</v>
      </c>
      <c r="C1510" t="s">
        <v>78</v>
      </c>
      <c r="D1510" t="s">
        <v>87</v>
      </c>
      <c r="E1510" t="s">
        <v>16</v>
      </c>
      <c r="F1510" t="s">
        <v>17</v>
      </c>
      <c r="G1510" t="s">
        <v>23</v>
      </c>
      <c r="H1510" t="s">
        <v>19</v>
      </c>
      <c r="I1510" t="s">
        <v>20</v>
      </c>
      <c r="J1510">
        <v>102</v>
      </c>
      <c r="L1510" t="s">
        <v>29</v>
      </c>
      <c r="S1510">
        <v>8.16</v>
      </c>
      <c r="T1510">
        <v>0</v>
      </c>
      <c r="U1510">
        <v>1</v>
      </c>
      <c r="V1510">
        <v>0</v>
      </c>
    </row>
    <row r="1511" spans="1:22">
      <c r="A1511" t="s">
        <v>1531</v>
      </c>
      <c r="B1511" s="3">
        <v>46194</v>
      </c>
      <c r="C1511" t="s">
        <v>78</v>
      </c>
      <c r="D1511" t="s">
        <v>85</v>
      </c>
      <c r="E1511" t="s">
        <v>16</v>
      </c>
      <c r="F1511" t="s">
        <v>17</v>
      </c>
      <c r="G1511" t="s">
        <v>32</v>
      </c>
      <c r="H1511" t="s">
        <v>19</v>
      </c>
      <c r="I1511" t="s">
        <v>20</v>
      </c>
      <c r="J1511">
        <v>300</v>
      </c>
      <c r="S1511">
        <v>36</v>
      </c>
      <c r="T1511">
        <v>0</v>
      </c>
      <c r="U1511">
        <v>1</v>
      </c>
      <c r="V1511">
        <v>0</v>
      </c>
    </row>
    <row r="1512" spans="1:22">
      <c r="A1512" t="s">
        <v>1532</v>
      </c>
      <c r="B1512" s="3">
        <v>46194</v>
      </c>
      <c r="C1512" t="s">
        <v>78</v>
      </c>
      <c r="D1512" t="s">
        <v>87</v>
      </c>
      <c r="E1512" t="s">
        <v>16</v>
      </c>
      <c r="F1512" t="s">
        <v>17</v>
      </c>
      <c r="G1512" t="s">
        <v>32</v>
      </c>
      <c r="H1512" t="s">
        <v>19</v>
      </c>
      <c r="I1512" t="s">
        <v>20</v>
      </c>
      <c r="J1512">
        <v>225</v>
      </c>
      <c r="L1512" t="s">
        <v>1270</v>
      </c>
      <c r="S1512">
        <v>27</v>
      </c>
      <c r="T1512">
        <v>0</v>
      </c>
      <c r="U1512">
        <v>1</v>
      </c>
      <c r="V1512">
        <v>0</v>
      </c>
    </row>
    <row r="1513" spans="1:22">
      <c r="A1513" t="s">
        <v>1533</v>
      </c>
      <c r="B1513" s="3">
        <v>46194</v>
      </c>
      <c r="C1513" t="s">
        <v>78</v>
      </c>
      <c r="D1513" t="s">
        <v>97</v>
      </c>
      <c r="E1513" t="s">
        <v>16</v>
      </c>
      <c r="F1513" t="s">
        <v>17</v>
      </c>
      <c r="G1513" t="s">
        <v>32</v>
      </c>
      <c r="H1513" t="s">
        <v>19</v>
      </c>
      <c r="I1513" t="s">
        <v>20</v>
      </c>
      <c r="J1513">
        <v>225</v>
      </c>
      <c r="L1513" t="s">
        <v>1270</v>
      </c>
      <c r="S1513">
        <v>27</v>
      </c>
      <c r="T1513">
        <v>0</v>
      </c>
      <c r="U1513">
        <v>1</v>
      </c>
      <c r="V1513">
        <v>0</v>
      </c>
    </row>
    <row r="1514" spans="1:22">
      <c r="A1514" t="s">
        <v>1534</v>
      </c>
      <c r="B1514" s="3">
        <v>46194</v>
      </c>
      <c r="C1514" t="s">
        <v>78</v>
      </c>
      <c r="D1514" t="s">
        <v>89</v>
      </c>
      <c r="E1514" t="s">
        <v>16</v>
      </c>
      <c r="F1514" t="s">
        <v>17</v>
      </c>
      <c r="G1514" t="s">
        <v>32</v>
      </c>
      <c r="H1514" t="s">
        <v>19</v>
      </c>
      <c r="I1514" t="s">
        <v>20</v>
      </c>
      <c r="J1514">
        <v>225</v>
      </c>
      <c r="L1514" t="s">
        <v>1270</v>
      </c>
      <c r="S1514">
        <v>27</v>
      </c>
      <c r="T1514">
        <v>0</v>
      </c>
      <c r="U1514">
        <v>1</v>
      </c>
      <c r="V1514">
        <v>0</v>
      </c>
    </row>
    <row r="1515" spans="1:22">
      <c r="A1515" t="s">
        <v>1535</v>
      </c>
      <c r="B1515" s="3">
        <v>46194</v>
      </c>
      <c r="C1515" t="s">
        <v>78</v>
      </c>
      <c r="D1515" t="s">
        <v>81</v>
      </c>
      <c r="E1515" t="s">
        <v>16</v>
      </c>
      <c r="F1515" t="s">
        <v>17</v>
      </c>
      <c r="G1515" t="s">
        <v>32</v>
      </c>
      <c r="H1515" t="s">
        <v>19</v>
      </c>
      <c r="I1515" t="s">
        <v>20</v>
      </c>
      <c r="J1515">
        <v>225</v>
      </c>
      <c r="L1515" t="s">
        <v>1270</v>
      </c>
      <c r="S1515">
        <v>27</v>
      </c>
      <c r="T1515">
        <v>0</v>
      </c>
      <c r="U1515">
        <v>1</v>
      </c>
      <c r="V1515">
        <v>0</v>
      </c>
    </row>
    <row r="1516" spans="1:22">
      <c r="A1516" t="s">
        <v>1536</v>
      </c>
      <c r="B1516" s="3">
        <v>46194</v>
      </c>
      <c r="C1516" t="s">
        <v>78</v>
      </c>
      <c r="D1516" t="s">
        <v>93</v>
      </c>
      <c r="E1516" t="s">
        <v>16</v>
      </c>
      <c r="F1516" t="s">
        <v>17</v>
      </c>
      <c r="G1516" t="s">
        <v>32</v>
      </c>
      <c r="H1516" t="s">
        <v>19</v>
      </c>
      <c r="I1516" t="s">
        <v>20</v>
      </c>
      <c r="J1516">
        <v>225</v>
      </c>
      <c r="L1516" t="s">
        <v>1270</v>
      </c>
      <c r="S1516">
        <v>27</v>
      </c>
      <c r="T1516">
        <v>0</v>
      </c>
      <c r="U1516">
        <v>1</v>
      </c>
      <c r="V1516">
        <v>0</v>
      </c>
    </row>
    <row r="1517" spans="1:22">
      <c r="A1517" t="s">
        <v>1537</v>
      </c>
      <c r="B1517" s="3">
        <v>46194</v>
      </c>
      <c r="C1517" t="s">
        <v>78</v>
      </c>
      <c r="D1517" t="s">
        <v>79</v>
      </c>
      <c r="E1517" t="s">
        <v>16</v>
      </c>
      <c r="F1517" t="s">
        <v>17</v>
      </c>
      <c r="G1517" t="s">
        <v>32</v>
      </c>
      <c r="H1517" t="s">
        <v>19</v>
      </c>
      <c r="I1517" t="s">
        <v>20</v>
      </c>
      <c r="J1517">
        <v>225</v>
      </c>
      <c r="L1517" t="s">
        <v>1270</v>
      </c>
      <c r="S1517">
        <v>27</v>
      </c>
      <c r="T1517">
        <v>0</v>
      </c>
      <c r="U1517">
        <v>1</v>
      </c>
      <c r="V1517">
        <v>0</v>
      </c>
    </row>
    <row r="1518" spans="1:22">
      <c r="A1518" t="s">
        <v>1538</v>
      </c>
      <c r="B1518" s="3">
        <v>46194</v>
      </c>
      <c r="C1518" t="s">
        <v>78</v>
      </c>
      <c r="D1518" t="s">
        <v>163</v>
      </c>
      <c r="E1518" t="s">
        <v>16</v>
      </c>
      <c r="F1518" t="s">
        <v>17</v>
      </c>
      <c r="G1518" t="s">
        <v>32</v>
      </c>
      <c r="H1518" t="s">
        <v>19</v>
      </c>
      <c r="I1518" t="s">
        <v>20</v>
      </c>
      <c r="J1518">
        <v>225</v>
      </c>
      <c r="L1518" t="s">
        <v>1270</v>
      </c>
      <c r="S1518">
        <v>27</v>
      </c>
      <c r="T1518">
        <v>0</v>
      </c>
      <c r="U1518">
        <v>1</v>
      </c>
      <c r="V1518">
        <v>0</v>
      </c>
    </row>
    <row r="1519" spans="1:22">
      <c r="A1519" t="s">
        <v>1539</v>
      </c>
      <c r="B1519" s="3">
        <v>46194</v>
      </c>
      <c r="C1519" t="s">
        <v>78</v>
      </c>
      <c r="D1519" t="s">
        <v>163</v>
      </c>
      <c r="E1519" t="s">
        <v>16</v>
      </c>
      <c r="F1519" t="s">
        <v>17</v>
      </c>
      <c r="G1519" t="s">
        <v>32</v>
      </c>
      <c r="H1519" t="s">
        <v>19</v>
      </c>
      <c r="I1519" t="s">
        <v>20</v>
      </c>
      <c r="J1519">
        <v>225</v>
      </c>
      <c r="L1519" t="s">
        <v>1270</v>
      </c>
      <c r="S1519">
        <v>27</v>
      </c>
      <c r="T1519">
        <v>0</v>
      </c>
      <c r="U1519">
        <v>1</v>
      </c>
      <c r="V1519">
        <v>0</v>
      </c>
    </row>
    <row r="1520" spans="1:22">
      <c r="A1520" t="s">
        <v>1540</v>
      </c>
      <c r="B1520" s="3">
        <v>46194</v>
      </c>
      <c r="C1520" t="s">
        <v>78</v>
      </c>
      <c r="D1520" t="s">
        <v>102</v>
      </c>
      <c r="E1520" t="s">
        <v>16</v>
      </c>
      <c r="F1520" t="s">
        <v>17</v>
      </c>
      <c r="G1520" t="s">
        <v>32</v>
      </c>
      <c r="H1520" t="s">
        <v>19</v>
      </c>
      <c r="I1520" t="s">
        <v>20</v>
      </c>
      <c r="J1520">
        <v>225</v>
      </c>
      <c r="L1520" t="s">
        <v>1270</v>
      </c>
      <c r="S1520">
        <v>27</v>
      </c>
      <c r="T1520">
        <v>0</v>
      </c>
      <c r="U1520">
        <v>1</v>
      </c>
      <c r="V1520">
        <v>0</v>
      </c>
    </row>
    <row r="1521" spans="1:22">
      <c r="A1521" t="s">
        <v>1541</v>
      </c>
      <c r="B1521" s="3">
        <v>46194</v>
      </c>
      <c r="C1521" t="s">
        <v>78</v>
      </c>
      <c r="D1521" t="s">
        <v>93</v>
      </c>
      <c r="E1521" t="s">
        <v>16</v>
      </c>
      <c r="F1521" t="s">
        <v>17</v>
      </c>
      <c r="G1521" t="s">
        <v>32</v>
      </c>
      <c r="H1521" t="s">
        <v>19</v>
      </c>
      <c r="I1521" t="s">
        <v>20</v>
      </c>
      <c r="J1521">
        <v>225</v>
      </c>
      <c r="L1521" t="s">
        <v>1270</v>
      </c>
      <c r="S1521">
        <v>27</v>
      </c>
      <c r="T1521">
        <v>0</v>
      </c>
      <c r="U1521">
        <v>1</v>
      </c>
      <c r="V1521">
        <v>0</v>
      </c>
    </row>
    <row r="1522" spans="1:22">
      <c r="A1522" t="s">
        <v>1542</v>
      </c>
      <c r="B1522" s="3">
        <v>46194</v>
      </c>
      <c r="C1522" t="s">
        <v>78</v>
      </c>
      <c r="D1522" t="s">
        <v>87</v>
      </c>
      <c r="E1522" t="s">
        <v>16</v>
      </c>
      <c r="F1522" t="s">
        <v>17</v>
      </c>
      <c r="G1522" t="s">
        <v>32</v>
      </c>
      <c r="H1522" t="s">
        <v>19</v>
      </c>
      <c r="I1522" t="s">
        <v>20</v>
      </c>
      <c r="J1522">
        <v>225</v>
      </c>
      <c r="L1522" t="s">
        <v>1270</v>
      </c>
      <c r="S1522">
        <v>27</v>
      </c>
      <c r="T1522">
        <v>0</v>
      </c>
      <c r="U1522">
        <v>1</v>
      </c>
      <c r="V1522">
        <v>0</v>
      </c>
    </row>
    <row r="1523" spans="1:22">
      <c r="A1523" t="s">
        <v>1543</v>
      </c>
      <c r="B1523" s="3">
        <v>46194</v>
      </c>
      <c r="C1523" t="s">
        <v>78</v>
      </c>
      <c r="D1523" t="s">
        <v>161</v>
      </c>
      <c r="E1523" t="s">
        <v>16</v>
      </c>
      <c r="F1523" t="s">
        <v>17</v>
      </c>
      <c r="G1523" t="s">
        <v>32</v>
      </c>
      <c r="H1523" t="s">
        <v>19</v>
      </c>
      <c r="I1523" t="s">
        <v>20</v>
      </c>
      <c r="J1523">
        <v>225</v>
      </c>
      <c r="L1523" t="s">
        <v>1270</v>
      </c>
      <c r="S1523">
        <v>27</v>
      </c>
      <c r="T1523">
        <v>0</v>
      </c>
      <c r="U1523">
        <v>1</v>
      </c>
      <c r="V1523">
        <v>0</v>
      </c>
    </row>
    <row r="1524" spans="1:22">
      <c r="A1524" t="s">
        <v>1544</v>
      </c>
      <c r="B1524" s="3">
        <v>46194</v>
      </c>
      <c r="C1524" t="s">
        <v>78</v>
      </c>
      <c r="D1524" t="s">
        <v>163</v>
      </c>
      <c r="E1524" t="s">
        <v>16</v>
      </c>
      <c r="F1524" t="s">
        <v>17</v>
      </c>
      <c r="G1524" t="s">
        <v>32</v>
      </c>
      <c r="H1524" t="s">
        <v>19</v>
      </c>
      <c r="I1524" t="s">
        <v>20</v>
      </c>
      <c r="J1524">
        <v>225</v>
      </c>
      <c r="L1524" t="s">
        <v>1270</v>
      </c>
      <c r="S1524">
        <v>27</v>
      </c>
      <c r="T1524">
        <v>0</v>
      </c>
      <c r="U1524">
        <v>1</v>
      </c>
      <c r="V1524">
        <v>0</v>
      </c>
    </row>
    <row r="1525" spans="1:22">
      <c r="A1525" t="s">
        <v>1545</v>
      </c>
      <c r="B1525" s="3">
        <v>46194</v>
      </c>
      <c r="C1525" t="s">
        <v>78</v>
      </c>
      <c r="D1525" t="s">
        <v>83</v>
      </c>
      <c r="E1525" t="s">
        <v>16</v>
      </c>
      <c r="F1525" t="s">
        <v>17</v>
      </c>
      <c r="G1525" t="s">
        <v>32</v>
      </c>
      <c r="H1525" t="s">
        <v>19</v>
      </c>
      <c r="I1525" t="s">
        <v>20</v>
      </c>
      <c r="J1525">
        <v>225</v>
      </c>
      <c r="L1525" t="s">
        <v>1270</v>
      </c>
      <c r="S1525">
        <v>27</v>
      </c>
      <c r="T1525">
        <v>0</v>
      </c>
      <c r="U1525">
        <v>1</v>
      </c>
      <c r="V1525">
        <v>0</v>
      </c>
    </row>
    <row r="1526" spans="1:22">
      <c r="A1526" t="s">
        <v>1546</v>
      </c>
      <c r="B1526" s="3">
        <v>46194</v>
      </c>
      <c r="C1526" t="s">
        <v>78</v>
      </c>
      <c r="D1526" t="s">
        <v>81</v>
      </c>
      <c r="E1526" t="s">
        <v>16</v>
      </c>
      <c r="F1526" t="s">
        <v>17</v>
      </c>
      <c r="G1526" t="s">
        <v>32</v>
      </c>
      <c r="H1526" t="s">
        <v>19</v>
      </c>
      <c r="I1526" t="s">
        <v>20</v>
      </c>
      <c r="J1526">
        <v>225</v>
      </c>
      <c r="L1526" t="s">
        <v>1270</v>
      </c>
      <c r="S1526">
        <v>27</v>
      </c>
      <c r="T1526">
        <v>0</v>
      </c>
      <c r="U1526">
        <v>1</v>
      </c>
      <c r="V1526">
        <v>0</v>
      </c>
    </row>
    <row r="1527" spans="1:22">
      <c r="A1527" t="s">
        <v>1547</v>
      </c>
      <c r="B1527" s="3">
        <v>46194</v>
      </c>
      <c r="C1527" t="s">
        <v>78</v>
      </c>
      <c r="D1527" t="s">
        <v>93</v>
      </c>
      <c r="E1527" t="s">
        <v>16</v>
      </c>
      <c r="F1527" t="s">
        <v>17</v>
      </c>
      <c r="G1527" t="s">
        <v>32</v>
      </c>
      <c r="H1527" t="s">
        <v>19</v>
      </c>
      <c r="I1527" t="s">
        <v>20</v>
      </c>
      <c r="J1527">
        <v>225</v>
      </c>
      <c r="L1527" t="s">
        <v>1270</v>
      </c>
      <c r="S1527">
        <v>27</v>
      </c>
      <c r="T1527">
        <v>0</v>
      </c>
      <c r="U1527">
        <v>1</v>
      </c>
      <c r="V1527">
        <v>0</v>
      </c>
    </row>
    <row r="1528" spans="1:22">
      <c r="A1528" t="s">
        <v>1548</v>
      </c>
      <c r="B1528" s="3">
        <v>46194</v>
      </c>
      <c r="C1528" t="s">
        <v>78</v>
      </c>
      <c r="D1528" t="s">
        <v>163</v>
      </c>
      <c r="E1528" t="s">
        <v>16</v>
      </c>
      <c r="F1528" t="s">
        <v>17</v>
      </c>
      <c r="G1528" t="s">
        <v>32</v>
      </c>
      <c r="H1528" t="s">
        <v>19</v>
      </c>
      <c r="I1528" t="s">
        <v>20</v>
      </c>
      <c r="J1528">
        <v>225</v>
      </c>
      <c r="L1528" t="s">
        <v>1270</v>
      </c>
      <c r="S1528">
        <v>27</v>
      </c>
      <c r="T1528">
        <v>0</v>
      </c>
      <c r="U1528">
        <v>1</v>
      </c>
      <c r="V1528">
        <v>0</v>
      </c>
    </row>
    <row r="1529" spans="1:22">
      <c r="A1529" t="s">
        <v>1549</v>
      </c>
      <c r="B1529" s="3">
        <v>46194</v>
      </c>
      <c r="C1529" t="s">
        <v>78</v>
      </c>
      <c r="D1529" t="s">
        <v>81</v>
      </c>
      <c r="E1529" t="s">
        <v>16</v>
      </c>
      <c r="F1529" t="s">
        <v>17</v>
      </c>
      <c r="G1529" t="s">
        <v>32</v>
      </c>
      <c r="H1529" t="s">
        <v>19</v>
      </c>
      <c r="I1529" t="s">
        <v>20</v>
      </c>
      <c r="J1529">
        <v>225</v>
      </c>
      <c r="L1529" t="s">
        <v>1270</v>
      </c>
      <c r="S1529">
        <v>27</v>
      </c>
      <c r="T1529">
        <v>0</v>
      </c>
      <c r="U1529">
        <v>1</v>
      </c>
      <c r="V1529">
        <v>0</v>
      </c>
    </row>
    <row r="1530" spans="1:22">
      <c r="A1530" t="s">
        <v>1550</v>
      </c>
      <c r="B1530" s="3">
        <v>46194</v>
      </c>
      <c r="C1530" t="s">
        <v>78</v>
      </c>
      <c r="D1530" t="s">
        <v>97</v>
      </c>
      <c r="E1530" t="s">
        <v>16</v>
      </c>
      <c r="F1530" t="s">
        <v>17</v>
      </c>
      <c r="G1530" t="s">
        <v>32</v>
      </c>
      <c r="H1530" t="s">
        <v>19</v>
      </c>
      <c r="I1530" t="s">
        <v>20</v>
      </c>
      <c r="J1530">
        <v>225</v>
      </c>
      <c r="L1530" t="s">
        <v>1270</v>
      </c>
      <c r="S1530">
        <v>27</v>
      </c>
      <c r="T1530">
        <v>0</v>
      </c>
      <c r="U1530">
        <v>1</v>
      </c>
      <c r="V1530">
        <v>0</v>
      </c>
    </row>
    <row r="1531" spans="1:22">
      <c r="A1531" t="s">
        <v>1551</v>
      </c>
      <c r="B1531" s="3">
        <v>46194</v>
      </c>
      <c r="C1531" t="s">
        <v>105</v>
      </c>
      <c r="D1531" t="s">
        <v>118</v>
      </c>
      <c r="E1531" t="s">
        <v>16</v>
      </c>
      <c r="F1531" t="s">
        <v>17</v>
      </c>
      <c r="G1531" t="s">
        <v>32</v>
      </c>
      <c r="H1531" t="s">
        <v>19</v>
      </c>
      <c r="I1531" t="s">
        <v>20</v>
      </c>
      <c r="J1531">
        <v>300</v>
      </c>
      <c r="S1531">
        <v>36</v>
      </c>
      <c r="T1531">
        <v>0</v>
      </c>
      <c r="U1531">
        <v>1</v>
      </c>
      <c r="V1531">
        <v>0</v>
      </c>
    </row>
    <row r="1532" spans="1:22">
      <c r="A1532" t="s">
        <v>1552</v>
      </c>
      <c r="B1532" s="3">
        <v>46194</v>
      </c>
      <c r="C1532" t="s">
        <v>105</v>
      </c>
      <c r="D1532" t="s">
        <v>118</v>
      </c>
      <c r="E1532" t="s">
        <v>16</v>
      </c>
      <c r="F1532" t="s">
        <v>17</v>
      </c>
      <c r="G1532" t="s">
        <v>18</v>
      </c>
      <c r="H1532" t="s">
        <v>19</v>
      </c>
      <c r="I1532" t="s">
        <v>20</v>
      </c>
      <c r="J1532">
        <v>170</v>
      </c>
      <c r="L1532" t="s">
        <v>29</v>
      </c>
      <c r="S1532">
        <v>17</v>
      </c>
      <c r="T1532">
        <v>0</v>
      </c>
      <c r="U1532">
        <v>1</v>
      </c>
      <c r="V1532">
        <v>0</v>
      </c>
    </row>
    <row r="1533" spans="1:22">
      <c r="A1533" t="s">
        <v>1553</v>
      </c>
      <c r="B1533" s="3">
        <v>46194</v>
      </c>
      <c r="C1533" t="s">
        <v>105</v>
      </c>
      <c r="D1533" t="s">
        <v>191</v>
      </c>
      <c r="E1533" t="s">
        <v>16</v>
      </c>
      <c r="F1533" t="s">
        <v>17</v>
      </c>
      <c r="G1533" t="s">
        <v>18</v>
      </c>
      <c r="H1533" t="s">
        <v>19</v>
      </c>
      <c r="I1533" t="s">
        <v>20</v>
      </c>
      <c r="J1533">
        <v>200</v>
      </c>
      <c r="S1533">
        <v>20</v>
      </c>
      <c r="T1533">
        <v>0</v>
      </c>
      <c r="U1533">
        <v>1</v>
      </c>
      <c r="V1533">
        <v>0</v>
      </c>
    </row>
    <row r="1534" spans="1:22">
      <c r="A1534" t="s">
        <v>1554</v>
      </c>
      <c r="B1534" s="3">
        <v>46194</v>
      </c>
      <c r="C1534" t="s">
        <v>105</v>
      </c>
      <c r="D1534" t="s">
        <v>187</v>
      </c>
      <c r="E1534" t="s">
        <v>16</v>
      </c>
      <c r="F1534" t="s">
        <v>17</v>
      </c>
      <c r="G1534" t="s">
        <v>32</v>
      </c>
      <c r="H1534" t="s">
        <v>19</v>
      </c>
      <c r="I1534" t="s">
        <v>20</v>
      </c>
      <c r="J1534">
        <v>300</v>
      </c>
      <c r="S1534">
        <v>36</v>
      </c>
      <c r="T1534">
        <v>0</v>
      </c>
      <c r="U1534">
        <v>1</v>
      </c>
      <c r="V1534">
        <v>0</v>
      </c>
    </row>
    <row r="1535" spans="1:22">
      <c r="A1535" t="s">
        <v>1555</v>
      </c>
      <c r="B1535" s="3">
        <v>46194</v>
      </c>
      <c r="C1535" t="s">
        <v>105</v>
      </c>
      <c r="D1535" t="s">
        <v>187</v>
      </c>
      <c r="E1535" t="s">
        <v>16</v>
      </c>
      <c r="F1535" t="s">
        <v>17</v>
      </c>
      <c r="G1535" t="s">
        <v>23</v>
      </c>
      <c r="H1535" t="s">
        <v>19</v>
      </c>
      <c r="I1535" t="s">
        <v>20</v>
      </c>
      <c r="J1535">
        <v>102</v>
      </c>
      <c r="L1535" t="s">
        <v>29</v>
      </c>
      <c r="S1535">
        <v>8.16</v>
      </c>
      <c r="T1535">
        <v>0</v>
      </c>
      <c r="U1535">
        <v>1</v>
      </c>
      <c r="V1535">
        <v>0</v>
      </c>
    </row>
    <row r="1536" spans="1:22">
      <c r="A1536" t="s">
        <v>1556</v>
      </c>
      <c r="B1536" s="3">
        <v>46194</v>
      </c>
      <c r="C1536" t="s">
        <v>105</v>
      </c>
      <c r="D1536" t="s">
        <v>187</v>
      </c>
      <c r="E1536" t="s">
        <v>16</v>
      </c>
      <c r="F1536" t="s">
        <v>17</v>
      </c>
      <c r="G1536" t="s">
        <v>18</v>
      </c>
      <c r="H1536" t="s">
        <v>19</v>
      </c>
      <c r="I1536" t="s">
        <v>20</v>
      </c>
      <c r="J1536">
        <v>200</v>
      </c>
      <c r="S1536">
        <v>20</v>
      </c>
      <c r="T1536">
        <v>0</v>
      </c>
      <c r="U1536">
        <v>1</v>
      </c>
      <c r="V1536">
        <v>0</v>
      </c>
    </row>
    <row r="1537" spans="1:22">
      <c r="A1537" t="s">
        <v>1557</v>
      </c>
      <c r="B1537" s="3">
        <v>46194</v>
      </c>
      <c r="C1537" t="s">
        <v>105</v>
      </c>
      <c r="D1537" t="s">
        <v>116</v>
      </c>
      <c r="E1537" t="s">
        <v>16</v>
      </c>
      <c r="F1537" t="s">
        <v>17</v>
      </c>
      <c r="G1537" t="s">
        <v>32</v>
      </c>
      <c r="H1537" t="s">
        <v>24</v>
      </c>
      <c r="I1537" t="s">
        <v>20</v>
      </c>
      <c r="J1537">
        <v>300</v>
      </c>
      <c r="S1537">
        <v>0</v>
      </c>
      <c r="T1537">
        <v>0</v>
      </c>
      <c r="U1537">
        <v>0</v>
      </c>
      <c r="V1537">
        <v>0</v>
      </c>
    </row>
    <row r="1538" spans="1:22">
      <c r="A1538" t="s">
        <v>1558</v>
      </c>
      <c r="B1538" s="3">
        <v>46194</v>
      </c>
      <c r="C1538" t="s">
        <v>105</v>
      </c>
      <c r="D1538" t="s">
        <v>118</v>
      </c>
      <c r="E1538" t="s">
        <v>16</v>
      </c>
      <c r="F1538" t="s">
        <v>17</v>
      </c>
      <c r="G1538" t="s">
        <v>18</v>
      </c>
      <c r="H1538" t="s">
        <v>19</v>
      </c>
      <c r="I1538" t="s">
        <v>20</v>
      </c>
      <c r="J1538">
        <v>200</v>
      </c>
      <c r="S1538">
        <v>20</v>
      </c>
      <c r="T1538">
        <v>0</v>
      </c>
      <c r="U1538">
        <v>1</v>
      </c>
      <c r="V1538">
        <v>0</v>
      </c>
    </row>
    <row r="1539" spans="1:22">
      <c r="A1539" t="s">
        <v>1559</v>
      </c>
      <c r="B1539" s="3">
        <v>46194</v>
      </c>
      <c r="C1539" t="s">
        <v>105</v>
      </c>
      <c r="D1539" t="s">
        <v>265</v>
      </c>
      <c r="E1539" t="s">
        <v>16</v>
      </c>
      <c r="F1539" t="s">
        <v>17</v>
      </c>
      <c r="G1539" t="s">
        <v>32</v>
      </c>
      <c r="H1539" t="s">
        <v>24</v>
      </c>
      <c r="I1539" t="s">
        <v>20</v>
      </c>
      <c r="J1539">
        <v>225</v>
      </c>
      <c r="L1539" t="s">
        <v>29</v>
      </c>
      <c r="S1539">
        <v>0</v>
      </c>
      <c r="T1539">
        <v>0</v>
      </c>
      <c r="U1539">
        <v>0</v>
      </c>
      <c r="V1539">
        <v>0</v>
      </c>
    </row>
    <row r="1540" spans="1:22">
      <c r="A1540" t="s">
        <v>1560</v>
      </c>
      <c r="B1540" s="3">
        <v>46194</v>
      </c>
      <c r="C1540" t="s">
        <v>105</v>
      </c>
      <c r="D1540" t="s">
        <v>187</v>
      </c>
      <c r="E1540" t="s">
        <v>16</v>
      </c>
      <c r="F1540" t="s">
        <v>17</v>
      </c>
      <c r="G1540" t="s">
        <v>23</v>
      </c>
      <c r="H1540" t="s">
        <v>19</v>
      </c>
      <c r="I1540" t="s">
        <v>20</v>
      </c>
      <c r="J1540">
        <v>102</v>
      </c>
      <c r="L1540" t="s">
        <v>29</v>
      </c>
      <c r="S1540">
        <v>8.16</v>
      </c>
      <c r="T1540">
        <v>0</v>
      </c>
      <c r="U1540">
        <v>1</v>
      </c>
      <c r="V1540">
        <v>0</v>
      </c>
    </row>
    <row r="1541" spans="1:22">
      <c r="A1541" t="s">
        <v>1561</v>
      </c>
      <c r="B1541" s="3">
        <v>46194</v>
      </c>
      <c r="C1541" t="s">
        <v>105</v>
      </c>
      <c r="D1541" t="s">
        <v>265</v>
      </c>
      <c r="E1541" t="s">
        <v>16</v>
      </c>
      <c r="F1541" t="s">
        <v>17</v>
      </c>
      <c r="G1541" t="s">
        <v>23</v>
      </c>
      <c r="H1541" t="s">
        <v>19</v>
      </c>
      <c r="I1541" t="s">
        <v>20</v>
      </c>
      <c r="J1541">
        <v>120</v>
      </c>
      <c r="S1541">
        <v>9.6</v>
      </c>
      <c r="T1541">
        <v>0</v>
      </c>
      <c r="U1541">
        <v>1</v>
      </c>
      <c r="V1541">
        <v>0</v>
      </c>
    </row>
    <row r="1542" spans="1:22">
      <c r="A1542" t="s">
        <v>1562</v>
      </c>
      <c r="B1542" s="3">
        <v>46194</v>
      </c>
      <c r="C1542" t="s">
        <v>105</v>
      </c>
      <c r="D1542" t="s">
        <v>194</v>
      </c>
      <c r="E1542" t="s">
        <v>16</v>
      </c>
      <c r="F1542" t="s">
        <v>17</v>
      </c>
      <c r="G1542" t="s">
        <v>18</v>
      </c>
      <c r="H1542" t="s">
        <v>19</v>
      </c>
      <c r="I1542" t="s">
        <v>20</v>
      </c>
      <c r="J1542">
        <v>200</v>
      </c>
      <c r="S1542">
        <v>20</v>
      </c>
      <c r="T1542">
        <v>0</v>
      </c>
      <c r="U1542">
        <v>1</v>
      </c>
      <c r="V1542">
        <v>0</v>
      </c>
    </row>
    <row r="1543" spans="1:22">
      <c r="A1543" t="s">
        <v>1563</v>
      </c>
      <c r="B1543" s="3">
        <v>46194</v>
      </c>
      <c r="C1543" t="s">
        <v>105</v>
      </c>
      <c r="D1543" t="s">
        <v>118</v>
      </c>
      <c r="E1543" t="s">
        <v>16</v>
      </c>
      <c r="F1543" t="s">
        <v>17</v>
      </c>
      <c r="G1543" t="s">
        <v>23</v>
      </c>
      <c r="H1543" t="s">
        <v>19</v>
      </c>
      <c r="I1543" t="s">
        <v>20</v>
      </c>
      <c r="J1543">
        <v>120</v>
      </c>
      <c r="S1543">
        <v>9.6</v>
      </c>
      <c r="T1543">
        <v>0</v>
      </c>
      <c r="U1543">
        <v>1</v>
      </c>
      <c r="V1543">
        <v>0</v>
      </c>
    </row>
    <row r="1544" spans="1:22">
      <c r="A1544" t="s">
        <v>1564</v>
      </c>
      <c r="B1544" s="3">
        <v>46194</v>
      </c>
      <c r="C1544" t="s">
        <v>105</v>
      </c>
      <c r="D1544" t="s">
        <v>187</v>
      </c>
      <c r="E1544" t="s">
        <v>16</v>
      </c>
      <c r="F1544" t="s">
        <v>35</v>
      </c>
      <c r="G1544" t="s">
        <v>23</v>
      </c>
      <c r="H1544" t="s">
        <v>19</v>
      </c>
      <c r="I1544" t="s">
        <v>20</v>
      </c>
      <c r="J1544">
        <v>120</v>
      </c>
      <c r="S1544">
        <v>3.6</v>
      </c>
      <c r="T1544">
        <v>0</v>
      </c>
      <c r="U1544">
        <v>0</v>
      </c>
      <c r="V1544">
        <v>0</v>
      </c>
    </row>
    <row r="1545" spans="1:22">
      <c r="A1545" t="s">
        <v>1565</v>
      </c>
      <c r="B1545" s="3">
        <v>46195</v>
      </c>
      <c r="C1545" t="s">
        <v>14</v>
      </c>
      <c r="D1545" t="s">
        <v>210</v>
      </c>
      <c r="E1545" t="s">
        <v>16</v>
      </c>
      <c r="F1545" t="s">
        <v>17</v>
      </c>
      <c r="G1545" t="s">
        <v>32</v>
      </c>
      <c r="H1545" t="s">
        <v>19</v>
      </c>
      <c r="I1545" t="s">
        <v>20</v>
      </c>
      <c r="J1545">
        <v>300</v>
      </c>
      <c r="S1545">
        <v>36</v>
      </c>
      <c r="T1545">
        <v>0</v>
      </c>
      <c r="U1545">
        <v>1</v>
      </c>
      <c r="V1545">
        <v>0</v>
      </c>
    </row>
    <row r="1546" spans="1:22">
      <c r="A1546" t="s">
        <v>1567</v>
      </c>
      <c r="B1546" s="3">
        <v>46195</v>
      </c>
      <c r="C1546" t="s">
        <v>14</v>
      </c>
      <c r="D1546" t="s">
        <v>40</v>
      </c>
      <c r="E1546" t="s">
        <v>16</v>
      </c>
      <c r="F1546" t="s">
        <v>17</v>
      </c>
      <c r="G1546" t="s">
        <v>23</v>
      </c>
      <c r="H1546" t="s">
        <v>19</v>
      </c>
      <c r="I1546" t="s">
        <v>20</v>
      </c>
      <c r="J1546">
        <v>120</v>
      </c>
      <c r="S1546">
        <v>9.6</v>
      </c>
      <c r="T1546">
        <v>0</v>
      </c>
      <c r="U1546">
        <v>1</v>
      </c>
      <c r="V1546">
        <v>0</v>
      </c>
    </row>
    <row r="1547" spans="1:22">
      <c r="A1547" t="s">
        <v>1568</v>
      </c>
      <c r="B1547" s="3">
        <v>46195</v>
      </c>
      <c r="C1547" t="s">
        <v>14</v>
      </c>
      <c r="D1547" t="s">
        <v>15</v>
      </c>
      <c r="E1547" t="s">
        <v>16</v>
      </c>
      <c r="F1547" t="s">
        <v>17</v>
      </c>
      <c r="G1547" t="s">
        <v>23</v>
      </c>
      <c r="H1547" t="s">
        <v>19</v>
      </c>
      <c r="I1547" t="s">
        <v>20</v>
      </c>
      <c r="J1547">
        <v>120</v>
      </c>
      <c r="S1547">
        <v>9.6</v>
      </c>
      <c r="T1547">
        <v>0</v>
      </c>
      <c r="U1547">
        <v>1</v>
      </c>
      <c r="V1547">
        <v>0</v>
      </c>
    </row>
    <row r="1548" spans="1:22">
      <c r="A1548" t="s">
        <v>1569</v>
      </c>
      <c r="B1548" s="3">
        <v>46195</v>
      </c>
      <c r="C1548" t="s">
        <v>14</v>
      </c>
      <c r="D1548" t="s">
        <v>210</v>
      </c>
      <c r="E1548" t="s">
        <v>16</v>
      </c>
      <c r="F1548" t="s">
        <v>35</v>
      </c>
      <c r="G1548" t="s">
        <v>32</v>
      </c>
      <c r="H1548" t="s">
        <v>19</v>
      </c>
      <c r="I1548" t="s">
        <v>20</v>
      </c>
      <c r="J1548">
        <v>225</v>
      </c>
      <c r="L1548" t="s">
        <v>29</v>
      </c>
      <c r="S1548">
        <v>6.75</v>
      </c>
      <c r="T1548">
        <v>0</v>
      </c>
      <c r="U1548">
        <v>0</v>
      </c>
      <c r="V1548">
        <v>0</v>
      </c>
    </row>
    <row r="1549" spans="1:22">
      <c r="A1549" t="s">
        <v>1570</v>
      </c>
      <c r="B1549" s="3">
        <v>46195</v>
      </c>
      <c r="C1549" t="s">
        <v>14</v>
      </c>
      <c r="D1549" t="s">
        <v>210</v>
      </c>
      <c r="E1549" t="s">
        <v>16</v>
      </c>
      <c r="F1549" t="s">
        <v>17</v>
      </c>
      <c r="G1549" t="s">
        <v>23</v>
      </c>
      <c r="H1549" t="s">
        <v>19</v>
      </c>
      <c r="I1549" t="s">
        <v>20</v>
      </c>
      <c r="J1549">
        <v>120</v>
      </c>
      <c r="S1549">
        <v>9.6</v>
      </c>
      <c r="T1549">
        <v>0</v>
      </c>
      <c r="U1549">
        <v>1</v>
      </c>
      <c r="V1549">
        <v>0</v>
      </c>
    </row>
    <row r="1550" spans="1:22">
      <c r="A1550" t="s">
        <v>1571</v>
      </c>
      <c r="B1550" s="3">
        <v>46195</v>
      </c>
      <c r="C1550" t="s">
        <v>14</v>
      </c>
      <c r="D1550" t="s">
        <v>42</v>
      </c>
      <c r="E1550" t="s">
        <v>16</v>
      </c>
      <c r="F1550" t="s">
        <v>35</v>
      </c>
      <c r="G1550" t="s">
        <v>18</v>
      </c>
      <c r="H1550" t="s">
        <v>19</v>
      </c>
      <c r="I1550" t="s">
        <v>20</v>
      </c>
      <c r="J1550">
        <v>200</v>
      </c>
      <c r="S1550">
        <v>6</v>
      </c>
      <c r="T1550">
        <v>0</v>
      </c>
      <c r="U1550">
        <v>0</v>
      </c>
      <c r="V1550">
        <v>0</v>
      </c>
    </row>
    <row r="1551" spans="1:22">
      <c r="A1551" t="s">
        <v>1572</v>
      </c>
      <c r="B1551" s="3">
        <v>46195</v>
      </c>
      <c r="C1551" t="s">
        <v>14</v>
      </c>
      <c r="D1551" t="s">
        <v>37</v>
      </c>
      <c r="E1551" t="s">
        <v>16</v>
      </c>
      <c r="F1551" t="s">
        <v>17</v>
      </c>
      <c r="G1551" t="s">
        <v>32</v>
      </c>
      <c r="H1551" t="s">
        <v>19</v>
      </c>
      <c r="I1551" t="s">
        <v>20</v>
      </c>
      <c r="J1551">
        <v>300</v>
      </c>
      <c r="S1551">
        <v>36</v>
      </c>
      <c r="T1551">
        <v>0</v>
      </c>
      <c r="U1551">
        <v>1</v>
      </c>
      <c r="V1551">
        <v>0</v>
      </c>
    </row>
    <row r="1552" spans="1:22">
      <c r="A1552" t="s">
        <v>1573</v>
      </c>
      <c r="B1552" s="3">
        <v>46195</v>
      </c>
      <c r="C1552" t="s">
        <v>14</v>
      </c>
      <c r="D1552" t="s">
        <v>40</v>
      </c>
      <c r="E1552" t="s">
        <v>16</v>
      </c>
      <c r="F1552" t="s">
        <v>17</v>
      </c>
      <c r="G1552" t="s">
        <v>32</v>
      </c>
      <c r="H1552" t="s">
        <v>19</v>
      </c>
      <c r="I1552" t="s">
        <v>20</v>
      </c>
      <c r="J1552">
        <v>300</v>
      </c>
      <c r="S1552">
        <v>36</v>
      </c>
      <c r="T1552">
        <v>0</v>
      </c>
      <c r="U1552">
        <v>1</v>
      </c>
      <c r="V1552">
        <v>0</v>
      </c>
    </row>
    <row r="1553" spans="1:22">
      <c r="A1553" t="s">
        <v>1574</v>
      </c>
      <c r="B1553" s="3">
        <v>46195</v>
      </c>
      <c r="C1553" t="s">
        <v>14</v>
      </c>
      <c r="D1553" t="s">
        <v>42</v>
      </c>
      <c r="E1553" t="s">
        <v>16</v>
      </c>
      <c r="F1553" t="s">
        <v>17</v>
      </c>
      <c r="G1553" t="s">
        <v>18</v>
      </c>
      <c r="H1553" t="s">
        <v>19</v>
      </c>
      <c r="I1553" t="s">
        <v>20</v>
      </c>
      <c r="J1553">
        <v>200</v>
      </c>
      <c r="S1553">
        <v>20</v>
      </c>
      <c r="T1553">
        <v>0</v>
      </c>
      <c r="U1553">
        <v>1</v>
      </c>
      <c r="V1553">
        <v>0</v>
      </c>
    </row>
    <row r="1554" spans="1:22">
      <c r="A1554" t="s">
        <v>1575</v>
      </c>
      <c r="B1554" s="3">
        <v>46195</v>
      </c>
      <c r="C1554" t="s">
        <v>14</v>
      </c>
      <c r="D1554" t="s">
        <v>26</v>
      </c>
      <c r="E1554" t="s">
        <v>16</v>
      </c>
      <c r="F1554" t="s">
        <v>17</v>
      </c>
      <c r="G1554" t="s">
        <v>32</v>
      </c>
      <c r="H1554" t="s">
        <v>19</v>
      </c>
      <c r="I1554" t="s">
        <v>20</v>
      </c>
      <c r="J1554">
        <v>300</v>
      </c>
      <c r="S1554">
        <v>36</v>
      </c>
      <c r="T1554">
        <v>0</v>
      </c>
      <c r="U1554">
        <v>1</v>
      </c>
      <c r="V1554">
        <v>0</v>
      </c>
    </row>
    <row r="1555" spans="1:22">
      <c r="A1555" t="s">
        <v>1576</v>
      </c>
      <c r="B1555" s="3">
        <v>46195</v>
      </c>
      <c r="C1555" t="s">
        <v>14</v>
      </c>
      <c r="D1555" t="s">
        <v>137</v>
      </c>
      <c r="E1555" t="s">
        <v>16</v>
      </c>
      <c r="F1555" t="s">
        <v>17</v>
      </c>
      <c r="G1555" t="s">
        <v>23</v>
      </c>
      <c r="H1555" t="s">
        <v>19</v>
      </c>
      <c r="I1555" t="s">
        <v>20</v>
      </c>
      <c r="J1555">
        <v>120</v>
      </c>
      <c r="S1555">
        <v>9.6</v>
      </c>
      <c r="T1555">
        <v>0</v>
      </c>
      <c r="U1555">
        <v>1</v>
      </c>
      <c r="V1555">
        <v>0</v>
      </c>
    </row>
    <row r="1556" spans="1:22">
      <c r="A1556" t="s">
        <v>1577</v>
      </c>
      <c r="B1556" s="3">
        <v>46195</v>
      </c>
      <c r="C1556" t="s">
        <v>14</v>
      </c>
      <c r="D1556" t="s">
        <v>22</v>
      </c>
      <c r="E1556" t="s">
        <v>16</v>
      </c>
      <c r="F1556" t="s">
        <v>17</v>
      </c>
      <c r="G1556" t="s">
        <v>18</v>
      </c>
      <c r="H1556" t="s">
        <v>19</v>
      </c>
      <c r="I1556" t="s">
        <v>20</v>
      </c>
      <c r="J1556">
        <v>200</v>
      </c>
      <c r="S1556">
        <v>20</v>
      </c>
      <c r="T1556">
        <v>0</v>
      </c>
      <c r="U1556">
        <v>1</v>
      </c>
      <c r="V1556">
        <v>0</v>
      </c>
    </row>
    <row r="1557" spans="1:22">
      <c r="A1557" t="s">
        <v>1578</v>
      </c>
      <c r="B1557" s="3">
        <v>46195</v>
      </c>
      <c r="C1557" t="s">
        <v>14</v>
      </c>
      <c r="D1557" t="s">
        <v>34</v>
      </c>
      <c r="E1557" t="s">
        <v>16</v>
      </c>
      <c r="F1557" t="s">
        <v>17</v>
      </c>
      <c r="G1557" t="s">
        <v>18</v>
      </c>
      <c r="H1557" t="s">
        <v>19</v>
      </c>
      <c r="I1557" t="s">
        <v>20</v>
      </c>
      <c r="J1557">
        <v>200</v>
      </c>
      <c r="S1557">
        <v>20</v>
      </c>
      <c r="T1557">
        <v>0</v>
      </c>
      <c r="U1557">
        <v>1</v>
      </c>
      <c r="V1557">
        <v>0</v>
      </c>
    </row>
    <row r="1558" spans="1:22">
      <c r="A1558" t="s">
        <v>1579</v>
      </c>
      <c r="B1558" s="3">
        <v>46195</v>
      </c>
      <c r="C1558" t="s">
        <v>14</v>
      </c>
      <c r="D1558" t="s">
        <v>40</v>
      </c>
      <c r="E1558" t="s">
        <v>16</v>
      </c>
      <c r="F1558" t="s">
        <v>35</v>
      </c>
      <c r="G1558" t="s">
        <v>32</v>
      </c>
      <c r="H1558" t="s">
        <v>19</v>
      </c>
      <c r="I1558" t="s">
        <v>20</v>
      </c>
      <c r="J1558">
        <v>300</v>
      </c>
      <c r="S1558">
        <v>9</v>
      </c>
      <c r="T1558">
        <v>0</v>
      </c>
      <c r="U1558">
        <v>0</v>
      </c>
      <c r="V1558">
        <v>0</v>
      </c>
    </row>
    <row r="1559" spans="1:22">
      <c r="A1559" t="s">
        <v>1580</v>
      </c>
      <c r="B1559" s="3">
        <v>46195</v>
      </c>
      <c r="C1559" t="s">
        <v>14</v>
      </c>
      <c r="D1559" t="s">
        <v>40</v>
      </c>
      <c r="E1559" t="s">
        <v>16</v>
      </c>
      <c r="F1559" t="s">
        <v>17</v>
      </c>
      <c r="G1559" t="s">
        <v>18</v>
      </c>
      <c r="H1559" t="s">
        <v>19</v>
      </c>
      <c r="I1559" t="s">
        <v>20</v>
      </c>
      <c r="J1559">
        <v>200</v>
      </c>
      <c r="S1559">
        <v>20</v>
      </c>
      <c r="T1559">
        <v>0</v>
      </c>
      <c r="U1559">
        <v>1</v>
      </c>
      <c r="V1559">
        <v>0</v>
      </c>
    </row>
    <row r="1560" spans="1:22">
      <c r="A1560" t="s">
        <v>1581</v>
      </c>
      <c r="B1560" s="3">
        <v>46195</v>
      </c>
      <c r="C1560" t="s">
        <v>14</v>
      </c>
      <c r="D1560" t="s">
        <v>40</v>
      </c>
      <c r="E1560" t="s">
        <v>16</v>
      </c>
      <c r="F1560" t="s">
        <v>17</v>
      </c>
      <c r="G1560" t="s">
        <v>23</v>
      </c>
      <c r="H1560" t="s">
        <v>19</v>
      </c>
      <c r="I1560" t="s">
        <v>20</v>
      </c>
      <c r="J1560">
        <v>90</v>
      </c>
      <c r="L1560" t="s">
        <v>29</v>
      </c>
      <c r="S1560">
        <v>7.2</v>
      </c>
      <c r="T1560">
        <v>0</v>
      </c>
      <c r="U1560">
        <v>1</v>
      </c>
      <c r="V1560">
        <v>0</v>
      </c>
    </row>
    <row r="1561" spans="1:22">
      <c r="A1561" t="s">
        <v>1582</v>
      </c>
      <c r="B1561" s="3">
        <v>46195</v>
      </c>
      <c r="C1561" t="s">
        <v>14</v>
      </c>
      <c r="D1561" t="s">
        <v>22</v>
      </c>
      <c r="E1561" t="s">
        <v>16</v>
      </c>
      <c r="F1561" t="s">
        <v>17</v>
      </c>
      <c r="G1561" t="s">
        <v>32</v>
      </c>
      <c r="H1561" t="s">
        <v>19</v>
      </c>
      <c r="I1561" t="s">
        <v>20</v>
      </c>
      <c r="J1561">
        <v>255</v>
      </c>
      <c r="L1561" t="s">
        <v>29</v>
      </c>
      <c r="S1561">
        <v>30.6</v>
      </c>
      <c r="T1561">
        <v>0</v>
      </c>
      <c r="U1561">
        <v>1</v>
      </c>
      <c r="V1561">
        <v>0</v>
      </c>
    </row>
    <row r="1562" spans="1:22">
      <c r="A1562" t="s">
        <v>1583</v>
      </c>
      <c r="B1562" s="3">
        <v>46195</v>
      </c>
      <c r="C1562" t="s">
        <v>14</v>
      </c>
      <c r="D1562" t="s">
        <v>28</v>
      </c>
      <c r="E1562" t="s">
        <v>16</v>
      </c>
      <c r="F1562" t="s">
        <v>35</v>
      </c>
      <c r="G1562" t="s">
        <v>18</v>
      </c>
      <c r="H1562" t="s">
        <v>19</v>
      </c>
      <c r="I1562" t="s">
        <v>20</v>
      </c>
      <c r="J1562">
        <v>170</v>
      </c>
      <c r="L1562" t="s">
        <v>29</v>
      </c>
      <c r="S1562">
        <v>5.0999999999999996</v>
      </c>
      <c r="T1562">
        <v>0</v>
      </c>
      <c r="U1562">
        <v>0</v>
      </c>
      <c r="V1562">
        <v>0</v>
      </c>
    </row>
    <row r="1563" spans="1:22">
      <c r="A1563" t="s">
        <v>1584</v>
      </c>
      <c r="B1563" s="3">
        <v>46195</v>
      </c>
      <c r="C1563" t="s">
        <v>47</v>
      </c>
      <c r="D1563" t="s">
        <v>73</v>
      </c>
      <c r="E1563" t="s">
        <v>16</v>
      </c>
      <c r="F1563" t="s">
        <v>17</v>
      </c>
      <c r="G1563" t="s">
        <v>32</v>
      </c>
      <c r="H1563" t="s">
        <v>19</v>
      </c>
      <c r="I1563" t="s">
        <v>20</v>
      </c>
      <c r="J1563">
        <v>300</v>
      </c>
      <c r="S1563">
        <v>36</v>
      </c>
      <c r="T1563">
        <v>0</v>
      </c>
      <c r="U1563">
        <v>1</v>
      </c>
      <c r="V1563">
        <v>0</v>
      </c>
    </row>
    <row r="1564" spans="1:22">
      <c r="A1564" t="s">
        <v>1585</v>
      </c>
      <c r="B1564" s="3">
        <v>46195</v>
      </c>
      <c r="C1564" t="s">
        <v>47</v>
      </c>
      <c r="D1564" t="s">
        <v>50</v>
      </c>
      <c r="E1564" t="s">
        <v>16</v>
      </c>
      <c r="F1564" t="s">
        <v>17</v>
      </c>
      <c r="G1564" t="s">
        <v>23</v>
      </c>
      <c r="H1564" t="s">
        <v>19</v>
      </c>
      <c r="I1564" t="s">
        <v>20</v>
      </c>
      <c r="J1564">
        <v>120</v>
      </c>
      <c r="S1564">
        <v>9.6</v>
      </c>
      <c r="T1564">
        <v>0</v>
      </c>
      <c r="U1564">
        <v>1</v>
      </c>
      <c r="V1564">
        <v>0</v>
      </c>
    </row>
    <row r="1565" spans="1:22">
      <c r="A1565" t="s">
        <v>1586</v>
      </c>
      <c r="B1565" s="3">
        <v>46195</v>
      </c>
      <c r="C1565" t="s">
        <v>47</v>
      </c>
      <c r="D1565" t="s">
        <v>55</v>
      </c>
      <c r="E1565" t="s">
        <v>16</v>
      </c>
      <c r="F1565" t="s">
        <v>35</v>
      </c>
      <c r="G1565" t="s">
        <v>23</v>
      </c>
      <c r="H1565" t="s">
        <v>24</v>
      </c>
      <c r="I1565" t="s">
        <v>20</v>
      </c>
      <c r="J1565">
        <v>120</v>
      </c>
      <c r="S1565">
        <v>0</v>
      </c>
      <c r="T1565">
        <v>0</v>
      </c>
      <c r="U1565">
        <v>0</v>
      </c>
      <c r="V1565">
        <v>0</v>
      </c>
    </row>
    <row r="1566" spans="1:22">
      <c r="A1566" t="s">
        <v>1587</v>
      </c>
      <c r="B1566" s="3">
        <v>46195</v>
      </c>
      <c r="C1566" t="s">
        <v>47</v>
      </c>
      <c r="D1566" t="s">
        <v>62</v>
      </c>
      <c r="E1566" t="s">
        <v>16</v>
      </c>
      <c r="F1566" t="s">
        <v>17</v>
      </c>
      <c r="G1566" t="s">
        <v>32</v>
      </c>
      <c r="H1566" t="s">
        <v>19</v>
      </c>
      <c r="I1566" t="s">
        <v>20</v>
      </c>
      <c r="J1566">
        <v>300</v>
      </c>
      <c r="S1566">
        <v>36</v>
      </c>
      <c r="T1566">
        <v>0</v>
      </c>
      <c r="U1566">
        <v>1</v>
      </c>
      <c r="V1566">
        <v>0</v>
      </c>
    </row>
    <row r="1567" spans="1:22">
      <c r="A1567" t="s">
        <v>1588</v>
      </c>
      <c r="B1567" s="3">
        <v>46195</v>
      </c>
      <c r="C1567" t="s">
        <v>47</v>
      </c>
      <c r="D1567" t="s">
        <v>48</v>
      </c>
      <c r="E1567" t="s">
        <v>16</v>
      </c>
      <c r="F1567" t="s">
        <v>17</v>
      </c>
      <c r="G1567" t="s">
        <v>32</v>
      </c>
      <c r="H1567" t="s">
        <v>19</v>
      </c>
      <c r="I1567" t="s">
        <v>20</v>
      </c>
      <c r="J1567">
        <v>300</v>
      </c>
      <c r="S1567">
        <v>36</v>
      </c>
      <c r="T1567">
        <v>0</v>
      </c>
      <c r="U1567">
        <v>1</v>
      </c>
      <c r="V1567">
        <v>0</v>
      </c>
    </row>
    <row r="1568" spans="1:22">
      <c r="A1568" t="s">
        <v>1589</v>
      </c>
      <c r="B1568" s="3">
        <v>46195</v>
      </c>
      <c r="C1568" t="s">
        <v>47</v>
      </c>
      <c r="D1568" t="s">
        <v>62</v>
      </c>
      <c r="E1568" t="s">
        <v>16</v>
      </c>
      <c r="F1568" t="s">
        <v>35</v>
      </c>
      <c r="G1568" t="s">
        <v>32</v>
      </c>
      <c r="H1568" t="s">
        <v>19</v>
      </c>
      <c r="I1568" t="s">
        <v>20</v>
      </c>
      <c r="J1568">
        <v>300</v>
      </c>
      <c r="S1568">
        <v>9</v>
      </c>
      <c r="T1568">
        <v>0</v>
      </c>
      <c r="U1568">
        <v>0</v>
      </c>
      <c r="V1568">
        <v>0</v>
      </c>
    </row>
    <row r="1569" spans="1:22">
      <c r="A1569" t="s">
        <v>1590</v>
      </c>
      <c r="B1569" s="3">
        <v>46195</v>
      </c>
      <c r="C1569" t="s">
        <v>47</v>
      </c>
      <c r="D1569" t="s">
        <v>152</v>
      </c>
      <c r="E1569" t="s">
        <v>16</v>
      </c>
      <c r="F1569" t="s">
        <v>17</v>
      </c>
      <c r="G1569" t="s">
        <v>23</v>
      </c>
      <c r="H1569" t="s">
        <v>19</v>
      </c>
      <c r="I1569" t="s">
        <v>20</v>
      </c>
      <c r="J1569">
        <v>90</v>
      </c>
      <c r="L1569" t="s">
        <v>29</v>
      </c>
      <c r="S1569">
        <v>7.2</v>
      </c>
      <c r="T1569">
        <v>0</v>
      </c>
      <c r="U1569">
        <v>1</v>
      </c>
      <c r="V1569">
        <v>0</v>
      </c>
    </row>
    <row r="1570" spans="1:22">
      <c r="A1570" t="s">
        <v>1591</v>
      </c>
      <c r="B1570" s="3">
        <v>46195</v>
      </c>
      <c r="C1570" t="s">
        <v>47</v>
      </c>
      <c r="D1570" t="s">
        <v>66</v>
      </c>
      <c r="E1570" t="s">
        <v>16</v>
      </c>
      <c r="F1570" t="s">
        <v>17</v>
      </c>
      <c r="G1570" t="s">
        <v>23</v>
      </c>
      <c r="H1570" t="s">
        <v>19</v>
      </c>
      <c r="I1570" t="s">
        <v>20</v>
      </c>
      <c r="J1570">
        <v>120</v>
      </c>
      <c r="S1570">
        <v>9.6</v>
      </c>
      <c r="T1570">
        <v>0</v>
      </c>
      <c r="U1570">
        <v>1</v>
      </c>
      <c r="V1570">
        <v>0</v>
      </c>
    </row>
    <row r="1571" spans="1:22">
      <c r="A1571" t="s">
        <v>1592</v>
      </c>
      <c r="B1571" s="3">
        <v>46195</v>
      </c>
      <c r="C1571" t="s">
        <v>47</v>
      </c>
      <c r="D1571" t="s">
        <v>52</v>
      </c>
      <c r="E1571" t="s">
        <v>16</v>
      </c>
      <c r="F1571" t="s">
        <v>17</v>
      </c>
      <c r="G1571" t="s">
        <v>32</v>
      </c>
      <c r="H1571" t="s">
        <v>19</v>
      </c>
      <c r="I1571" t="s">
        <v>20</v>
      </c>
      <c r="J1571">
        <v>300</v>
      </c>
      <c r="S1571">
        <v>36</v>
      </c>
      <c r="T1571">
        <v>0</v>
      </c>
      <c r="U1571">
        <v>1</v>
      </c>
      <c r="V1571">
        <v>0</v>
      </c>
    </row>
    <row r="1572" spans="1:22">
      <c r="A1572" t="s">
        <v>1593</v>
      </c>
      <c r="B1572" s="3">
        <v>46195</v>
      </c>
      <c r="C1572" t="s">
        <v>47</v>
      </c>
      <c r="D1572" t="s">
        <v>152</v>
      </c>
      <c r="E1572" t="s">
        <v>16</v>
      </c>
      <c r="F1572" t="s">
        <v>17</v>
      </c>
      <c r="G1572" t="s">
        <v>18</v>
      </c>
      <c r="H1572" t="s">
        <v>19</v>
      </c>
      <c r="I1572" t="s">
        <v>20</v>
      </c>
      <c r="J1572">
        <v>170</v>
      </c>
      <c r="L1572" t="s">
        <v>29</v>
      </c>
      <c r="S1572">
        <v>17</v>
      </c>
      <c r="T1572">
        <v>0</v>
      </c>
      <c r="U1572">
        <v>1</v>
      </c>
      <c r="V1572">
        <v>0</v>
      </c>
    </row>
    <row r="1573" spans="1:22">
      <c r="A1573" t="s">
        <v>1594</v>
      </c>
      <c r="B1573" s="3">
        <v>46195</v>
      </c>
      <c r="C1573" t="s">
        <v>47</v>
      </c>
      <c r="D1573" t="s">
        <v>66</v>
      </c>
      <c r="E1573" t="s">
        <v>16</v>
      </c>
      <c r="F1573" t="s">
        <v>17</v>
      </c>
      <c r="G1573" t="s">
        <v>23</v>
      </c>
      <c r="H1573" t="s">
        <v>19</v>
      </c>
      <c r="I1573" t="s">
        <v>20</v>
      </c>
      <c r="J1573">
        <v>120</v>
      </c>
      <c r="S1573">
        <v>9.6</v>
      </c>
      <c r="T1573">
        <v>0</v>
      </c>
      <c r="U1573">
        <v>1</v>
      </c>
      <c r="V1573">
        <v>0</v>
      </c>
    </row>
    <row r="1574" spans="1:22">
      <c r="A1574" t="s">
        <v>1595</v>
      </c>
      <c r="B1574" s="3">
        <v>46195</v>
      </c>
      <c r="C1574" t="s">
        <v>47</v>
      </c>
      <c r="D1574" t="s">
        <v>148</v>
      </c>
      <c r="E1574" t="s">
        <v>16</v>
      </c>
      <c r="F1574" t="s">
        <v>17</v>
      </c>
      <c r="G1574" t="s">
        <v>23</v>
      </c>
      <c r="H1574" t="s">
        <v>19</v>
      </c>
      <c r="I1574" t="s">
        <v>20</v>
      </c>
      <c r="J1574">
        <v>120</v>
      </c>
      <c r="S1574">
        <v>9.6</v>
      </c>
      <c r="T1574">
        <v>0</v>
      </c>
      <c r="U1574">
        <v>1</v>
      </c>
      <c r="V1574">
        <v>0</v>
      </c>
    </row>
    <row r="1575" spans="1:22">
      <c r="A1575" t="s">
        <v>1596</v>
      </c>
      <c r="B1575" s="3">
        <v>46195</v>
      </c>
      <c r="C1575" t="s">
        <v>47</v>
      </c>
      <c r="D1575" t="s">
        <v>152</v>
      </c>
      <c r="E1575" t="s">
        <v>16</v>
      </c>
      <c r="F1575" t="s">
        <v>17</v>
      </c>
      <c r="G1575" t="s">
        <v>23</v>
      </c>
      <c r="H1575" t="s">
        <v>19</v>
      </c>
      <c r="I1575" t="s">
        <v>20</v>
      </c>
      <c r="J1575">
        <v>120</v>
      </c>
      <c r="S1575">
        <v>9.6</v>
      </c>
      <c r="T1575">
        <v>0</v>
      </c>
      <c r="U1575">
        <v>1</v>
      </c>
      <c r="V1575">
        <v>0</v>
      </c>
    </row>
    <row r="1576" spans="1:22">
      <c r="A1576" t="s">
        <v>1597</v>
      </c>
      <c r="B1576" s="3">
        <v>46195</v>
      </c>
      <c r="C1576" t="s">
        <v>47</v>
      </c>
      <c r="D1576" t="s">
        <v>48</v>
      </c>
      <c r="E1576" t="s">
        <v>16</v>
      </c>
      <c r="F1576" t="s">
        <v>17</v>
      </c>
      <c r="G1576" t="s">
        <v>23</v>
      </c>
      <c r="H1576" t="s">
        <v>19</v>
      </c>
      <c r="I1576" t="s">
        <v>20</v>
      </c>
      <c r="J1576">
        <v>102</v>
      </c>
      <c r="L1576" t="s">
        <v>29</v>
      </c>
      <c r="S1576">
        <v>8.16</v>
      </c>
      <c r="T1576">
        <v>0</v>
      </c>
      <c r="U1576">
        <v>1</v>
      </c>
      <c r="V1576">
        <v>0</v>
      </c>
    </row>
    <row r="1577" spans="1:22">
      <c r="A1577" t="s">
        <v>1598</v>
      </c>
      <c r="B1577" s="3">
        <v>46195</v>
      </c>
      <c r="C1577" t="s">
        <v>47</v>
      </c>
      <c r="D1577" t="s">
        <v>71</v>
      </c>
      <c r="E1577" t="s">
        <v>16</v>
      </c>
      <c r="F1577" t="s">
        <v>17</v>
      </c>
      <c r="G1577" t="s">
        <v>18</v>
      </c>
      <c r="H1577" t="s">
        <v>19</v>
      </c>
      <c r="I1577" t="s">
        <v>20</v>
      </c>
      <c r="J1577">
        <v>200</v>
      </c>
      <c r="S1577">
        <v>20</v>
      </c>
      <c r="T1577">
        <v>0</v>
      </c>
      <c r="U1577">
        <v>1</v>
      </c>
      <c r="V1577">
        <v>0</v>
      </c>
    </row>
    <row r="1578" spans="1:22">
      <c r="A1578" t="s">
        <v>1599</v>
      </c>
      <c r="B1578" s="3">
        <v>46195</v>
      </c>
      <c r="C1578" t="s">
        <v>47</v>
      </c>
      <c r="D1578" t="s">
        <v>71</v>
      </c>
      <c r="E1578" t="s">
        <v>16</v>
      </c>
      <c r="F1578" t="s">
        <v>17</v>
      </c>
      <c r="G1578" t="s">
        <v>23</v>
      </c>
      <c r="H1578" t="s">
        <v>19</v>
      </c>
      <c r="I1578" t="s">
        <v>20</v>
      </c>
      <c r="J1578">
        <v>102</v>
      </c>
      <c r="L1578" t="s">
        <v>29</v>
      </c>
      <c r="S1578">
        <v>8.16</v>
      </c>
      <c r="T1578">
        <v>0</v>
      </c>
      <c r="U1578">
        <v>1</v>
      </c>
      <c r="V1578">
        <v>0</v>
      </c>
    </row>
    <row r="1579" spans="1:22">
      <c r="A1579" t="s">
        <v>1600</v>
      </c>
      <c r="B1579" s="3">
        <v>46195</v>
      </c>
      <c r="C1579" t="s">
        <v>47</v>
      </c>
      <c r="D1579" t="s">
        <v>66</v>
      </c>
      <c r="E1579" t="s">
        <v>16</v>
      </c>
      <c r="F1579" t="s">
        <v>17</v>
      </c>
      <c r="G1579" t="s">
        <v>32</v>
      </c>
      <c r="H1579" t="s">
        <v>19</v>
      </c>
      <c r="I1579" t="s">
        <v>20</v>
      </c>
      <c r="J1579">
        <v>300</v>
      </c>
      <c r="S1579">
        <v>36</v>
      </c>
      <c r="T1579">
        <v>0</v>
      </c>
      <c r="U1579">
        <v>1</v>
      </c>
      <c r="V1579">
        <v>0</v>
      </c>
    </row>
    <row r="1580" spans="1:22">
      <c r="A1580" t="s">
        <v>1601</v>
      </c>
      <c r="B1580" s="3">
        <v>46195</v>
      </c>
      <c r="C1580" t="s">
        <v>47</v>
      </c>
      <c r="D1580" t="s">
        <v>52</v>
      </c>
      <c r="E1580" t="s">
        <v>16</v>
      </c>
      <c r="F1580" t="s">
        <v>17</v>
      </c>
      <c r="G1580" t="s">
        <v>32</v>
      </c>
      <c r="H1580" t="s">
        <v>19</v>
      </c>
      <c r="I1580" t="s">
        <v>20</v>
      </c>
      <c r="J1580">
        <v>300</v>
      </c>
      <c r="S1580">
        <v>36</v>
      </c>
      <c r="T1580">
        <v>0</v>
      </c>
      <c r="U1580">
        <v>1</v>
      </c>
      <c r="V1580">
        <v>0</v>
      </c>
    </row>
    <row r="1581" spans="1:22">
      <c r="A1581" t="s">
        <v>1602</v>
      </c>
      <c r="B1581" s="3">
        <v>46195</v>
      </c>
      <c r="C1581" t="s">
        <v>78</v>
      </c>
      <c r="D1581" t="s">
        <v>161</v>
      </c>
      <c r="E1581" t="s">
        <v>16</v>
      </c>
      <c r="F1581" t="s">
        <v>17</v>
      </c>
      <c r="G1581" t="s">
        <v>23</v>
      </c>
      <c r="H1581" t="s">
        <v>24</v>
      </c>
      <c r="I1581" t="s">
        <v>20</v>
      </c>
      <c r="J1581">
        <v>120</v>
      </c>
      <c r="S1581">
        <v>0</v>
      </c>
      <c r="T1581">
        <v>0</v>
      </c>
      <c r="U1581">
        <v>0</v>
      </c>
      <c r="V1581">
        <v>0</v>
      </c>
    </row>
    <row r="1582" spans="1:22">
      <c r="A1582" t="s">
        <v>1603</v>
      </c>
      <c r="B1582" s="3">
        <v>46195</v>
      </c>
      <c r="C1582" t="s">
        <v>78</v>
      </c>
      <c r="D1582" t="s">
        <v>93</v>
      </c>
      <c r="E1582" t="s">
        <v>16</v>
      </c>
      <c r="F1582" t="s">
        <v>17</v>
      </c>
      <c r="G1582" t="s">
        <v>18</v>
      </c>
      <c r="H1582" t="s">
        <v>19</v>
      </c>
      <c r="I1582" t="s">
        <v>20</v>
      </c>
      <c r="J1582">
        <v>200</v>
      </c>
      <c r="S1582">
        <v>20</v>
      </c>
      <c r="T1582">
        <v>0</v>
      </c>
      <c r="U1582">
        <v>1</v>
      </c>
      <c r="V1582">
        <v>0</v>
      </c>
    </row>
    <row r="1583" spans="1:22">
      <c r="A1583" t="s">
        <v>1604</v>
      </c>
      <c r="B1583" s="3">
        <v>46195</v>
      </c>
      <c r="C1583" t="s">
        <v>78</v>
      </c>
      <c r="D1583" t="s">
        <v>81</v>
      </c>
      <c r="E1583" t="s">
        <v>16</v>
      </c>
      <c r="F1583" t="s">
        <v>35</v>
      </c>
      <c r="G1583" t="s">
        <v>32</v>
      </c>
      <c r="H1583" t="s">
        <v>19</v>
      </c>
      <c r="I1583" t="s">
        <v>20</v>
      </c>
      <c r="J1583">
        <v>300</v>
      </c>
      <c r="S1583">
        <v>9</v>
      </c>
      <c r="T1583">
        <v>0</v>
      </c>
      <c r="U1583">
        <v>0</v>
      </c>
      <c r="V1583">
        <v>0</v>
      </c>
    </row>
    <row r="1584" spans="1:22">
      <c r="A1584" t="s">
        <v>1605</v>
      </c>
      <c r="B1584" s="3">
        <v>46195</v>
      </c>
      <c r="C1584" t="s">
        <v>78</v>
      </c>
      <c r="D1584" t="s">
        <v>161</v>
      </c>
      <c r="E1584" t="s">
        <v>16</v>
      </c>
      <c r="F1584" t="s">
        <v>35</v>
      </c>
      <c r="G1584" t="s">
        <v>23</v>
      </c>
      <c r="H1584" t="s">
        <v>19</v>
      </c>
      <c r="I1584" t="s">
        <v>74</v>
      </c>
      <c r="J1584">
        <v>120</v>
      </c>
      <c r="S1584">
        <v>0</v>
      </c>
      <c r="T1584">
        <v>0</v>
      </c>
      <c r="U1584">
        <v>0</v>
      </c>
      <c r="V1584">
        <v>0</v>
      </c>
    </row>
    <row r="1585" spans="1:22">
      <c r="A1585" t="s">
        <v>1606</v>
      </c>
      <c r="B1585" s="3">
        <v>46195</v>
      </c>
      <c r="C1585" t="s">
        <v>78</v>
      </c>
      <c r="D1585" t="s">
        <v>89</v>
      </c>
      <c r="E1585" t="s">
        <v>16</v>
      </c>
      <c r="F1585" t="s">
        <v>17</v>
      </c>
      <c r="G1585" t="s">
        <v>32</v>
      </c>
      <c r="H1585" t="s">
        <v>19</v>
      </c>
      <c r="I1585" t="s">
        <v>20</v>
      </c>
      <c r="J1585">
        <v>300</v>
      </c>
      <c r="S1585">
        <v>36</v>
      </c>
      <c r="T1585">
        <v>0</v>
      </c>
      <c r="U1585">
        <v>1</v>
      </c>
      <c r="V1585">
        <v>0</v>
      </c>
    </row>
    <row r="1586" spans="1:22">
      <c r="A1586" t="s">
        <v>1607</v>
      </c>
      <c r="B1586" s="3">
        <v>46195</v>
      </c>
      <c r="C1586" t="s">
        <v>78</v>
      </c>
      <c r="D1586" t="s">
        <v>242</v>
      </c>
      <c r="E1586" t="s">
        <v>16</v>
      </c>
      <c r="F1586" t="s">
        <v>17</v>
      </c>
      <c r="G1586" t="s">
        <v>23</v>
      </c>
      <c r="H1586" t="s">
        <v>24</v>
      </c>
      <c r="I1586" t="s">
        <v>20</v>
      </c>
      <c r="J1586">
        <v>120</v>
      </c>
      <c r="S1586">
        <v>0</v>
      </c>
      <c r="T1586">
        <v>0</v>
      </c>
      <c r="U1586">
        <v>0</v>
      </c>
      <c r="V1586">
        <v>0</v>
      </c>
    </row>
    <row r="1587" spans="1:22">
      <c r="A1587" t="s">
        <v>1608</v>
      </c>
      <c r="B1587" s="3">
        <v>46195</v>
      </c>
      <c r="C1587" t="s">
        <v>78</v>
      </c>
      <c r="D1587" t="s">
        <v>242</v>
      </c>
      <c r="E1587" t="s">
        <v>16</v>
      </c>
      <c r="F1587" t="s">
        <v>17</v>
      </c>
      <c r="G1587" t="s">
        <v>32</v>
      </c>
      <c r="H1587" t="s">
        <v>19</v>
      </c>
      <c r="I1587" t="s">
        <v>20</v>
      </c>
      <c r="J1587">
        <v>300</v>
      </c>
      <c r="S1587">
        <v>36</v>
      </c>
      <c r="T1587">
        <v>0</v>
      </c>
      <c r="U1587">
        <v>1</v>
      </c>
      <c r="V1587">
        <v>0</v>
      </c>
    </row>
    <row r="1588" spans="1:22">
      <c r="A1588" t="s">
        <v>1609</v>
      </c>
      <c r="B1588" s="3">
        <v>46195</v>
      </c>
      <c r="C1588" t="s">
        <v>78</v>
      </c>
      <c r="D1588" t="s">
        <v>161</v>
      </c>
      <c r="E1588" t="s">
        <v>16</v>
      </c>
      <c r="F1588" t="s">
        <v>17</v>
      </c>
      <c r="G1588" t="s">
        <v>18</v>
      </c>
      <c r="H1588" t="s">
        <v>19</v>
      </c>
      <c r="I1588" t="s">
        <v>20</v>
      </c>
      <c r="J1588">
        <v>200</v>
      </c>
      <c r="S1588">
        <v>20</v>
      </c>
      <c r="T1588">
        <v>0</v>
      </c>
      <c r="U1588">
        <v>1</v>
      </c>
      <c r="V1588">
        <v>0</v>
      </c>
    </row>
    <row r="1589" spans="1:22">
      <c r="A1589" t="s">
        <v>1610</v>
      </c>
      <c r="B1589" s="3">
        <v>46195</v>
      </c>
      <c r="C1589" t="s">
        <v>78</v>
      </c>
      <c r="D1589" t="s">
        <v>242</v>
      </c>
      <c r="E1589" t="s">
        <v>16</v>
      </c>
      <c r="F1589" t="s">
        <v>17</v>
      </c>
      <c r="G1589" t="s">
        <v>32</v>
      </c>
      <c r="H1589" t="s">
        <v>19</v>
      </c>
      <c r="I1589" t="s">
        <v>20</v>
      </c>
      <c r="J1589">
        <v>225</v>
      </c>
      <c r="L1589" t="s">
        <v>29</v>
      </c>
      <c r="S1589">
        <v>27</v>
      </c>
      <c r="T1589">
        <v>0</v>
      </c>
      <c r="U1589">
        <v>1</v>
      </c>
      <c r="V1589">
        <v>0</v>
      </c>
    </row>
    <row r="1590" spans="1:22">
      <c r="A1590" t="s">
        <v>1611</v>
      </c>
      <c r="B1590" s="3">
        <v>46195</v>
      </c>
      <c r="C1590" t="s">
        <v>78</v>
      </c>
      <c r="D1590" t="s">
        <v>97</v>
      </c>
      <c r="E1590" t="s">
        <v>16</v>
      </c>
      <c r="F1590" t="s">
        <v>17</v>
      </c>
      <c r="G1590" t="s">
        <v>23</v>
      </c>
      <c r="H1590" t="s">
        <v>24</v>
      </c>
      <c r="I1590" t="s">
        <v>20</v>
      </c>
      <c r="J1590">
        <v>102</v>
      </c>
      <c r="L1590" t="s">
        <v>29</v>
      </c>
      <c r="S1590">
        <v>0</v>
      </c>
      <c r="T1590">
        <v>0</v>
      </c>
      <c r="U1590">
        <v>0</v>
      </c>
      <c r="V1590">
        <v>0</v>
      </c>
    </row>
    <row r="1591" spans="1:22">
      <c r="A1591" t="s">
        <v>1612</v>
      </c>
      <c r="B1591" s="3">
        <v>46195</v>
      </c>
      <c r="C1591" t="s">
        <v>78</v>
      </c>
      <c r="D1591" t="s">
        <v>89</v>
      </c>
      <c r="E1591" t="s">
        <v>16</v>
      </c>
      <c r="F1591" t="s">
        <v>35</v>
      </c>
      <c r="G1591" t="s">
        <v>18</v>
      </c>
      <c r="H1591" t="s">
        <v>19</v>
      </c>
      <c r="I1591" t="s">
        <v>20</v>
      </c>
      <c r="J1591">
        <v>200</v>
      </c>
      <c r="S1591">
        <v>6</v>
      </c>
      <c r="T1591">
        <v>0</v>
      </c>
      <c r="U1591">
        <v>0</v>
      </c>
      <c r="V1591">
        <v>0</v>
      </c>
    </row>
    <row r="1592" spans="1:22">
      <c r="A1592" t="s">
        <v>1613</v>
      </c>
      <c r="B1592" s="3">
        <v>46195</v>
      </c>
      <c r="C1592" t="s">
        <v>78</v>
      </c>
      <c r="D1592" t="s">
        <v>81</v>
      </c>
      <c r="E1592" t="s">
        <v>16</v>
      </c>
      <c r="F1592" t="s">
        <v>17</v>
      </c>
      <c r="G1592" t="s">
        <v>18</v>
      </c>
      <c r="H1592" t="s">
        <v>19</v>
      </c>
      <c r="I1592" t="s">
        <v>20</v>
      </c>
      <c r="J1592">
        <v>200</v>
      </c>
      <c r="S1592">
        <v>20</v>
      </c>
      <c r="T1592">
        <v>0</v>
      </c>
      <c r="U1592">
        <v>1</v>
      </c>
      <c r="V1592">
        <v>0</v>
      </c>
    </row>
    <row r="1593" spans="1:22">
      <c r="A1593" t="s">
        <v>1614</v>
      </c>
      <c r="B1593" s="3">
        <v>46195</v>
      </c>
      <c r="C1593" t="s">
        <v>78</v>
      </c>
      <c r="D1593" t="s">
        <v>161</v>
      </c>
      <c r="E1593" t="s">
        <v>16</v>
      </c>
      <c r="F1593" t="s">
        <v>17</v>
      </c>
      <c r="G1593" t="s">
        <v>32</v>
      </c>
      <c r="H1593" t="s">
        <v>19</v>
      </c>
      <c r="I1593" t="s">
        <v>20</v>
      </c>
      <c r="J1593">
        <v>300</v>
      </c>
      <c r="S1593">
        <v>36</v>
      </c>
      <c r="T1593">
        <v>0</v>
      </c>
      <c r="U1593">
        <v>1</v>
      </c>
      <c r="V1593">
        <v>0</v>
      </c>
    </row>
    <row r="1594" spans="1:22">
      <c r="A1594" t="s">
        <v>1615</v>
      </c>
      <c r="B1594" s="3">
        <v>46195</v>
      </c>
      <c r="C1594" t="s">
        <v>78</v>
      </c>
      <c r="D1594" t="s">
        <v>161</v>
      </c>
      <c r="E1594" t="s">
        <v>16</v>
      </c>
      <c r="F1594" t="s">
        <v>17</v>
      </c>
      <c r="G1594" t="s">
        <v>23</v>
      </c>
      <c r="H1594" t="s">
        <v>19</v>
      </c>
      <c r="I1594" t="s">
        <v>20</v>
      </c>
      <c r="J1594">
        <v>120</v>
      </c>
      <c r="S1594">
        <v>9.6</v>
      </c>
      <c r="T1594">
        <v>0</v>
      </c>
      <c r="U1594">
        <v>1</v>
      </c>
      <c r="V1594">
        <v>0</v>
      </c>
    </row>
    <row r="1595" spans="1:22">
      <c r="A1595" t="s">
        <v>1616</v>
      </c>
      <c r="B1595" s="3">
        <v>46195</v>
      </c>
      <c r="C1595" t="s">
        <v>78</v>
      </c>
      <c r="D1595" t="s">
        <v>102</v>
      </c>
      <c r="E1595" t="s">
        <v>16</v>
      </c>
      <c r="F1595" t="s">
        <v>17</v>
      </c>
      <c r="G1595" t="s">
        <v>32</v>
      </c>
      <c r="H1595" t="s">
        <v>19</v>
      </c>
      <c r="I1595" t="s">
        <v>20</v>
      </c>
      <c r="J1595">
        <v>300</v>
      </c>
      <c r="S1595">
        <v>36</v>
      </c>
      <c r="T1595">
        <v>0</v>
      </c>
      <c r="U1595">
        <v>1</v>
      </c>
      <c r="V1595">
        <v>0</v>
      </c>
    </row>
    <row r="1596" spans="1:22">
      <c r="A1596" t="s">
        <v>1617</v>
      </c>
      <c r="B1596" s="3">
        <v>46195</v>
      </c>
      <c r="C1596" t="s">
        <v>105</v>
      </c>
      <c r="D1596" t="s">
        <v>265</v>
      </c>
      <c r="E1596" t="s">
        <v>16</v>
      </c>
      <c r="F1596" t="s">
        <v>17</v>
      </c>
      <c r="G1596" t="s">
        <v>32</v>
      </c>
      <c r="H1596" t="s">
        <v>19</v>
      </c>
      <c r="I1596" t="s">
        <v>53</v>
      </c>
      <c r="J1596">
        <v>225</v>
      </c>
      <c r="L1596" t="s">
        <v>29</v>
      </c>
      <c r="S1596">
        <v>0</v>
      </c>
      <c r="T1596">
        <v>0</v>
      </c>
      <c r="U1596">
        <v>0</v>
      </c>
      <c r="V1596">
        <v>0</v>
      </c>
    </row>
    <row r="1597" spans="1:22">
      <c r="A1597" t="s">
        <v>1618</v>
      </c>
      <c r="B1597" s="3">
        <v>46195</v>
      </c>
      <c r="C1597" t="s">
        <v>105</v>
      </c>
      <c r="D1597" t="s">
        <v>120</v>
      </c>
      <c r="E1597" t="s">
        <v>16</v>
      </c>
      <c r="F1597" t="s">
        <v>35</v>
      </c>
      <c r="G1597" t="s">
        <v>23</v>
      </c>
      <c r="H1597" t="s">
        <v>19</v>
      </c>
      <c r="I1597" t="s">
        <v>20</v>
      </c>
      <c r="J1597">
        <v>120</v>
      </c>
      <c r="S1597">
        <v>3.6</v>
      </c>
      <c r="T1597">
        <v>0</v>
      </c>
      <c r="U1597">
        <v>0</v>
      </c>
      <c r="V1597">
        <v>0</v>
      </c>
    </row>
    <row r="1598" spans="1:22">
      <c r="A1598" t="s">
        <v>1619</v>
      </c>
      <c r="B1598" s="3">
        <v>46195</v>
      </c>
      <c r="C1598" t="s">
        <v>105</v>
      </c>
      <c r="D1598" t="s">
        <v>182</v>
      </c>
      <c r="E1598" t="s">
        <v>16</v>
      </c>
      <c r="F1598" t="s">
        <v>35</v>
      </c>
      <c r="G1598" t="s">
        <v>18</v>
      </c>
      <c r="H1598" t="s">
        <v>19</v>
      </c>
      <c r="I1598" t="s">
        <v>20</v>
      </c>
      <c r="J1598">
        <v>200</v>
      </c>
      <c r="S1598">
        <v>6</v>
      </c>
      <c r="T1598">
        <v>0</v>
      </c>
      <c r="U1598">
        <v>0</v>
      </c>
      <c r="V1598">
        <v>0</v>
      </c>
    </row>
    <row r="1599" spans="1:22">
      <c r="A1599" t="s">
        <v>1620</v>
      </c>
      <c r="B1599" s="3">
        <v>46195</v>
      </c>
      <c r="C1599" t="s">
        <v>105</v>
      </c>
      <c r="D1599" t="s">
        <v>187</v>
      </c>
      <c r="E1599" t="s">
        <v>16</v>
      </c>
      <c r="F1599" t="s">
        <v>17</v>
      </c>
      <c r="G1599" t="s">
        <v>23</v>
      </c>
      <c r="H1599" t="s">
        <v>19</v>
      </c>
      <c r="I1599" t="s">
        <v>20</v>
      </c>
      <c r="J1599">
        <v>120</v>
      </c>
      <c r="S1599">
        <v>9.6</v>
      </c>
      <c r="T1599">
        <v>0</v>
      </c>
      <c r="U1599">
        <v>1</v>
      </c>
      <c r="V1599">
        <v>0</v>
      </c>
    </row>
    <row r="1600" spans="1:22">
      <c r="A1600" t="s">
        <v>1621</v>
      </c>
      <c r="B1600" s="3">
        <v>46195</v>
      </c>
      <c r="C1600" t="s">
        <v>105</v>
      </c>
      <c r="D1600" t="s">
        <v>265</v>
      </c>
      <c r="E1600" t="s">
        <v>16</v>
      </c>
      <c r="F1600" t="s">
        <v>17</v>
      </c>
      <c r="G1600" t="s">
        <v>23</v>
      </c>
      <c r="H1600" t="s">
        <v>19</v>
      </c>
      <c r="I1600" t="s">
        <v>20</v>
      </c>
      <c r="J1600">
        <v>120</v>
      </c>
      <c r="S1600">
        <v>9.6</v>
      </c>
      <c r="T1600">
        <v>0</v>
      </c>
      <c r="U1600">
        <v>1</v>
      </c>
      <c r="V1600">
        <v>0</v>
      </c>
    </row>
    <row r="1601" spans="1:22">
      <c r="A1601" t="s">
        <v>1622</v>
      </c>
      <c r="B1601" s="3">
        <v>46195</v>
      </c>
      <c r="C1601" t="s">
        <v>105</v>
      </c>
      <c r="D1601" t="s">
        <v>191</v>
      </c>
      <c r="E1601" t="s">
        <v>16</v>
      </c>
      <c r="F1601" t="s">
        <v>17</v>
      </c>
      <c r="G1601" t="s">
        <v>18</v>
      </c>
      <c r="H1601" t="s">
        <v>19</v>
      </c>
      <c r="I1601" t="s">
        <v>20</v>
      </c>
      <c r="J1601">
        <v>200</v>
      </c>
      <c r="S1601">
        <v>20</v>
      </c>
      <c r="T1601">
        <v>0</v>
      </c>
      <c r="U1601">
        <v>1</v>
      </c>
      <c r="V1601">
        <v>0</v>
      </c>
    </row>
    <row r="1602" spans="1:22">
      <c r="A1602" t="s">
        <v>1623</v>
      </c>
      <c r="B1602" s="3">
        <v>46195</v>
      </c>
      <c r="C1602" t="s">
        <v>105</v>
      </c>
      <c r="D1602" t="s">
        <v>110</v>
      </c>
      <c r="E1602" t="s">
        <v>16</v>
      </c>
      <c r="F1602" t="s">
        <v>17</v>
      </c>
      <c r="G1602" t="s">
        <v>18</v>
      </c>
      <c r="H1602" t="s">
        <v>19</v>
      </c>
      <c r="I1602" t="s">
        <v>20</v>
      </c>
      <c r="J1602">
        <v>170</v>
      </c>
      <c r="L1602" t="s">
        <v>29</v>
      </c>
      <c r="S1602">
        <v>17</v>
      </c>
      <c r="T1602">
        <v>0</v>
      </c>
      <c r="U1602">
        <v>1</v>
      </c>
      <c r="V1602">
        <v>0</v>
      </c>
    </row>
    <row r="1603" spans="1:22">
      <c r="A1603" t="s">
        <v>1624</v>
      </c>
      <c r="B1603" s="3">
        <v>46195</v>
      </c>
      <c r="C1603" t="s">
        <v>105</v>
      </c>
      <c r="D1603" t="s">
        <v>191</v>
      </c>
      <c r="E1603" t="s">
        <v>16</v>
      </c>
      <c r="F1603" t="s">
        <v>35</v>
      </c>
      <c r="G1603" t="s">
        <v>18</v>
      </c>
      <c r="H1603" t="s">
        <v>19</v>
      </c>
      <c r="I1603" t="s">
        <v>20</v>
      </c>
      <c r="J1603">
        <v>150</v>
      </c>
      <c r="L1603" t="s">
        <v>29</v>
      </c>
      <c r="S1603">
        <v>4.5</v>
      </c>
      <c r="T1603">
        <v>0</v>
      </c>
      <c r="U1603">
        <v>0</v>
      </c>
      <c r="V1603">
        <v>0</v>
      </c>
    </row>
    <row r="1604" spans="1:22">
      <c r="A1604" t="s">
        <v>1625</v>
      </c>
      <c r="B1604" s="3">
        <v>46195</v>
      </c>
      <c r="C1604" t="s">
        <v>105</v>
      </c>
      <c r="D1604" t="s">
        <v>112</v>
      </c>
      <c r="E1604" t="s">
        <v>16</v>
      </c>
      <c r="F1604" t="s">
        <v>35</v>
      </c>
      <c r="G1604" t="s">
        <v>32</v>
      </c>
      <c r="H1604" t="s">
        <v>19</v>
      </c>
      <c r="I1604" t="s">
        <v>20</v>
      </c>
      <c r="J1604">
        <v>300</v>
      </c>
      <c r="S1604">
        <v>9</v>
      </c>
      <c r="T1604">
        <v>0</v>
      </c>
      <c r="U1604">
        <v>0</v>
      </c>
      <c r="V1604">
        <v>0</v>
      </c>
    </row>
    <row r="1605" spans="1:22">
      <c r="A1605" t="s">
        <v>1626</v>
      </c>
      <c r="B1605" s="3">
        <v>46195</v>
      </c>
      <c r="C1605" t="s">
        <v>105</v>
      </c>
      <c r="D1605" t="s">
        <v>187</v>
      </c>
      <c r="E1605" t="s">
        <v>16</v>
      </c>
      <c r="F1605" t="s">
        <v>17</v>
      </c>
      <c r="G1605" t="s">
        <v>32</v>
      </c>
      <c r="H1605" t="s">
        <v>19</v>
      </c>
      <c r="I1605" t="s">
        <v>20</v>
      </c>
      <c r="J1605">
        <v>300</v>
      </c>
      <c r="S1605">
        <v>36</v>
      </c>
      <c r="T1605">
        <v>0</v>
      </c>
      <c r="U1605">
        <v>1</v>
      </c>
      <c r="V1605">
        <v>0</v>
      </c>
    </row>
    <row r="1606" spans="1:22">
      <c r="A1606" t="s">
        <v>1627</v>
      </c>
      <c r="B1606" s="3">
        <v>46195</v>
      </c>
      <c r="C1606" t="s">
        <v>105</v>
      </c>
      <c r="D1606" t="s">
        <v>120</v>
      </c>
      <c r="E1606" t="s">
        <v>16</v>
      </c>
      <c r="F1606" t="s">
        <v>35</v>
      </c>
      <c r="G1606" t="s">
        <v>18</v>
      </c>
      <c r="H1606" t="s">
        <v>19</v>
      </c>
      <c r="I1606" t="s">
        <v>20</v>
      </c>
      <c r="J1606">
        <v>200</v>
      </c>
      <c r="S1606">
        <v>6</v>
      </c>
      <c r="T1606">
        <v>0</v>
      </c>
      <c r="U1606">
        <v>0</v>
      </c>
      <c r="V1606">
        <v>0</v>
      </c>
    </row>
    <row r="1607" spans="1:22">
      <c r="A1607" t="s">
        <v>1628</v>
      </c>
      <c r="B1607" s="3">
        <v>46195</v>
      </c>
      <c r="C1607" t="s">
        <v>105</v>
      </c>
      <c r="D1607" t="s">
        <v>116</v>
      </c>
      <c r="E1607" t="s">
        <v>16</v>
      </c>
      <c r="F1607" t="s">
        <v>35</v>
      </c>
      <c r="G1607" t="s">
        <v>23</v>
      </c>
      <c r="H1607" t="s">
        <v>19</v>
      </c>
      <c r="I1607" t="s">
        <v>20</v>
      </c>
      <c r="J1607">
        <v>120</v>
      </c>
      <c r="S1607">
        <v>3.6</v>
      </c>
      <c r="T1607">
        <v>0</v>
      </c>
      <c r="U1607">
        <v>0</v>
      </c>
      <c r="V1607">
        <v>0</v>
      </c>
    </row>
    <row r="1608" spans="1:22">
      <c r="A1608" t="s">
        <v>1629</v>
      </c>
      <c r="B1608" s="3">
        <v>46195</v>
      </c>
      <c r="C1608" t="s">
        <v>105</v>
      </c>
      <c r="D1608" t="s">
        <v>194</v>
      </c>
      <c r="E1608" t="s">
        <v>16</v>
      </c>
      <c r="F1608" t="s">
        <v>17</v>
      </c>
      <c r="G1608" t="s">
        <v>23</v>
      </c>
      <c r="H1608" t="s">
        <v>19</v>
      </c>
      <c r="I1608" t="s">
        <v>20</v>
      </c>
      <c r="J1608">
        <v>120</v>
      </c>
      <c r="S1608">
        <v>9.6</v>
      </c>
      <c r="T1608">
        <v>0</v>
      </c>
      <c r="U1608">
        <v>1</v>
      </c>
      <c r="V1608">
        <v>0</v>
      </c>
    </row>
    <row r="1609" spans="1:22">
      <c r="A1609" t="s">
        <v>1630</v>
      </c>
      <c r="B1609" s="3">
        <v>46195</v>
      </c>
      <c r="C1609" t="s">
        <v>105</v>
      </c>
      <c r="D1609" t="s">
        <v>191</v>
      </c>
      <c r="E1609" t="s">
        <v>16</v>
      </c>
      <c r="F1609" t="s">
        <v>17</v>
      </c>
      <c r="G1609" t="s">
        <v>18</v>
      </c>
      <c r="H1609" t="s">
        <v>19</v>
      </c>
      <c r="I1609" t="s">
        <v>20</v>
      </c>
      <c r="J1609">
        <v>200</v>
      </c>
      <c r="S1609">
        <v>20</v>
      </c>
      <c r="T1609">
        <v>0</v>
      </c>
      <c r="U1609">
        <v>1</v>
      </c>
      <c r="V1609">
        <v>0</v>
      </c>
    </row>
    <row r="1610" spans="1:22">
      <c r="A1610" t="s">
        <v>1631</v>
      </c>
      <c r="B1610" s="3">
        <v>46195</v>
      </c>
      <c r="C1610" t="s">
        <v>105</v>
      </c>
      <c r="D1610" t="s">
        <v>110</v>
      </c>
      <c r="E1610" t="s">
        <v>16</v>
      </c>
      <c r="F1610" t="s">
        <v>17</v>
      </c>
      <c r="G1610" t="s">
        <v>18</v>
      </c>
      <c r="H1610" t="s">
        <v>19</v>
      </c>
      <c r="I1610" t="s">
        <v>20</v>
      </c>
      <c r="J1610">
        <v>200</v>
      </c>
      <c r="S1610">
        <v>20</v>
      </c>
      <c r="T1610">
        <v>0</v>
      </c>
      <c r="U1610">
        <v>1</v>
      </c>
      <c r="V1610">
        <v>0</v>
      </c>
    </row>
    <row r="1611" spans="1:22">
      <c r="A1611" t="s">
        <v>1632</v>
      </c>
      <c r="B1611" s="3">
        <v>46195</v>
      </c>
      <c r="C1611" t="s">
        <v>105</v>
      </c>
      <c r="D1611" t="s">
        <v>187</v>
      </c>
      <c r="E1611" t="s">
        <v>16</v>
      </c>
      <c r="F1611" t="s">
        <v>17</v>
      </c>
      <c r="G1611" t="s">
        <v>32</v>
      </c>
      <c r="H1611" t="s">
        <v>19</v>
      </c>
      <c r="I1611" t="s">
        <v>20</v>
      </c>
      <c r="J1611">
        <v>300</v>
      </c>
      <c r="S1611">
        <v>36</v>
      </c>
      <c r="T1611">
        <v>0</v>
      </c>
      <c r="U1611">
        <v>1</v>
      </c>
      <c r="V1611">
        <v>0</v>
      </c>
    </row>
    <row r="1612" spans="1:22">
      <c r="A1612" t="s">
        <v>1633</v>
      </c>
      <c r="B1612" s="3">
        <v>46195</v>
      </c>
      <c r="C1612" t="s">
        <v>105</v>
      </c>
      <c r="D1612" t="s">
        <v>265</v>
      </c>
      <c r="E1612" t="s">
        <v>16</v>
      </c>
      <c r="F1612" t="s">
        <v>35</v>
      </c>
      <c r="G1612" t="s">
        <v>23</v>
      </c>
      <c r="H1612" t="s">
        <v>19</v>
      </c>
      <c r="I1612" t="s">
        <v>20</v>
      </c>
      <c r="J1612">
        <v>120</v>
      </c>
      <c r="S1612">
        <v>3.6</v>
      </c>
      <c r="T1612">
        <v>0</v>
      </c>
      <c r="U1612">
        <v>0</v>
      </c>
      <c r="V1612">
        <v>0</v>
      </c>
    </row>
    <row r="1613" spans="1:22">
      <c r="A1613" t="s">
        <v>1634</v>
      </c>
      <c r="B1613" s="3">
        <v>46195</v>
      </c>
      <c r="C1613" t="s">
        <v>105</v>
      </c>
      <c r="D1613" t="s">
        <v>120</v>
      </c>
      <c r="E1613" t="s">
        <v>16</v>
      </c>
      <c r="F1613" t="s">
        <v>17</v>
      </c>
      <c r="G1613" t="s">
        <v>18</v>
      </c>
      <c r="H1613" t="s">
        <v>19</v>
      </c>
      <c r="I1613" t="s">
        <v>20</v>
      </c>
      <c r="J1613">
        <v>200</v>
      </c>
      <c r="S1613">
        <v>20</v>
      </c>
      <c r="T1613">
        <v>0</v>
      </c>
      <c r="U1613">
        <v>1</v>
      </c>
      <c r="V1613">
        <v>0</v>
      </c>
    </row>
    <row r="1614" spans="1:22">
      <c r="A1614" t="s">
        <v>1635</v>
      </c>
      <c r="B1614" s="3">
        <v>46195</v>
      </c>
      <c r="C1614" t="s">
        <v>105</v>
      </c>
      <c r="D1614" t="s">
        <v>194</v>
      </c>
      <c r="E1614" t="s">
        <v>16</v>
      </c>
      <c r="F1614" t="s">
        <v>17</v>
      </c>
      <c r="G1614" t="s">
        <v>32</v>
      </c>
      <c r="H1614" t="s">
        <v>19</v>
      </c>
      <c r="I1614" t="s">
        <v>20</v>
      </c>
      <c r="J1614">
        <v>300</v>
      </c>
      <c r="S1614">
        <v>36</v>
      </c>
      <c r="T1614">
        <v>0</v>
      </c>
      <c r="U1614">
        <v>1</v>
      </c>
      <c r="V1614">
        <v>0</v>
      </c>
    </row>
    <row r="1615" spans="1:22">
      <c r="A1615" t="s">
        <v>1638</v>
      </c>
      <c r="B1615" s="3">
        <v>46196</v>
      </c>
      <c r="C1615" t="s">
        <v>14</v>
      </c>
      <c r="D1615" t="s">
        <v>28</v>
      </c>
      <c r="E1615" t="s">
        <v>16</v>
      </c>
      <c r="F1615" t="s">
        <v>17</v>
      </c>
      <c r="G1615" t="s">
        <v>23</v>
      </c>
      <c r="H1615" t="s">
        <v>19</v>
      </c>
      <c r="I1615" t="s">
        <v>20</v>
      </c>
      <c r="J1615">
        <v>120</v>
      </c>
      <c r="S1615">
        <v>9.6</v>
      </c>
      <c r="T1615">
        <v>0</v>
      </c>
      <c r="U1615">
        <v>1</v>
      </c>
      <c r="V1615">
        <v>0</v>
      </c>
    </row>
    <row r="1616" spans="1:22">
      <c r="A1616" t="s">
        <v>1640</v>
      </c>
      <c r="B1616" s="3">
        <v>46196</v>
      </c>
      <c r="C1616" t="s">
        <v>14</v>
      </c>
      <c r="D1616" t="s">
        <v>137</v>
      </c>
      <c r="E1616" t="s">
        <v>16</v>
      </c>
      <c r="F1616" t="s">
        <v>35</v>
      </c>
      <c r="G1616" t="s">
        <v>18</v>
      </c>
      <c r="H1616" t="s">
        <v>19</v>
      </c>
      <c r="I1616" t="s">
        <v>20</v>
      </c>
      <c r="J1616">
        <v>200</v>
      </c>
      <c r="S1616">
        <v>6</v>
      </c>
      <c r="T1616">
        <v>0</v>
      </c>
      <c r="U1616">
        <v>0</v>
      </c>
      <c r="V1616">
        <v>0</v>
      </c>
    </row>
    <row r="1617" spans="1:22">
      <c r="A1617" t="s">
        <v>1641</v>
      </c>
      <c r="B1617" s="3">
        <v>46196</v>
      </c>
      <c r="C1617" t="s">
        <v>14</v>
      </c>
      <c r="D1617" t="s">
        <v>15</v>
      </c>
      <c r="E1617" t="s">
        <v>16</v>
      </c>
      <c r="F1617" t="s">
        <v>35</v>
      </c>
      <c r="G1617" t="s">
        <v>32</v>
      </c>
      <c r="H1617" t="s">
        <v>19</v>
      </c>
      <c r="I1617" t="s">
        <v>20</v>
      </c>
      <c r="J1617">
        <v>300</v>
      </c>
      <c r="S1617">
        <v>9</v>
      </c>
      <c r="T1617">
        <v>0</v>
      </c>
      <c r="U1617">
        <v>0</v>
      </c>
      <c r="V1617">
        <v>0</v>
      </c>
    </row>
    <row r="1618" spans="1:22">
      <c r="A1618" t="s">
        <v>1642</v>
      </c>
      <c r="B1618" s="3">
        <v>46196</v>
      </c>
      <c r="C1618" t="s">
        <v>14</v>
      </c>
      <c r="D1618" t="s">
        <v>15</v>
      </c>
      <c r="E1618" t="s">
        <v>16</v>
      </c>
      <c r="F1618" t="s">
        <v>17</v>
      </c>
      <c r="G1618" t="s">
        <v>23</v>
      </c>
      <c r="H1618" t="s">
        <v>19</v>
      </c>
      <c r="I1618" t="s">
        <v>20</v>
      </c>
      <c r="J1618">
        <v>120</v>
      </c>
      <c r="S1618">
        <v>9.6</v>
      </c>
      <c r="T1618">
        <v>0</v>
      </c>
      <c r="U1618">
        <v>1</v>
      </c>
      <c r="V1618">
        <v>0</v>
      </c>
    </row>
    <row r="1619" spans="1:22">
      <c r="A1619" t="s">
        <v>1643</v>
      </c>
      <c r="B1619" s="3">
        <v>46196</v>
      </c>
      <c r="C1619" t="s">
        <v>14</v>
      </c>
      <c r="D1619" t="s">
        <v>42</v>
      </c>
      <c r="E1619" t="s">
        <v>16</v>
      </c>
      <c r="F1619" t="s">
        <v>17</v>
      </c>
      <c r="G1619" t="s">
        <v>18</v>
      </c>
      <c r="H1619" t="s">
        <v>19</v>
      </c>
      <c r="I1619" t="s">
        <v>20</v>
      </c>
      <c r="J1619">
        <v>200</v>
      </c>
      <c r="S1619">
        <v>20</v>
      </c>
      <c r="T1619">
        <v>0</v>
      </c>
      <c r="U1619">
        <v>1</v>
      </c>
      <c r="V1619">
        <v>0</v>
      </c>
    </row>
    <row r="1620" spans="1:22">
      <c r="A1620" t="s">
        <v>1644</v>
      </c>
      <c r="B1620" s="3">
        <v>46196</v>
      </c>
      <c r="C1620" t="s">
        <v>14</v>
      </c>
      <c r="D1620" t="s">
        <v>26</v>
      </c>
      <c r="E1620" t="s">
        <v>16</v>
      </c>
      <c r="F1620" t="s">
        <v>17</v>
      </c>
      <c r="G1620" t="s">
        <v>32</v>
      </c>
      <c r="H1620" t="s">
        <v>19</v>
      </c>
      <c r="I1620" t="s">
        <v>20</v>
      </c>
      <c r="J1620">
        <v>300</v>
      </c>
      <c r="S1620">
        <v>36</v>
      </c>
      <c r="T1620">
        <v>0</v>
      </c>
      <c r="U1620">
        <v>1</v>
      </c>
      <c r="V1620">
        <v>0</v>
      </c>
    </row>
    <row r="1621" spans="1:22">
      <c r="A1621" t="s">
        <v>1645</v>
      </c>
      <c r="B1621" s="3">
        <v>46196</v>
      </c>
      <c r="C1621" t="s">
        <v>14</v>
      </c>
      <c r="D1621" t="s">
        <v>34</v>
      </c>
      <c r="E1621" t="s">
        <v>16</v>
      </c>
      <c r="F1621" t="s">
        <v>17</v>
      </c>
      <c r="G1621" t="s">
        <v>32</v>
      </c>
      <c r="H1621" t="s">
        <v>19</v>
      </c>
      <c r="I1621" t="s">
        <v>20</v>
      </c>
      <c r="J1621">
        <v>300</v>
      </c>
      <c r="S1621">
        <v>36</v>
      </c>
      <c r="T1621">
        <v>0</v>
      </c>
      <c r="U1621">
        <v>1</v>
      </c>
      <c r="V1621">
        <v>0</v>
      </c>
    </row>
    <row r="1622" spans="1:22">
      <c r="A1622" t="s">
        <v>1646</v>
      </c>
      <c r="B1622" s="3">
        <v>46196</v>
      </c>
      <c r="C1622" t="s">
        <v>14</v>
      </c>
      <c r="D1622" t="s">
        <v>137</v>
      </c>
      <c r="E1622" t="s">
        <v>16</v>
      </c>
      <c r="F1622" t="s">
        <v>17</v>
      </c>
      <c r="G1622" t="s">
        <v>32</v>
      </c>
      <c r="H1622" t="s">
        <v>19</v>
      </c>
      <c r="I1622" t="s">
        <v>20</v>
      </c>
      <c r="J1622">
        <v>300</v>
      </c>
      <c r="S1622">
        <v>36</v>
      </c>
      <c r="T1622">
        <v>0</v>
      </c>
      <c r="U1622">
        <v>1</v>
      </c>
      <c r="V1622">
        <v>0</v>
      </c>
    </row>
    <row r="1623" spans="1:22">
      <c r="A1623" t="s">
        <v>1647</v>
      </c>
      <c r="B1623" s="3">
        <v>46196</v>
      </c>
      <c r="C1623" t="s">
        <v>14</v>
      </c>
      <c r="D1623" t="s">
        <v>210</v>
      </c>
      <c r="E1623" t="s">
        <v>16</v>
      </c>
      <c r="F1623" t="s">
        <v>17</v>
      </c>
      <c r="G1623" t="s">
        <v>32</v>
      </c>
      <c r="H1623" t="s">
        <v>19</v>
      </c>
      <c r="I1623" t="s">
        <v>20</v>
      </c>
      <c r="J1623">
        <v>255</v>
      </c>
      <c r="L1623" t="s">
        <v>29</v>
      </c>
      <c r="S1623">
        <v>30.6</v>
      </c>
      <c r="T1623">
        <v>0</v>
      </c>
      <c r="U1623">
        <v>1</v>
      </c>
      <c r="V1623">
        <v>0</v>
      </c>
    </row>
    <row r="1624" spans="1:22">
      <c r="A1624" t="s">
        <v>1648</v>
      </c>
      <c r="B1624" s="3">
        <v>46196</v>
      </c>
      <c r="C1624" t="s">
        <v>14</v>
      </c>
      <c r="D1624" t="s">
        <v>37</v>
      </c>
      <c r="E1624" t="s">
        <v>16</v>
      </c>
      <c r="F1624" t="s">
        <v>17</v>
      </c>
      <c r="G1624" t="s">
        <v>32</v>
      </c>
      <c r="H1624" t="s">
        <v>19</v>
      </c>
      <c r="I1624" t="s">
        <v>20</v>
      </c>
      <c r="J1624">
        <v>300</v>
      </c>
      <c r="S1624">
        <v>36</v>
      </c>
      <c r="T1624">
        <v>0</v>
      </c>
      <c r="U1624">
        <v>1</v>
      </c>
      <c r="V1624">
        <v>0</v>
      </c>
    </row>
    <row r="1625" spans="1:22">
      <c r="A1625" t="s">
        <v>1649</v>
      </c>
      <c r="B1625" s="3">
        <v>46196</v>
      </c>
      <c r="C1625" t="s">
        <v>14</v>
      </c>
      <c r="D1625" t="s">
        <v>131</v>
      </c>
      <c r="E1625" t="s">
        <v>16</v>
      </c>
      <c r="F1625" t="s">
        <v>17</v>
      </c>
      <c r="G1625" t="s">
        <v>32</v>
      </c>
      <c r="H1625" t="s">
        <v>19</v>
      </c>
      <c r="I1625" t="s">
        <v>20</v>
      </c>
      <c r="J1625">
        <v>300</v>
      </c>
      <c r="S1625">
        <v>36</v>
      </c>
      <c r="T1625">
        <v>0</v>
      </c>
      <c r="U1625">
        <v>1</v>
      </c>
      <c r="V1625">
        <v>0</v>
      </c>
    </row>
    <row r="1626" spans="1:22">
      <c r="A1626" t="s">
        <v>1650</v>
      </c>
      <c r="B1626" s="3">
        <v>46196</v>
      </c>
      <c r="C1626" t="s">
        <v>14</v>
      </c>
      <c r="D1626" t="s">
        <v>137</v>
      </c>
      <c r="E1626" t="s">
        <v>16</v>
      </c>
      <c r="F1626" t="s">
        <v>17</v>
      </c>
      <c r="G1626" t="s">
        <v>23</v>
      </c>
      <c r="H1626" t="s">
        <v>19</v>
      </c>
      <c r="I1626" t="s">
        <v>20</v>
      </c>
      <c r="J1626">
        <v>90</v>
      </c>
      <c r="L1626" t="s">
        <v>29</v>
      </c>
      <c r="S1626">
        <v>7.2</v>
      </c>
      <c r="T1626">
        <v>0</v>
      </c>
      <c r="U1626">
        <v>1</v>
      </c>
      <c r="V1626">
        <v>0</v>
      </c>
    </row>
    <row r="1627" spans="1:22">
      <c r="A1627" t="s">
        <v>1651</v>
      </c>
      <c r="B1627" s="3">
        <v>46196</v>
      </c>
      <c r="C1627" t="s">
        <v>14</v>
      </c>
      <c r="D1627" t="s">
        <v>22</v>
      </c>
      <c r="E1627" t="s">
        <v>16</v>
      </c>
      <c r="F1627" t="s">
        <v>17</v>
      </c>
      <c r="G1627" t="s">
        <v>32</v>
      </c>
      <c r="H1627" t="s">
        <v>19</v>
      </c>
      <c r="I1627" t="s">
        <v>20</v>
      </c>
      <c r="J1627">
        <v>300</v>
      </c>
      <c r="S1627">
        <v>36</v>
      </c>
      <c r="T1627">
        <v>0</v>
      </c>
      <c r="U1627">
        <v>1</v>
      </c>
      <c r="V1627">
        <v>0</v>
      </c>
    </row>
    <row r="1628" spans="1:22">
      <c r="A1628" t="s">
        <v>1652</v>
      </c>
      <c r="B1628" s="3">
        <v>46196</v>
      </c>
      <c r="C1628" t="s">
        <v>14</v>
      </c>
      <c r="D1628" t="s">
        <v>34</v>
      </c>
      <c r="E1628" t="s">
        <v>16</v>
      </c>
      <c r="F1628" t="s">
        <v>17</v>
      </c>
      <c r="G1628" t="s">
        <v>23</v>
      </c>
      <c r="H1628" t="s">
        <v>19</v>
      </c>
      <c r="I1628" t="s">
        <v>20</v>
      </c>
      <c r="J1628">
        <v>120</v>
      </c>
      <c r="S1628">
        <v>9.6</v>
      </c>
      <c r="T1628">
        <v>0</v>
      </c>
      <c r="U1628">
        <v>1</v>
      </c>
      <c r="V1628">
        <v>0</v>
      </c>
    </row>
    <row r="1629" spans="1:22">
      <c r="A1629" t="s">
        <v>1653</v>
      </c>
      <c r="B1629" s="3">
        <v>46196</v>
      </c>
      <c r="C1629" t="s">
        <v>47</v>
      </c>
      <c r="D1629" t="s">
        <v>59</v>
      </c>
      <c r="E1629" t="s">
        <v>16</v>
      </c>
      <c r="F1629" t="s">
        <v>17</v>
      </c>
      <c r="G1629" t="s">
        <v>23</v>
      </c>
      <c r="H1629" t="s">
        <v>19</v>
      </c>
      <c r="I1629" t="s">
        <v>20</v>
      </c>
      <c r="J1629">
        <v>120</v>
      </c>
      <c r="S1629">
        <v>9.6</v>
      </c>
      <c r="T1629">
        <v>0</v>
      </c>
      <c r="U1629">
        <v>1</v>
      </c>
      <c r="V1629">
        <v>0</v>
      </c>
    </row>
    <row r="1630" spans="1:22">
      <c r="A1630" t="s">
        <v>1654</v>
      </c>
      <c r="B1630" s="3">
        <v>46196</v>
      </c>
      <c r="C1630" t="s">
        <v>47</v>
      </c>
      <c r="D1630" t="s">
        <v>66</v>
      </c>
      <c r="E1630" t="s">
        <v>16</v>
      </c>
      <c r="F1630" t="s">
        <v>35</v>
      </c>
      <c r="G1630" t="s">
        <v>18</v>
      </c>
      <c r="H1630" t="s">
        <v>19</v>
      </c>
      <c r="I1630" t="s">
        <v>20</v>
      </c>
      <c r="J1630">
        <v>200</v>
      </c>
      <c r="S1630">
        <v>6</v>
      </c>
      <c r="T1630">
        <v>0</v>
      </c>
      <c r="U1630">
        <v>0</v>
      </c>
      <c r="V1630">
        <v>0</v>
      </c>
    </row>
    <row r="1631" spans="1:22">
      <c r="A1631" t="s">
        <v>1655</v>
      </c>
      <c r="B1631" s="3">
        <v>46196</v>
      </c>
      <c r="C1631" t="s">
        <v>47</v>
      </c>
      <c r="D1631" t="s">
        <v>48</v>
      </c>
      <c r="E1631" t="s">
        <v>16</v>
      </c>
      <c r="F1631" t="s">
        <v>17</v>
      </c>
      <c r="G1631" t="s">
        <v>18</v>
      </c>
      <c r="H1631" t="s">
        <v>19</v>
      </c>
      <c r="I1631" t="s">
        <v>20</v>
      </c>
      <c r="J1631">
        <v>150</v>
      </c>
      <c r="L1631" t="s">
        <v>29</v>
      </c>
      <c r="S1631">
        <v>15</v>
      </c>
      <c r="T1631">
        <v>0</v>
      </c>
      <c r="U1631">
        <v>1</v>
      </c>
      <c r="V1631">
        <v>0</v>
      </c>
    </row>
    <row r="1632" spans="1:22">
      <c r="A1632" t="s">
        <v>1656</v>
      </c>
      <c r="B1632" s="3">
        <v>46196</v>
      </c>
      <c r="C1632" t="s">
        <v>47</v>
      </c>
      <c r="D1632" t="s">
        <v>48</v>
      </c>
      <c r="E1632" t="s">
        <v>16</v>
      </c>
      <c r="F1632" t="s">
        <v>17</v>
      </c>
      <c r="G1632" t="s">
        <v>23</v>
      </c>
      <c r="H1632" t="s">
        <v>19</v>
      </c>
      <c r="I1632" t="s">
        <v>20</v>
      </c>
      <c r="J1632">
        <v>120</v>
      </c>
      <c r="S1632">
        <v>9.6</v>
      </c>
      <c r="T1632">
        <v>0</v>
      </c>
      <c r="U1632">
        <v>1</v>
      </c>
      <c r="V1632">
        <v>0</v>
      </c>
    </row>
    <row r="1633" spans="1:22">
      <c r="A1633" t="s">
        <v>1657</v>
      </c>
      <c r="B1633" s="3">
        <v>46196</v>
      </c>
      <c r="C1633" t="s">
        <v>47</v>
      </c>
      <c r="D1633" t="s">
        <v>71</v>
      </c>
      <c r="E1633" t="s">
        <v>16</v>
      </c>
      <c r="F1633" t="s">
        <v>17</v>
      </c>
      <c r="G1633" t="s">
        <v>23</v>
      </c>
      <c r="H1633" t="s">
        <v>19</v>
      </c>
      <c r="I1633" t="s">
        <v>20</v>
      </c>
      <c r="J1633">
        <v>90</v>
      </c>
      <c r="L1633" t="s">
        <v>29</v>
      </c>
      <c r="S1633">
        <v>7.2</v>
      </c>
      <c r="T1633">
        <v>0</v>
      </c>
      <c r="U1633">
        <v>1</v>
      </c>
      <c r="V1633">
        <v>0</v>
      </c>
    </row>
    <row r="1634" spans="1:22">
      <c r="A1634" t="s">
        <v>1658</v>
      </c>
      <c r="B1634" s="3">
        <v>46196</v>
      </c>
      <c r="C1634" t="s">
        <v>47</v>
      </c>
      <c r="D1634" t="s">
        <v>62</v>
      </c>
      <c r="E1634" t="s">
        <v>16</v>
      </c>
      <c r="F1634" t="s">
        <v>35</v>
      </c>
      <c r="G1634" t="s">
        <v>32</v>
      </c>
      <c r="H1634" t="s">
        <v>19</v>
      </c>
      <c r="I1634" t="s">
        <v>74</v>
      </c>
      <c r="J1634">
        <v>300</v>
      </c>
      <c r="S1634">
        <v>0</v>
      </c>
      <c r="T1634">
        <v>0</v>
      </c>
      <c r="U1634">
        <v>0</v>
      </c>
      <c r="V1634">
        <v>0</v>
      </c>
    </row>
    <row r="1635" spans="1:22">
      <c r="A1635" t="s">
        <v>1659</v>
      </c>
      <c r="B1635" s="3">
        <v>46196</v>
      </c>
      <c r="C1635" t="s">
        <v>47</v>
      </c>
      <c r="D1635" t="s">
        <v>59</v>
      </c>
      <c r="E1635" t="s">
        <v>16</v>
      </c>
      <c r="F1635" t="s">
        <v>17</v>
      </c>
      <c r="G1635" t="s">
        <v>23</v>
      </c>
      <c r="H1635" t="s">
        <v>19</v>
      </c>
      <c r="I1635" t="s">
        <v>20</v>
      </c>
      <c r="J1635">
        <v>120</v>
      </c>
      <c r="S1635">
        <v>9.6</v>
      </c>
      <c r="T1635">
        <v>0</v>
      </c>
      <c r="U1635">
        <v>1</v>
      </c>
      <c r="V1635">
        <v>0</v>
      </c>
    </row>
    <row r="1636" spans="1:22">
      <c r="A1636" t="s">
        <v>1660</v>
      </c>
      <c r="B1636" s="3">
        <v>46196</v>
      </c>
      <c r="C1636" t="s">
        <v>47</v>
      </c>
      <c r="D1636" t="s">
        <v>148</v>
      </c>
      <c r="E1636" t="s">
        <v>16</v>
      </c>
      <c r="F1636" t="s">
        <v>17</v>
      </c>
      <c r="G1636" t="s">
        <v>18</v>
      </c>
      <c r="H1636" t="s">
        <v>19</v>
      </c>
      <c r="I1636" t="s">
        <v>20</v>
      </c>
      <c r="J1636">
        <v>200</v>
      </c>
      <c r="S1636">
        <v>20</v>
      </c>
      <c r="T1636">
        <v>0</v>
      </c>
      <c r="U1636">
        <v>1</v>
      </c>
      <c r="V1636">
        <v>0</v>
      </c>
    </row>
    <row r="1637" spans="1:22">
      <c r="A1637" t="s">
        <v>1661</v>
      </c>
      <c r="B1637" s="3">
        <v>46196</v>
      </c>
      <c r="C1637" t="s">
        <v>47</v>
      </c>
      <c r="D1637" t="s">
        <v>152</v>
      </c>
      <c r="E1637" t="s">
        <v>16</v>
      </c>
      <c r="F1637" t="s">
        <v>17</v>
      </c>
      <c r="G1637" t="s">
        <v>18</v>
      </c>
      <c r="H1637" t="s">
        <v>19</v>
      </c>
      <c r="I1637" t="s">
        <v>20</v>
      </c>
      <c r="J1637">
        <v>200</v>
      </c>
      <c r="S1637">
        <v>20</v>
      </c>
      <c r="T1637">
        <v>0</v>
      </c>
      <c r="U1637">
        <v>1</v>
      </c>
      <c r="V1637">
        <v>0</v>
      </c>
    </row>
    <row r="1638" spans="1:22">
      <c r="A1638" t="s">
        <v>1662</v>
      </c>
      <c r="B1638" s="3">
        <v>46196</v>
      </c>
      <c r="C1638" t="s">
        <v>47</v>
      </c>
      <c r="D1638" t="s">
        <v>152</v>
      </c>
      <c r="E1638" t="s">
        <v>16</v>
      </c>
      <c r="F1638" t="s">
        <v>17</v>
      </c>
      <c r="G1638" t="s">
        <v>32</v>
      </c>
      <c r="H1638" t="s">
        <v>19</v>
      </c>
      <c r="I1638" t="s">
        <v>53</v>
      </c>
      <c r="J1638">
        <v>225</v>
      </c>
      <c r="L1638" t="s">
        <v>29</v>
      </c>
      <c r="S1638">
        <v>0</v>
      </c>
      <c r="T1638">
        <v>0</v>
      </c>
      <c r="U1638">
        <v>0</v>
      </c>
      <c r="V1638">
        <v>0</v>
      </c>
    </row>
    <row r="1639" spans="1:22">
      <c r="A1639" t="s">
        <v>1663</v>
      </c>
      <c r="B1639" s="3">
        <v>46196</v>
      </c>
      <c r="C1639" t="s">
        <v>47</v>
      </c>
      <c r="D1639" t="s">
        <v>52</v>
      </c>
      <c r="E1639" t="s">
        <v>16</v>
      </c>
      <c r="F1639" t="s">
        <v>17</v>
      </c>
      <c r="G1639" t="s">
        <v>18</v>
      </c>
      <c r="H1639" t="s">
        <v>19</v>
      </c>
      <c r="I1639" t="s">
        <v>53</v>
      </c>
      <c r="J1639">
        <v>200</v>
      </c>
      <c r="S1639">
        <v>0</v>
      </c>
      <c r="T1639">
        <v>0</v>
      </c>
      <c r="U1639">
        <v>0</v>
      </c>
      <c r="V1639">
        <v>0</v>
      </c>
    </row>
    <row r="1640" spans="1:22">
      <c r="A1640" t="s">
        <v>1664</v>
      </c>
      <c r="B1640" s="3">
        <v>46196</v>
      </c>
      <c r="C1640" t="s">
        <v>47</v>
      </c>
      <c r="D1640" t="s">
        <v>148</v>
      </c>
      <c r="E1640" t="s">
        <v>16</v>
      </c>
      <c r="F1640" t="s">
        <v>17</v>
      </c>
      <c r="G1640" t="s">
        <v>18</v>
      </c>
      <c r="H1640" t="s">
        <v>19</v>
      </c>
      <c r="I1640" t="s">
        <v>20</v>
      </c>
      <c r="J1640">
        <v>200</v>
      </c>
      <c r="S1640">
        <v>20</v>
      </c>
      <c r="T1640">
        <v>0</v>
      </c>
      <c r="U1640">
        <v>1</v>
      </c>
      <c r="V1640">
        <v>0</v>
      </c>
    </row>
    <row r="1641" spans="1:22">
      <c r="A1641" t="s">
        <v>1665</v>
      </c>
      <c r="B1641" s="3">
        <v>46196</v>
      </c>
      <c r="C1641" t="s">
        <v>47</v>
      </c>
      <c r="D1641" t="s">
        <v>48</v>
      </c>
      <c r="E1641" t="s">
        <v>16</v>
      </c>
      <c r="F1641" t="s">
        <v>17</v>
      </c>
      <c r="G1641" t="s">
        <v>32</v>
      </c>
      <c r="H1641" t="s">
        <v>19</v>
      </c>
      <c r="I1641" t="s">
        <v>20</v>
      </c>
      <c r="J1641">
        <v>225</v>
      </c>
      <c r="L1641" t="s">
        <v>29</v>
      </c>
      <c r="S1641">
        <v>27</v>
      </c>
      <c r="T1641">
        <v>0</v>
      </c>
      <c r="U1641">
        <v>1</v>
      </c>
      <c r="V1641">
        <v>0</v>
      </c>
    </row>
    <row r="1642" spans="1:22">
      <c r="A1642" t="s">
        <v>1666</v>
      </c>
      <c r="B1642" s="3">
        <v>46196</v>
      </c>
      <c r="C1642" t="s">
        <v>47</v>
      </c>
      <c r="D1642" t="s">
        <v>50</v>
      </c>
      <c r="E1642" t="s">
        <v>16</v>
      </c>
      <c r="F1642" t="s">
        <v>17</v>
      </c>
      <c r="G1642" t="s">
        <v>18</v>
      </c>
      <c r="H1642" t="s">
        <v>19</v>
      </c>
      <c r="I1642" t="s">
        <v>20</v>
      </c>
      <c r="J1642">
        <v>200</v>
      </c>
      <c r="S1642">
        <v>20</v>
      </c>
      <c r="T1642">
        <v>0</v>
      </c>
      <c r="U1642">
        <v>1</v>
      </c>
      <c r="V1642">
        <v>0</v>
      </c>
    </row>
    <row r="1643" spans="1:22">
      <c r="A1643" t="s">
        <v>1667</v>
      </c>
      <c r="B1643" s="3">
        <v>46196</v>
      </c>
      <c r="C1643" t="s">
        <v>47</v>
      </c>
      <c r="D1643" t="s">
        <v>48</v>
      </c>
      <c r="E1643" t="s">
        <v>16</v>
      </c>
      <c r="F1643" t="s">
        <v>17</v>
      </c>
      <c r="G1643" t="s">
        <v>23</v>
      </c>
      <c r="H1643" t="s">
        <v>19</v>
      </c>
      <c r="I1643" t="s">
        <v>20</v>
      </c>
      <c r="J1643">
        <v>120</v>
      </c>
      <c r="S1643">
        <v>9.6</v>
      </c>
      <c r="T1643">
        <v>0</v>
      </c>
      <c r="U1643">
        <v>1</v>
      </c>
      <c r="V1643">
        <v>0</v>
      </c>
    </row>
    <row r="1644" spans="1:22">
      <c r="A1644" t="s">
        <v>1668</v>
      </c>
      <c r="B1644" s="3">
        <v>46196</v>
      </c>
      <c r="C1644" t="s">
        <v>47</v>
      </c>
      <c r="D1644" t="s">
        <v>59</v>
      </c>
      <c r="E1644" t="s">
        <v>16</v>
      </c>
      <c r="F1644" t="s">
        <v>35</v>
      </c>
      <c r="G1644" t="s">
        <v>18</v>
      </c>
      <c r="H1644" t="s">
        <v>19</v>
      </c>
      <c r="I1644" t="s">
        <v>20</v>
      </c>
      <c r="J1644">
        <v>200</v>
      </c>
      <c r="S1644">
        <v>6</v>
      </c>
      <c r="T1644">
        <v>0</v>
      </c>
      <c r="U1644">
        <v>0</v>
      </c>
      <c r="V1644">
        <v>0</v>
      </c>
    </row>
    <row r="1645" spans="1:22">
      <c r="A1645" t="s">
        <v>1669</v>
      </c>
      <c r="B1645" s="3">
        <v>46196</v>
      </c>
      <c r="C1645" t="s">
        <v>47</v>
      </c>
      <c r="D1645" t="s">
        <v>50</v>
      </c>
      <c r="E1645" t="s">
        <v>16</v>
      </c>
      <c r="F1645" t="s">
        <v>17</v>
      </c>
      <c r="G1645" t="s">
        <v>18</v>
      </c>
      <c r="H1645" t="s">
        <v>19</v>
      </c>
      <c r="I1645" t="s">
        <v>20</v>
      </c>
      <c r="J1645">
        <v>200</v>
      </c>
      <c r="S1645">
        <v>20</v>
      </c>
      <c r="T1645">
        <v>0</v>
      </c>
      <c r="U1645">
        <v>1</v>
      </c>
      <c r="V1645">
        <v>0</v>
      </c>
    </row>
    <row r="1646" spans="1:22">
      <c r="A1646" t="s">
        <v>1670</v>
      </c>
      <c r="B1646" s="3">
        <v>46196</v>
      </c>
      <c r="C1646" t="s">
        <v>47</v>
      </c>
      <c r="D1646" t="s">
        <v>52</v>
      </c>
      <c r="E1646" t="s">
        <v>16</v>
      </c>
      <c r="F1646" t="s">
        <v>17</v>
      </c>
      <c r="G1646" t="s">
        <v>32</v>
      </c>
      <c r="H1646" t="s">
        <v>19</v>
      </c>
      <c r="I1646" t="s">
        <v>20</v>
      </c>
      <c r="J1646">
        <v>300</v>
      </c>
      <c r="S1646">
        <v>36</v>
      </c>
      <c r="T1646">
        <v>0</v>
      </c>
      <c r="U1646">
        <v>1</v>
      </c>
      <c r="V1646">
        <v>0</v>
      </c>
    </row>
    <row r="1647" spans="1:22">
      <c r="A1647" t="s">
        <v>1671</v>
      </c>
      <c r="B1647" s="3">
        <v>46196</v>
      </c>
      <c r="C1647" t="s">
        <v>47</v>
      </c>
      <c r="D1647" t="s">
        <v>64</v>
      </c>
      <c r="E1647" t="s">
        <v>16</v>
      </c>
      <c r="F1647" t="s">
        <v>17</v>
      </c>
      <c r="G1647" t="s">
        <v>32</v>
      </c>
      <c r="H1647" t="s">
        <v>19</v>
      </c>
      <c r="I1647" t="s">
        <v>20</v>
      </c>
      <c r="J1647">
        <v>300</v>
      </c>
      <c r="S1647">
        <v>36</v>
      </c>
      <c r="T1647">
        <v>0</v>
      </c>
      <c r="U1647">
        <v>1</v>
      </c>
      <c r="V1647">
        <v>0</v>
      </c>
    </row>
    <row r="1648" spans="1:22">
      <c r="A1648" t="s">
        <v>1672</v>
      </c>
      <c r="B1648" s="3">
        <v>46196</v>
      </c>
      <c r="C1648" t="s">
        <v>78</v>
      </c>
      <c r="D1648" t="s">
        <v>85</v>
      </c>
      <c r="E1648" t="s">
        <v>16</v>
      </c>
      <c r="F1648" t="s">
        <v>35</v>
      </c>
      <c r="G1648" t="s">
        <v>32</v>
      </c>
      <c r="H1648" t="s">
        <v>24</v>
      </c>
      <c r="I1648" t="s">
        <v>20</v>
      </c>
      <c r="J1648">
        <v>300</v>
      </c>
      <c r="S1648">
        <v>0</v>
      </c>
      <c r="T1648">
        <v>0</v>
      </c>
      <c r="U1648">
        <v>0</v>
      </c>
      <c r="V1648">
        <v>0</v>
      </c>
    </row>
    <row r="1649" spans="1:22">
      <c r="A1649" t="s">
        <v>1673</v>
      </c>
      <c r="B1649" s="3">
        <v>46196</v>
      </c>
      <c r="C1649" t="s">
        <v>78</v>
      </c>
      <c r="D1649" t="s">
        <v>161</v>
      </c>
      <c r="E1649" t="s">
        <v>16</v>
      </c>
      <c r="F1649" t="s">
        <v>17</v>
      </c>
      <c r="G1649" t="s">
        <v>18</v>
      </c>
      <c r="H1649" t="s">
        <v>19</v>
      </c>
      <c r="I1649" t="s">
        <v>20</v>
      </c>
      <c r="J1649">
        <v>200</v>
      </c>
      <c r="S1649">
        <v>20</v>
      </c>
      <c r="T1649">
        <v>0</v>
      </c>
      <c r="U1649">
        <v>1</v>
      </c>
      <c r="V1649">
        <v>0</v>
      </c>
    </row>
    <row r="1650" spans="1:22">
      <c r="A1650" t="s">
        <v>1674</v>
      </c>
      <c r="B1650" s="3">
        <v>46196</v>
      </c>
      <c r="C1650" t="s">
        <v>78</v>
      </c>
      <c r="D1650" t="s">
        <v>93</v>
      </c>
      <c r="E1650" t="s">
        <v>16</v>
      </c>
      <c r="F1650" t="s">
        <v>17</v>
      </c>
      <c r="G1650" t="s">
        <v>32</v>
      </c>
      <c r="H1650" t="s">
        <v>19</v>
      </c>
      <c r="I1650" t="s">
        <v>20</v>
      </c>
      <c r="J1650">
        <v>300</v>
      </c>
      <c r="S1650">
        <v>36</v>
      </c>
      <c r="T1650">
        <v>0</v>
      </c>
      <c r="U1650">
        <v>1</v>
      </c>
      <c r="V1650">
        <v>0</v>
      </c>
    </row>
    <row r="1651" spans="1:22">
      <c r="A1651" t="s">
        <v>1675</v>
      </c>
      <c r="B1651" s="3">
        <v>46196</v>
      </c>
      <c r="C1651" t="s">
        <v>78</v>
      </c>
      <c r="D1651" t="s">
        <v>97</v>
      </c>
      <c r="E1651" t="s">
        <v>16</v>
      </c>
      <c r="F1651" t="s">
        <v>17</v>
      </c>
      <c r="G1651" t="s">
        <v>23</v>
      </c>
      <c r="H1651" t="s">
        <v>19</v>
      </c>
      <c r="I1651" t="s">
        <v>53</v>
      </c>
      <c r="J1651">
        <v>102</v>
      </c>
      <c r="L1651" t="s">
        <v>29</v>
      </c>
      <c r="S1651">
        <v>0</v>
      </c>
      <c r="T1651">
        <v>0</v>
      </c>
      <c r="U1651">
        <v>0</v>
      </c>
      <c r="V1651">
        <v>0</v>
      </c>
    </row>
    <row r="1652" spans="1:22">
      <c r="A1652" t="s">
        <v>1676</v>
      </c>
      <c r="B1652" s="3">
        <v>46196</v>
      </c>
      <c r="C1652" t="s">
        <v>78</v>
      </c>
      <c r="D1652" t="s">
        <v>83</v>
      </c>
      <c r="E1652" t="s">
        <v>16</v>
      </c>
      <c r="F1652" t="s">
        <v>17</v>
      </c>
      <c r="G1652" t="s">
        <v>32</v>
      </c>
      <c r="H1652" t="s">
        <v>19</v>
      </c>
      <c r="I1652" t="s">
        <v>20</v>
      </c>
      <c r="J1652">
        <v>300</v>
      </c>
      <c r="S1652">
        <v>36</v>
      </c>
      <c r="T1652">
        <v>0</v>
      </c>
      <c r="U1652">
        <v>1</v>
      </c>
      <c r="V1652">
        <v>0</v>
      </c>
    </row>
    <row r="1653" spans="1:22">
      <c r="A1653" t="s">
        <v>1677</v>
      </c>
      <c r="B1653" s="3">
        <v>46196</v>
      </c>
      <c r="C1653" t="s">
        <v>78</v>
      </c>
      <c r="D1653" t="s">
        <v>97</v>
      </c>
      <c r="E1653" t="s">
        <v>16</v>
      </c>
      <c r="F1653" t="s">
        <v>17</v>
      </c>
      <c r="G1653" t="s">
        <v>18</v>
      </c>
      <c r="H1653" t="s">
        <v>19</v>
      </c>
      <c r="I1653" t="s">
        <v>20</v>
      </c>
      <c r="J1653">
        <v>200</v>
      </c>
      <c r="S1653">
        <v>20</v>
      </c>
      <c r="T1653">
        <v>0</v>
      </c>
      <c r="U1653">
        <v>1</v>
      </c>
      <c r="V1653">
        <v>0</v>
      </c>
    </row>
    <row r="1654" spans="1:22">
      <c r="A1654" t="s">
        <v>1678</v>
      </c>
      <c r="B1654" s="3">
        <v>46196</v>
      </c>
      <c r="C1654" t="s">
        <v>78</v>
      </c>
      <c r="D1654" t="s">
        <v>97</v>
      </c>
      <c r="E1654" t="s">
        <v>16</v>
      </c>
      <c r="F1654" t="s">
        <v>35</v>
      </c>
      <c r="G1654" t="s">
        <v>23</v>
      </c>
      <c r="H1654" t="s">
        <v>19</v>
      </c>
      <c r="I1654" t="s">
        <v>53</v>
      </c>
      <c r="J1654">
        <v>120</v>
      </c>
      <c r="S1654">
        <v>0</v>
      </c>
      <c r="T1654">
        <v>0</v>
      </c>
      <c r="U1654">
        <v>0</v>
      </c>
      <c r="V1654">
        <v>0</v>
      </c>
    </row>
    <row r="1655" spans="1:22">
      <c r="A1655" t="s">
        <v>1679</v>
      </c>
      <c r="B1655" s="3">
        <v>46196</v>
      </c>
      <c r="C1655" t="s">
        <v>78</v>
      </c>
      <c r="D1655" t="s">
        <v>102</v>
      </c>
      <c r="E1655" t="s">
        <v>16</v>
      </c>
      <c r="F1655" t="s">
        <v>17</v>
      </c>
      <c r="G1655" t="s">
        <v>32</v>
      </c>
      <c r="H1655" t="s">
        <v>19</v>
      </c>
      <c r="I1655" t="s">
        <v>20</v>
      </c>
      <c r="J1655">
        <v>300</v>
      </c>
      <c r="S1655">
        <v>36</v>
      </c>
      <c r="T1655">
        <v>0</v>
      </c>
      <c r="U1655">
        <v>1</v>
      </c>
      <c r="V1655">
        <v>0</v>
      </c>
    </row>
    <row r="1656" spans="1:22">
      <c r="A1656" t="s">
        <v>1680</v>
      </c>
      <c r="B1656" s="3">
        <v>46196</v>
      </c>
      <c r="C1656" t="s">
        <v>78</v>
      </c>
      <c r="D1656" t="s">
        <v>87</v>
      </c>
      <c r="E1656" t="s">
        <v>16</v>
      </c>
      <c r="F1656" t="s">
        <v>17</v>
      </c>
      <c r="G1656" t="s">
        <v>32</v>
      </c>
      <c r="H1656" t="s">
        <v>19</v>
      </c>
      <c r="I1656" t="s">
        <v>74</v>
      </c>
      <c r="J1656">
        <v>300</v>
      </c>
      <c r="S1656">
        <v>0</v>
      </c>
      <c r="T1656">
        <v>0</v>
      </c>
      <c r="U1656">
        <v>0</v>
      </c>
      <c r="V1656">
        <v>0</v>
      </c>
    </row>
    <row r="1657" spans="1:22">
      <c r="A1657" t="s">
        <v>1681</v>
      </c>
      <c r="B1657" s="3">
        <v>46196</v>
      </c>
      <c r="C1657" t="s">
        <v>78</v>
      </c>
      <c r="D1657" t="s">
        <v>163</v>
      </c>
      <c r="E1657" t="s">
        <v>16</v>
      </c>
      <c r="F1657" t="s">
        <v>17</v>
      </c>
      <c r="G1657" t="s">
        <v>23</v>
      </c>
      <c r="H1657" t="s">
        <v>19</v>
      </c>
      <c r="I1657" t="s">
        <v>20</v>
      </c>
      <c r="J1657">
        <v>120</v>
      </c>
      <c r="S1657">
        <v>9.6</v>
      </c>
      <c r="T1657">
        <v>0</v>
      </c>
      <c r="U1657">
        <v>1</v>
      </c>
      <c r="V1657">
        <v>0</v>
      </c>
    </row>
    <row r="1658" spans="1:22">
      <c r="A1658" t="s">
        <v>1682</v>
      </c>
      <c r="B1658" s="3">
        <v>46196</v>
      </c>
      <c r="C1658" t="s">
        <v>78</v>
      </c>
      <c r="D1658" t="s">
        <v>89</v>
      </c>
      <c r="E1658" t="s">
        <v>16</v>
      </c>
      <c r="F1658" t="s">
        <v>35</v>
      </c>
      <c r="G1658" t="s">
        <v>18</v>
      </c>
      <c r="H1658" t="s">
        <v>19</v>
      </c>
      <c r="I1658" t="s">
        <v>20</v>
      </c>
      <c r="J1658">
        <v>170</v>
      </c>
      <c r="L1658" t="s">
        <v>29</v>
      </c>
      <c r="S1658">
        <v>5.0999999999999996</v>
      </c>
      <c r="T1658">
        <v>0</v>
      </c>
      <c r="U1658">
        <v>0</v>
      </c>
      <c r="V1658">
        <v>0</v>
      </c>
    </row>
    <row r="1659" spans="1:22">
      <c r="A1659" t="s">
        <v>1683</v>
      </c>
      <c r="B1659" s="3">
        <v>46196</v>
      </c>
      <c r="C1659" t="s">
        <v>78</v>
      </c>
      <c r="D1659" t="s">
        <v>83</v>
      </c>
      <c r="E1659" t="s">
        <v>16</v>
      </c>
      <c r="F1659" t="s">
        <v>35</v>
      </c>
      <c r="G1659" t="s">
        <v>18</v>
      </c>
      <c r="H1659" t="s">
        <v>24</v>
      </c>
      <c r="I1659" t="s">
        <v>20</v>
      </c>
      <c r="J1659">
        <v>200</v>
      </c>
      <c r="S1659">
        <v>0</v>
      </c>
      <c r="T1659">
        <v>0</v>
      </c>
      <c r="U1659">
        <v>0</v>
      </c>
      <c r="V1659">
        <v>0</v>
      </c>
    </row>
    <row r="1660" spans="1:22">
      <c r="A1660" t="s">
        <v>1684</v>
      </c>
      <c r="B1660" s="3">
        <v>46196</v>
      </c>
      <c r="C1660" t="s">
        <v>78</v>
      </c>
      <c r="D1660" t="s">
        <v>89</v>
      </c>
      <c r="E1660" t="s">
        <v>16</v>
      </c>
      <c r="F1660" t="s">
        <v>17</v>
      </c>
      <c r="G1660" t="s">
        <v>18</v>
      </c>
      <c r="H1660" t="s">
        <v>19</v>
      </c>
      <c r="I1660" t="s">
        <v>20</v>
      </c>
      <c r="J1660">
        <v>200</v>
      </c>
      <c r="S1660">
        <v>20</v>
      </c>
      <c r="T1660">
        <v>0</v>
      </c>
      <c r="U1660">
        <v>1</v>
      </c>
      <c r="V1660">
        <v>0</v>
      </c>
    </row>
    <row r="1661" spans="1:22">
      <c r="A1661" t="s">
        <v>1685</v>
      </c>
      <c r="B1661" s="3">
        <v>46196</v>
      </c>
      <c r="C1661" t="s">
        <v>105</v>
      </c>
      <c r="D1661" t="s">
        <v>118</v>
      </c>
      <c r="E1661" t="s">
        <v>16</v>
      </c>
      <c r="F1661" t="s">
        <v>17</v>
      </c>
      <c r="G1661" t="s">
        <v>18</v>
      </c>
      <c r="H1661" t="s">
        <v>19</v>
      </c>
      <c r="I1661" t="s">
        <v>74</v>
      </c>
      <c r="J1661">
        <v>200</v>
      </c>
      <c r="S1661">
        <v>0</v>
      </c>
      <c r="T1661">
        <v>0</v>
      </c>
      <c r="U1661">
        <v>0</v>
      </c>
      <c r="V1661">
        <v>0</v>
      </c>
    </row>
    <row r="1662" spans="1:22">
      <c r="A1662" t="s">
        <v>1686</v>
      </c>
      <c r="B1662" s="3">
        <v>46196</v>
      </c>
      <c r="C1662" t="s">
        <v>105</v>
      </c>
      <c r="D1662" t="s">
        <v>120</v>
      </c>
      <c r="E1662" t="s">
        <v>16</v>
      </c>
      <c r="F1662" t="s">
        <v>17</v>
      </c>
      <c r="G1662" t="s">
        <v>32</v>
      </c>
      <c r="H1662" t="s">
        <v>19</v>
      </c>
      <c r="I1662" t="s">
        <v>20</v>
      </c>
      <c r="J1662">
        <v>300</v>
      </c>
      <c r="S1662">
        <v>36</v>
      </c>
      <c r="T1662">
        <v>0</v>
      </c>
      <c r="U1662">
        <v>1</v>
      </c>
      <c r="V1662">
        <v>0</v>
      </c>
    </row>
    <row r="1663" spans="1:22">
      <c r="A1663" t="s">
        <v>1687</v>
      </c>
      <c r="B1663" s="3">
        <v>46196</v>
      </c>
      <c r="C1663" t="s">
        <v>105</v>
      </c>
      <c r="D1663" t="s">
        <v>191</v>
      </c>
      <c r="E1663" t="s">
        <v>16</v>
      </c>
      <c r="F1663" t="s">
        <v>17</v>
      </c>
      <c r="G1663" t="s">
        <v>23</v>
      </c>
      <c r="H1663" t="s">
        <v>19</v>
      </c>
      <c r="I1663" t="s">
        <v>20</v>
      </c>
      <c r="J1663">
        <v>120</v>
      </c>
      <c r="S1663">
        <v>9.6</v>
      </c>
      <c r="T1663">
        <v>0</v>
      </c>
      <c r="U1663">
        <v>1</v>
      </c>
      <c r="V1663">
        <v>0</v>
      </c>
    </row>
    <row r="1664" spans="1:22">
      <c r="A1664" t="s">
        <v>1688</v>
      </c>
      <c r="B1664" s="3">
        <v>46196</v>
      </c>
      <c r="C1664" t="s">
        <v>105</v>
      </c>
      <c r="D1664" t="s">
        <v>118</v>
      </c>
      <c r="E1664" t="s">
        <v>16</v>
      </c>
      <c r="F1664" t="s">
        <v>17</v>
      </c>
      <c r="G1664" t="s">
        <v>32</v>
      </c>
      <c r="H1664" t="s">
        <v>19</v>
      </c>
      <c r="I1664" t="s">
        <v>20</v>
      </c>
      <c r="J1664">
        <v>300</v>
      </c>
      <c r="S1664">
        <v>36</v>
      </c>
      <c r="T1664">
        <v>0</v>
      </c>
      <c r="U1664">
        <v>1</v>
      </c>
      <c r="V1664">
        <v>0</v>
      </c>
    </row>
    <row r="1665" spans="1:22">
      <c r="A1665" t="s">
        <v>1689</v>
      </c>
      <c r="B1665" s="3">
        <v>46196</v>
      </c>
      <c r="C1665" t="s">
        <v>105</v>
      </c>
      <c r="D1665" t="s">
        <v>191</v>
      </c>
      <c r="E1665" t="s">
        <v>16</v>
      </c>
      <c r="F1665" t="s">
        <v>17</v>
      </c>
      <c r="G1665" t="s">
        <v>18</v>
      </c>
      <c r="H1665" t="s">
        <v>19</v>
      </c>
      <c r="I1665" t="s">
        <v>20</v>
      </c>
      <c r="J1665">
        <v>200</v>
      </c>
      <c r="S1665">
        <v>20</v>
      </c>
      <c r="T1665">
        <v>0</v>
      </c>
      <c r="U1665">
        <v>1</v>
      </c>
      <c r="V1665">
        <v>0</v>
      </c>
    </row>
    <row r="1666" spans="1:22">
      <c r="A1666" t="s">
        <v>1690</v>
      </c>
      <c r="B1666" s="3">
        <v>46196</v>
      </c>
      <c r="C1666" t="s">
        <v>105</v>
      </c>
      <c r="D1666" t="s">
        <v>187</v>
      </c>
      <c r="E1666" t="s">
        <v>16</v>
      </c>
      <c r="F1666" t="s">
        <v>17</v>
      </c>
      <c r="G1666" t="s">
        <v>23</v>
      </c>
      <c r="H1666" t="s">
        <v>19</v>
      </c>
      <c r="I1666" t="s">
        <v>20</v>
      </c>
      <c r="J1666">
        <v>120</v>
      </c>
      <c r="S1666">
        <v>9.6</v>
      </c>
      <c r="T1666">
        <v>0</v>
      </c>
      <c r="U1666">
        <v>1</v>
      </c>
      <c r="V1666">
        <v>0</v>
      </c>
    </row>
    <row r="1667" spans="1:22">
      <c r="A1667" t="s">
        <v>1691</v>
      </c>
      <c r="B1667" s="3">
        <v>46196</v>
      </c>
      <c r="C1667" t="s">
        <v>105</v>
      </c>
      <c r="D1667" t="s">
        <v>265</v>
      </c>
      <c r="E1667" t="s">
        <v>16</v>
      </c>
      <c r="F1667" t="s">
        <v>17</v>
      </c>
      <c r="G1667" t="s">
        <v>23</v>
      </c>
      <c r="H1667" t="s">
        <v>19</v>
      </c>
      <c r="I1667" t="s">
        <v>20</v>
      </c>
      <c r="J1667">
        <v>120</v>
      </c>
      <c r="S1667">
        <v>9.6</v>
      </c>
      <c r="T1667">
        <v>0</v>
      </c>
      <c r="U1667">
        <v>1</v>
      </c>
      <c r="V1667">
        <v>0</v>
      </c>
    </row>
    <row r="1668" spans="1:22">
      <c r="A1668" t="s">
        <v>1692</v>
      </c>
      <c r="B1668" s="3">
        <v>46196</v>
      </c>
      <c r="C1668" t="s">
        <v>105</v>
      </c>
      <c r="D1668" t="s">
        <v>265</v>
      </c>
      <c r="E1668" t="s">
        <v>16</v>
      </c>
      <c r="F1668" t="s">
        <v>35</v>
      </c>
      <c r="G1668" t="s">
        <v>32</v>
      </c>
      <c r="H1668" t="s">
        <v>19</v>
      </c>
      <c r="I1668" t="s">
        <v>20</v>
      </c>
      <c r="J1668">
        <v>300</v>
      </c>
      <c r="S1668">
        <v>9</v>
      </c>
      <c r="T1668">
        <v>0</v>
      </c>
      <c r="U1668">
        <v>0</v>
      </c>
      <c r="V1668">
        <v>0</v>
      </c>
    </row>
    <row r="1669" spans="1:22">
      <c r="A1669" t="s">
        <v>1693</v>
      </c>
      <c r="B1669" s="3">
        <v>46196</v>
      </c>
      <c r="C1669" t="s">
        <v>105</v>
      </c>
      <c r="D1669" t="s">
        <v>187</v>
      </c>
      <c r="E1669" t="s">
        <v>16</v>
      </c>
      <c r="F1669" t="s">
        <v>17</v>
      </c>
      <c r="G1669" t="s">
        <v>18</v>
      </c>
      <c r="H1669" t="s">
        <v>19</v>
      </c>
      <c r="I1669" t="s">
        <v>20</v>
      </c>
      <c r="J1669">
        <v>200</v>
      </c>
      <c r="S1669">
        <v>20</v>
      </c>
      <c r="T1669">
        <v>0</v>
      </c>
      <c r="U1669">
        <v>1</v>
      </c>
      <c r="V1669">
        <v>0</v>
      </c>
    </row>
    <row r="1670" spans="1:22">
      <c r="A1670" t="s">
        <v>1694</v>
      </c>
      <c r="B1670" s="3">
        <v>46196</v>
      </c>
      <c r="C1670" t="s">
        <v>105</v>
      </c>
      <c r="D1670" t="s">
        <v>110</v>
      </c>
      <c r="E1670" t="s">
        <v>16</v>
      </c>
      <c r="F1670" t="s">
        <v>35</v>
      </c>
      <c r="G1670" t="s">
        <v>23</v>
      </c>
      <c r="H1670" t="s">
        <v>19</v>
      </c>
      <c r="I1670" t="s">
        <v>20</v>
      </c>
      <c r="J1670">
        <v>120</v>
      </c>
      <c r="S1670">
        <v>3.6</v>
      </c>
      <c r="T1670">
        <v>0</v>
      </c>
      <c r="U1670">
        <v>0</v>
      </c>
      <c r="V1670">
        <v>0</v>
      </c>
    </row>
    <row r="1671" spans="1:22">
      <c r="A1671" t="s">
        <v>1695</v>
      </c>
      <c r="B1671" s="3">
        <v>46196</v>
      </c>
      <c r="C1671" t="s">
        <v>105</v>
      </c>
      <c r="D1671" t="s">
        <v>191</v>
      </c>
      <c r="E1671" t="s">
        <v>16</v>
      </c>
      <c r="F1671" t="s">
        <v>17</v>
      </c>
      <c r="G1671" t="s">
        <v>23</v>
      </c>
      <c r="H1671" t="s">
        <v>19</v>
      </c>
      <c r="I1671" t="s">
        <v>20</v>
      </c>
      <c r="J1671">
        <v>120</v>
      </c>
      <c r="S1671">
        <v>9.6</v>
      </c>
      <c r="T1671">
        <v>0</v>
      </c>
      <c r="U1671">
        <v>1</v>
      </c>
      <c r="V1671">
        <v>0</v>
      </c>
    </row>
    <row r="1672" spans="1:22">
      <c r="A1672" t="s">
        <v>1696</v>
      </c>
      <c r="B1672" s="3">
        <v>46196</v>
      </c>
      <c r="C1672" t="s">
        <v>105</v>
      </c>
      <c r="D1672" t="s">
        <v>108</v>
      </c>
      <c r="E1672" t="s">
        <v>16</v>
      </c>
      <c r="F1672" t="s">
        <v>35</v>
      </c>
      <c r="G1672" t="s">
        <v>32</v>
      </c>
      <c r="H1672" t="s">
        <v>24</v>
      </c>
      <c r="I1672" t="s">
        <v>20</v>
      </c>
      <c r="J1672">
        <v>300</v>
      </c>
      <c r="S1672">
        <v>0</v>
      </c>
      <c r="T1672">
        <v>0</v>
      </c>
      <c r="U1672">
        <v>0</v>
      </c>
      <c r="V1672">
        <v>0</v>
      </c>
    </row>
    <row r="1673" spans="1:22">
      <c r="A1673" t="s">
        <v>1697</v>
      </c>
      <c r="B1673" s="3">
        <v>46196</v>
      </c>
      <c r="C1673" t="s">
        <v>105</v>
      </c>
      <c r="D1673" t="s">
        <v>191</v>
      </c>
      <c r="E1673" t="s">
        <v>16</v>
      </c>
      <c r="F1673" t="s">
        <v>17</v>
      </c>
      <c r="G1673" t="s">
        <v>18</v>
      </c>
      <c r="H1673" t="s">
        <v>19</v>
      </c>
      <c r="I1673" t="s">
        <v>20</v>
      </c>
      <c r="J1673">
        <v>170</v>
      </c>
      <c r="L1673" t="s">
        <v>29</v>
      </c>
      <c r="S1673">
        <v>17</v>
      </c>
      <c r="T1673">
        <v>0</v>
      </c>
      <c r="U1673">
        <v>1</v>
      </c>
      <c r="V1673">
        <v>0</v>
      </c>
    </row>
    <row r="1674" spans="1:22">
      <c r="A1674" t="s">
        <v>1698</v>
      </c>
      <c r="B1674" s="3">
        <v>46196</v>
      </c>
      <c r="C1674" t="s">
        <v>105</v>
      </c>
      <c r="D1674" t="s">
        <v>191</v>
      </c>
      <c r="E1674" t="s">
        <v>16</v>
      </c>
      <c r="F1674" t="s">
        <v>17</v>
      </c>
      <c r="G1674" t="s">
        <v>18</v>
      </c>
      <c r="H1674" t="s">
        <v>19</v>
      </c>
      <c r="I1674" t="s">
        <v>20</v>
      </c>
      <c r="J1674">
        <v>200</v>
      </c>
      <c r="S1674">
        <v>20</v>
      </c>
      <c r="T1674">
        <v>0</v>
      </c>
      <c r="U1674">
        <v>1</v>
      </c>
      <c r="V1674">
        <v>0</v>
      </c>
    </row>
    <row r="1675" spans="1:22">
      <c r="A1675" t="s">
        <v>1699</v>
      </c>
      <c r="B1675" s="3">
        <v>46196</v>
      </c>
      <c r="C1675" t="s">
        <v>105</v>
      </c>
      <c r="D1675" t="s">
        <v>108</v>
      </c>
      <c r="E1675" t="s">
        <v>16</v>
      </c>
      <c r="F1675" t="s">
        <v>35</v>
      </c>
      <c r="G1675" t="s">
        <v>23</v>
      </c>
      <c r="H1675" t="s">
        <v>24</v>
      </c>
      <c r="I1675" t="s">
        <v>20</v>
      </c>
      <c r="J1675">
        <v>120</v>
      </c>
      <c r="S1675">
        <v>0</v>
      </c>
      <c r="T1675">
        <v>0</v>
      </c>
      <c r="U1675">
        <v>0</v>
      </c>
      <c r="V1675">
        <v>0</v>
      </c>
    </row>
    <row r="1676" spans="1:22">
      <c r="A1676" t="s">
        <v>1703</v>
      </c>
      <c r="B1676" s="3">
        <v>46197</v>
      </c>
      <c r="C1676" t="s">
        <v>14</v>
      </c>
      <c r="D1676" t="s">
        <v>131</v>
      </c>
      <c r="E1676" t="s">
        <v>16</v>
      </c>
      <c r="F1676" t="s">
        <v>35</v>
      </c>
      <c r="G1676" t="s">
        <v>23</v>
      </c>
      <c r="H1676" t="s">
        <v>19</v>
      </c>
      <c r="I1676" t="s">
        <v>20</v>
      </c>
      <c r="J1676">
        <v>120</v>
      </c>
      <c r="S1676">
        <v>3.6</v>
      </c>
      <c r="T1676">
        <v>0</v>
      </c>
      <c r="U1676">
        <v>0</v>
      </c>
      <c r="V1676">
        <v>0</v>
      </c>
    </row>
    <row r="1677" spans="1:22">
      <c r="A1677" t="s">
        <v>1705</v>
      </c>
      <c r="B1677" s="3">
        <v>46197</v>
      </c>
      <c r="C1677" t="s">
        <v>14</v>
      </c>
      <c r="D1677" t="s">
        <v>31</v>
      </c>
      <c r="E1677" t="s">
        <v>16</v>
      </c>
      <c r="F1677" t="s">
        <v>17</v>
      </c>
      <c r="G1677" t="s">
        <v>18</v>
      </c>
      <c r="H1677" t="s">
        <v>19</v>
      </c>
      <c r="I1677" t="s">
        <v>20</v>
      </c>
      <c r="J1677">
        <v>170</v>
      </c>
      <c r="L1677" t="s">
        <v>29</v>
      </c>
      <c r="S1677">
        <v>17</v>
      </c>
      <c r="T1677">
        <v>0</v>
      </c>
      <c r="U1677">
        <v>1</v>
      </c>
      <c r="V1677">
        <v>0</v>
      </c>
    </row>
    <row r="1678" spans="1:22">
      <c r="A1678" t="s">
        <v>1706</v>
      </c>
      <c r="B1678" s="3">
        <v>46197</v>
      </c>
      <c r="C1678" t="s">
        <v>14</v>
      </c>
      <c r="D1678" t="s">
        <v>15</v>
      </c>
      <c r="E1678" t="s">
        <v>16</v>
      </c>
      <c r="F1678" t="s">
        <v>17</v>
      </c>
      <c r="G1678" t="s">
        <v>32</v>
      </c>
      <c r="H1678" t="s">
        <v>19</v>
      </c>
      <c r="I1678" t="s">
        <v>20</v>
      </c>
      <c r="J1678">
        <v>300</v>
      </c>
      <c r="S1678">
        <v>36</v>
      </c>
      <c r="T1678">
        <v>0</v>
      </c>
      <c r="U1678">
        <v>1</v>
      </c>
      <c r="V1678">
        <v>0</v>
      </c>
    </row>
    <row r="1679" spans="1:22">
      <c r="A1679" t="s">
        <v>1707</v>
      </c>
      <c r="B1679" s="3">
        <v>46197</v>
      </c>
      <c r="C1679" t="s">
        <v>14</v>
      </c>
      <c r="D1679" t="s">
        <v>131</v>
      </c>
      <c r="E1679" t="s">
        <v>16</v>
      </c>
      <c r="F1679" t="s">
        <v>17</v>
      </c>
      <c r="G1679" t="s">
        <v>18</v>
      </c>
      <c r="H1679" t="s">
        <v>19</v>
      </c>
      <c r="I1679" t="s">
        <v>20</v>
      </c>
      <c r="J1679">
        <v>200</v>
      </c>
      <c r="S1679">
        <v>20</v>
      </c>
      <c r="T1679">
        <v>0</v>
      </c>
      <c r="U1679">
        <v>1</v>
      </c>
      <c r="V1679">
        <v>0</v>
      </c>
    </row>
    <row r="1680" spans="1:22">
      <c r="A1680" t="s">
        <v>1708</v>
      </c>
      <c r="B1680" s="3">
        <v>46197</v>
      </c>
      <c r="C1680" t="s">
        <v>14</v>
      </c>
      <c r="D1680" t="s">
        <v>28</v>
      </c>
      <c r="E1680" t="s">
        <v>16</v>
      </c>
      <c r="F1680" t="s">
        <v>17</v>
      </c>
      <c r="G1680" t="s">
        <v>23</v>
      </c>
      <c r="H1680" t="s">
        <v>19</v>
      </c>
      <c r="I1680" t="s">
        <v>20</v>
      </c>
      <c r="J1680">
        <v>120</v>
      </c>
      <c r="S1680">
        <v>9.6</v>
      </c>
      <c r="T1680">
        <v>0</v>
      </c>
      <c r="U1680">
        <v>1</v>
      </c>
      <c r="V1680">
        <v>0</v>
      </c>
    </row>
    <row r="1681" spans="1:22">
      <c r="A1681" t="s">
        <v>1709</v>
      </c>
      <c r="B1681" s="3">
        <v>46197</v>
      </c>
      <c r="C1681" t="s">
        <v>14</v>
      </c>
      <c r="D1681" t="s">
        <v>137</v>
      </c>
      <c r="E1681" t="s">
        <v>16</v>
      </c>
      <c r="F1681" t="s">
        <v>17</v>
      </c>
      <c r="G1681" t="s">
        <v>23</v>
      </c>
      <c r="H1681" t="s">
        <v>19</v>
      </c>
      <c r="I1681" t="s">
        <v>20</v>
      </c>
      <c r="J1681">
        <v>120</v>
      </c>
      <c r="S1681">
        <v>9.6</v>
      </c>
      <c r="T1681">
        <v>0</v>
      </c>
      <c r="U1681">
        <v>1</v>
      </c>
      <c r="V1681">
        <v>0</v>
      </c>
    </row>
    <row r="1682" spans="1:22">
      <c r="A1682" t="s">
        <v>1710</v>
      </c>
      <c r="B1682" s="3">
        <v>46197</v>
      </c>
      <c r="C1682" t="s">
        <v>14</v>
      </c>
      <c r="D1682" t="s">
        <v>22</v>
      </c>
      <c r="E1682" t="s">
        <v>16</v>
      </c>
      <c r="F1682" t="s">
        <v>17</v>
      </c>
      <c r="G1682" t="s">
        <v>23</v>
      </c>
      <c r="H1682" t="s">
        <v>19</v>
      </c>
      <c r="I1682" t="s">
        <v>20</v>
      </c>
      <c r="J1682">
        <v>120</v>
      </c>
      <c r="S1682">
        <v>9.6</v>
      </c>
      <c r="T1682">
        <v>0</v>
      </c>
      <c r="U1682">
        <v>1</v>
      </c>
      <c r="V1682">
        <v>0</v>
      </c>
    </row>
    <row r="1683" spans="1:22">
      <c r="A1683" t="s">
        <v>1711</v>
      </c>
      <c r="B1683" s="3">
        <v>46197</v>
      </c>
      <c r="C1683" t="s">
        <v>14</v>
      </c>
      <c r="D1683" t="s">
        <v>131</v>
      </c>
      <c r="E1683" t="s">
        <v>16</v>
      </c>
      <c r="F1683" t="s">
        <v>17</v>
      </c>
      <c r="G1683" t="s">
        <v>23</v>
      </c>
      <c r="H1683" t="s">
        <v>24</v>
      </c>
      <c r="I1683" t="s">
        <v>20</v>
      </c>
      <c r="J1683">
        <v>102</v>
      </c>
      <c r="L1683" t="s">
        <v>29</v>
      </c>
      <c r="S1683">
        <v>0</v>
      </c>
      <c r="T1683">
        <v>0</v>
      </c>
      <c r="U1683">
        <v>0</v>
      </c>
      <c r="V1683">
        <v>0</v>
      </c>
    </row>
    <row r="1684" spans="1:22">
      <c r="A1684" t="s">
        <v>1712</v>
      </c>
      <c r="B1684" s="3">
        <v>46197</v>
      </c>
      <c r="C1684" t="s">
        <v>14</v>
      </c>
      <c r="D1684" t="s">
        <v>15</v>
      </c>
      <c r="E1684" t="s">
        <v>16</v>
      </c>
      <c r="F1684" t="s">
        <v>35</v>
      </c>
      <c r="G1684" t="s">
        <v>32</v>
      </c>
      <c r="H1684" t="s">
        <v>19</v>
      </c>
      <c r="I1684" t="s">
        <v>20</v>
      </c>
      <c r="J1684">
        <v>300</v>
      </c>
      <c r="S1684">
        <v>9</v>
      </c>
      <c r="T1684">
        <v>0</v>
      </c>
      <c r="U1684">
        <v>0</v>
      </c>
      <c r="V1684">
        <v>0</v>
      </c>
    </row>
    <row r="1685" spans="1:22">
      <c r="A1685" t="s">
        <v>1713</v>
      </c>
      <c r="B1685" s="3">
        <v>46197</v>
      </c>
      <c r="C1685" t="s">
        <v>14</v>
      </c>
      <c r="D1685" t="s">
        <v>28</v>
      </c>
      <c r="E1685" t="s">
        <v>16</v>
      </c>
      <c r="F1685" t="s">
        <v>17</v>
      </c>
      <c r="G1685" t="s">
        <v>18</v>
      </c>
      <c r="H1685" t="s">
        <v>19</v>
      </c>
      <c r="I1685" t="s">
        <v>53</v>
      </c>
      <c r="J1685">
        <v>200</v>
      </c>
      <c r="S1685">
        <v>0</v>
      </c>
      <c r="T1685">
        <v>0</v>
      </c>
      <c r="U1685">
        <v>0</v>
      </c>
      <c r="V1685">
        <v>0</v>
      </c>
    </row>
    <row r="1686" spans="1:22">
      <c r="A1686" t="s">
        <v>1714</v>
      </c>
      <c r="B1686" s="3">
        <v>46197</v>
      </c>
      <c r="C1686" t="s">
        <v>14</v>
      </c>
      <c r="D1686" t="s">
        <v>26</v>
      </c>
      <c r="E1686" t="s">
        <v>16</v>
      </c>
      <c r="F1686" t="s">
        <v>17</v>
      </c>
      <c r="G1686" t="s">
        <v>18</v>
      </c>
      <c r="H1686" t="s">
        <v>19</v>
      </c>
      <c r="I1686" t="s">
        <v>20</v>
      </c>
      <c r="J1686">
        <v>200</v>
      </c>
      <c r="S1686">
        <v>20</v>
      </c>
      <c r="T1686">
        <v>0</v>
      </c>
      <c r="U1686">
        <v>1</v>
      </c>
      <c r="V1686">
        <v>0</v>
      </c>
    </row>
    <row r="1687" spans="1:22">
      <c r="A1687" t="s">
        <v>1715</v>
      </c>
      <c r="B1687" s="3">
        <v>46197</v>
      </c>
      <c r="C1687" t="s">
        <v>14</v>
      </c>
      <c r="D1687" t="s">
        <v>26</v>
      </c>
      <c r="E1687" t="s">
        <v>16</v>
      </c>
      <c r="F1687" t="s">
        <v>17</v>
      </c>
      <c r="G1687" t="s">
        <v>23</v>
      </c>
      <c r="H1687" t="s">
        <v>24</v>
      </c>
      <c r="I1687" t="s">
        <v>20</v>
      </c>
      <c r="J1687">
        <v>120</v>
      </c>
      <c r="S1687">
        <v>0</v>
      </c>
      <c r="T1687">
        <v>0</v>
      </c>
      <c r="U1687">
        <v>0</v>
      </c>
      <c r="V1687">
        <v>0</v>
      </c>
    </row>
    <row r="1688" spans="1:22">
      <c r="A1688" t="s">
        <v>1716</v>
      </c>
      <c r="B1688" s="3">
        <v>46197</v>
      </c>
      <c r="C1688" t="s">
        <v>14</v>
      </c>
      <c r="D1688" t="s">
        <v>37</v>
      </c>
      <c r="E1688" t="s">
        <v>16</v>
      </c>
      <c r="F1688" t="s">
        <v>35</v>
      </c>
      <c r="G1688" t="s">
        <v>18</v>
      </c>
      <c r="H1688" t="s">
        <v>19</v>
      </c>
      <c r="I1688" t="s">
        <v>20</v>
      </c>
      <c r="J1688">
        <v>200</v>
      </c>
      <c r="S1688">
        <v>6</v>
      </c>
      <c r="T1688">
        <v>0</v>
      </c>
      <c r="U1688">
        <v>0</v>
      </c>
      <c r="V1688">
        <v>0</v>
      </c>
    </row>
    <row r="1689" spans="1:22">
      <c r="A1689" t="s">
        <v>1717</v>
      </c>
      <c r="B1689" s="3">
        <v>46197</v>
      </c>
      <c r="C1689" t="s">
        <v>14</v>
      </c>
      <c r="D1689" t="s">
        <v>22</v>
      </c>
      <c r="E1689" t="s">
        <v>16</v>
      </c>
      <c r="F1689" t="s">
        <v>17</v>
      </c>
      <c r="G1689" t="s">
        <v>23</v>
      </c>
      <c r="H1689" t="s">
        <v>24</v>
      </c>
      <c r="I1689" t="s">
        <v>20</v>
      </c>
      <c r="J1689">
        <v>120</v>
      </c>
      <c r="S1689">
        <v>0</v>
      </c>
      <c r="T1689">
        <v>0</v>
      </c>
      <c r="U1689">
        <v>0</v>
      </c>
      <c r="V1689">
        <v>0</v>
      </c>
    </row>
    <row r="1690" spans="1:22">
      <c r="A1690" t="s">
        <v>1718</v>
      </c>
      <c r="B1690" s="3">
        <v>46197</v>
      </c>
      <c r="C1690" t="s">
        <v>14</v>
      </c>
      <c r="D1690" t="s">
        <v>131</v>
      </c>
      <c r="E1690" t="s">
        <v>16</v>
      </c>
      <c r="F1690" t="s">
        <v>17</v>
      </c>
      <c r="G1690" t="s">
        <v>18</v>
      </c>
      <c r="H1690" t="s">
        <v>19</v>
      </c>
      <c r="I1690" t="s">
        <v>20</v>
      </c>
      <c r="J1690">
        <v>200</v>
      </c>
      <c r="S1690">
        <v>20</v>
      </c>
      <c r="T1690">
        <v>0</v>
      </c>
      <c r="U1690">
        <v>1</v>
      </c>
      <c r="V1690">
        <v>0</v>
      </c>
    </row>
    <row r="1691" spans="1:22">
      <c r="A1691" t="s">
        <v>1719</v>
      </c>
      <c r="B1691" s="3">
        <v>46197</v>
      </c>
      <c r="C1691" t="s">
        <v>14</v>
      </c>
      <c r="D1691" t="s">
        <v>34</v>
      </c>
      <c r="E1691" t="s">
        <v>16</v>
      </c>
      <c r="F1691" t="s">
        <v>17</v>
      </c>
      <c r="G1691" t="s">
        <v>32</v>
      </c>
      <c r="H1691" t="s">
        <v>19</v>
      </c>
      <c r="I1691" t="s">
        <v>20</v>
      </c>
      <c r="J1691">
        <v>225</v>
      </c>
      <c r="L1691" t="s">
        <v>29</v>
      </c>
      <c r="S1691">
        <v>27</v>
      </c>
      <c r="T1691">
        <v>0</v>
      </c>
      <c r="U1691">
        <v>1</v>
      </c>
      <c r="V1691">
        <v>0</v>
      </c>
    </row>
    <row r="1692" spans="1:22">
      <c r="A1692" t="s">
        <v>1720</v>
      </c>
      <c r="B1692" s="3">
        <v>46197</v>
      </c>
      <c r="C1692" t="s">
        <v>47</v>
      </c>
      <c r="D1692" t="s">
        <v>48</v>
      </c>
      <c r="E1692" t="s">
        <v>16</v>
      </c>
      <c r="F1692" t="s">
        <v>17</v>
      </c>
      <c r="G1692" t="s">
        <v>18</v>
      </c>
      <c r="H1692" t="s">
        <v>24</v>
      </c>
      <c r="I1692" t="s">
        <v>20</v>
      </c>
      <c r="J1692">
        <v>200</v>
      </c>
      <c r="S1692">
        <v>0</v>
      </c>
      <c r="T1692">
        <v>0</v>
      </c>
      <c r="U1692">
        <v>0</v>
      </c>
      <c r="V1692">
        <v>0</v>
      </c>
    </row>
    <row r="1693" spans="1:22">
      <c r="A1693" t="s">
        <v>1721</v>
      </c>
      <c r="B1693" s="3">
        <v>46197</v>
      </c>
      <c r="C1693" t="s">
        <v>47</v>
      </c>
      <c r="D1693" t="s">
        <v>64</v>
      </c>
      <c r="E1693" t="s">
        <v>16</v>
      </c>
      <c r="F1693" t="s">
        <v>17</v>
      </c>
      <c r="G1693" t="s">
        <v>32</v>
      </c>
      <c r="H1693" t="s">
        <v>19</v>
      </c>
      <c r="I1693" t="s">
        <v>20</v>
      </c>
      <c r="J1693">
        <v>300</v>
      </c>
      <c r="S1693">
        <v>36</v>
      </c>
      <c r="T1693">
        <v>0</v>
      </c>
      <c r="U1693">
        <v>1</v>
      </c>
      <c r="V1693">
        <v>0</v>
      </c>
    </row>
    <row r="1694" spans="1:22">
      <c r="A1694" t="s">
        <v>1722</v>
      </c>
      <c r="B1694" s="3">
        <v>46197</v>
      </c>
      <c r="C1694" t="s">
        <v>47</v>
      </c>
      <c r="D1694" t="s">
        <v>64</v>
      </c>
      <c r="E1694" t="s">
        <v>16</v>
      </c>
      <c r="F1694" t="s">
        <v>17</v>
      </c>
      <c r="G1694" t="s">
        <v>18</v>
      </c>
      <c r="H1694" t="s">
        <v>24</v>
      </c>
      <c r="I1694" t="s">
        <v>20</v>
      </c>
      <c r="J1694">
        <v>200</v>
      </c>
      <c r="S1694">
        <v>0</v>
      </c>
      <c r="T1694">
        <v>0</v>
      </c>
      <c r="U1694">
        <v>0</v>
      </c>
      <c r="V1694">
        <v>0</v>
      </c>
    </row>
    <row r="1695" spans="1:22">
      <c r="A1695" t="s">
        <v>1723</v>
      </c>
      <c r="B1695" s="3">
        <v>46197</v>
      </c>
      <c r="C1695" t="s">
        <v>47</v>
      </c>
      <c r="D1695" t="s">
        <v>62</v>
      </c>
      <c r="E1695" t="s">
        <v>16</v>
      </c>
      <c r="F1695" t="s">
        <v>17</v>
      </c>
      <c r="G1695" t="s">
        <v>23</v>
      </c>
      <c r="H1695" t="s">
        <v>19</v>
      </c>
      <c r="I1695" t="s">
        <v>20</v>
      </c>
      <c r="J1695">
        <v>90</v>
      </c>
      <c r="L1695" t="s">
        <v>29</v>
      </c>
      <c r="S1695">
        <v>7.2</v>
      </c>
      <c r="T1695">
        <v>0</v>
      </c>
      <c r="U1695">
        <v>1</v>
      </c>
      <c r="V1695">
        <v>0</v>
      </c>
    </row>
    <row r="1696" spans="1:22">
      <c r="A1696" t="s">
        <v>1724</v>
      </c>
      <c r="B1696" s="3">
        <v>46197</v>
      </c>
      <c r="C1696" t="s">
        <v>47</v>
      </c>
      <c r="D1696" t="s">
        <v>66</v>
      </c>
      <c r="E1696" t="s">
        <v>16</v>
      </c>
      <c r="F1696" t="s">
        <v>17</v>
      </c>
      <c r="G1696" t="s">
        <v>32</v>
      </c>
      <c r="H1696" t="s">
        <v>19</v>
      </c>
      <c r="I1696" t="s">
        <v>20</v>
      </c>
      <c r="J1696">
        <v>300</v>
      </c>
      <c r="S1696">
        <v>36</v>
      </c>
      <c r="T1696">
        <v>0</v>
      </c>
      <c r="U1696">
        <v>1</v>
      </c>
      <c r="V1696">
        <v>0</v>
      </c>
    </row>
    <row r="1697" spans="1:22">
      <c r="A1697" t="s">
        <v>1725</v>
      </c>
      <c r="B1697" s="3">
        <v>46197</v>
      </c>
      <c r="C1697" t="s">
        <v>47</v>
      </c>
      <c r="D1697" t="s">
        <v>55</v>
      </c>
      <c r="E1697" t="s">
        <v>16</v>
      </c>
      <c r="F1697" t="s">
        <v>17</v>
      </c>
      <c r="G1697" t="s">
        <v>23</v>
      </c>
      <c r="H1697" t="s">
        <v>19</v>
      </c>
      <c r="I1697" t="s">
        <v>20</v>
      </c>
      <c r="J1697">
        <v>120</v>
      </c>
      <c r="S1697">
        <v>9.6</v>
      </c>
      <c r="T1697">
        <v>0</v>
      </c>
      <c r="U1697">
        <v>1</v>
      </c>
      <c r="V1697">
        <v>0</v>
      </c>
    </row>
    <row r="1698" spans="1:22">
      <c r="A1698" t="s">
        <v>1726</v>
      </c>
      <c r="B1698" s="3">
        <v>46197</v>
      </c>
      <c r="C1698" t="s">
        <v>47</v>
      </c>
      <c r="D1698" t="s">
        <v>62</v>
      </c>
      <c r="E1698" t="s">
        <v>16</v>
      </c>
      <c r="F1698" t="s">
        <v>17</v>
      </c>
      <c r="G1698" t="s">
        <v>18</v>
      </c>
      <c r="H1698" t="s">
        <v>19</v>
      </c>
      <c r="I1698" t="s">
        <v>20</v>
      </c>
      <c r="J1698">
        <v>200</v>
      </c>
      <c r="S1698">
        <v>20</v>
      </c>
      <c r="T1698">
        <v>0</v>
      </c>
      <c r="U1698">
        <v>1</v>
      </c>
      <c r="V1698">
        <v>0</v>
      </c>
    </row>
    <row r="1699" spans="1:22">
      <c r="A1699" t="s">
        <v>1727</v>
      </c>
      <c r="B1699" s="3">
        <v>46197</v>
      </c>
      <c r="C1699" t="s">
        <v>47</v>
      </c>
      <c r="D1699" t="s">
        <v>55</v>
      </c>
      <c r="E1699" t="s">
        <v>16</v>
      </c>
      <c r="F1699" t="s">
        <v>17</v>
      </c>
      <c r="G1699" t="s">
        <v>32</v>
      </c>
      <c r="H1699" t="s">
        <v>19</v>
      </c>
      <c r="I1699" t="s">
        <v>20</v>
      </c>
      <c r="J1699">
        <v>300</v>
      </c>
      <c r="S1699">
        <v>36</v>
      </c>
      <c r="T1699">
        <v>0</v>
      </c>
      <c r="U1699">
        <v>1</v>
      </c>
      <c r="V1699">
        <v>0</v>
      </c>
    </row>
    <row r="1700" spans="1:22">
      <c r="A1700" t="s">
        <v>1728</v>
      </c>
      <c r="B1700" s="3">
        <v>46197</v>
      </c>
      <c r="C1700" t="s">
        <v>47</v>
      </c>
      <c r="D1700" t="s">
        <v>66</v>
      </c>
      <c r="E1700" t="s">
        <v>16</v>
      </c>
      <c r="F1700" t="s">
        <v>17</v>
      </c>
      <c r="G1700" t="s">
        <v>18</v>
      </c>
      <c r="H1700" t="s">
        <v>19</v>
      </c>
      <c r="I1700" t="s">
        <v>20</v>
      </c>
      <c r="J1700">
        <v>200</v>
      </c>
      <c r="S1700">
        <v>20</v>
      </c>
      <c r="T1700">
        <v>0</v>
      </c>
      <c r="U1700">
        <v>1</v>
      </c>
      <c r="V1700">
        <v>0</v>
      </c>
    </row>
    <row r="1701" spans="1:22">
      <c r="A1701" t="s">
        <v>1729</v>
      </c>
      <c r="B1701" s="3">
        <v>46197</v>
      </c>
      <c r="C1701" t="s">
        <v>47</v>
      </c>
      <c r="D1701" t="s">
        <v>71</v>
      </c>
      <c r="E1701" t="s">
        <v>16</v>
      </c>
      <c r="F1701" t="s">
        <v>17</v>
      </c>
      <c r="G1701" t="s">
        <v>32</v>
      </c>
      <c r="H1701" t="s">
        <v>19</v>
      </c>
      <c r="I1701" t="s">
        <v>20</v>
      </c>
      <c r="J1701">
        <v>300</v>
      </c>
      <c r="S1701">
        <v>36</v>
      </c>
      <c r="T1701">
        <v>0</v>
      </c>
      <c r="U1701">
        <v>1</v>
      </c>
      <c r="V1701">
        <v>0</v>
      </c>
    </row>
    <row r="1702" spans="1:22">
      <c r="A1702" t="s">
        <v>1730</v>
      </c>
      <c r="B1702" s="3">
        <v>46197</v>
      </c>
      <c r="C1702" t="s">
        <v>47</v>
      </c>
      <c r="D1702" t="s">
        <v>66</v>
      </c>
      <c r="E1702" t="s">
        <v>16</v>
      </c>
      <c r="F1702" t="s">
        <v>35</v>
      </c>
      <c r="G1702" t="s">
        <v>23</v>
      </c>
      <c r="H1702" t="s">
        <v>19</v>
      </c>
      <c r="I1702" t="s">
        <v>20</v>
      </c>
      <c r="J1702">
        <v>120</v>
      </c>
      <c r="S1702">
        <v>3.6</v>
      </c>
      <c r="T1702">
        <v>0</v>
      </c>
      <c r="U1702">
        <v>0</v>
      </c>
      <c r="V1702">
        <v>0</v>
      </c>
    </row>
    <row r="1703" spans="1:22">
      <c r="A1703" t="s">
        <v>1731</v>
      </c>
      <c r="B1703" s="3">
        <v>46197</v>
      </c>
      <c r="C1703" t="s">
        <v>47</v>
      </c>
      <c r="D1703" t="s">
        <v>66</v>
      </c>
      <c r="E1703" t="s">
        <v>16</v>
      </c>
      <c r="F1703" t="s">
        <v>17</v>
      </c>
      <c r="G1703" t="s">
        <v>32</v>
      </c>
      <c r="H1703" t="s">
        <v>19</v>
      </c>
      <c r="I1703" t="s">
        <v>20</v>
      </c>
      <c r="J1703">
        <v>300</v>
      </c>
      <c r="S1703">
        <v>36</v>
      </c>
      <c r="T1703">
        <v>0</v>
      </c>
      <c r="U1703">
        <v>1</v>
      </c>
      <c r="V1703">
        <v>0</v>
      </c>
    </row>
    <row r="1704" spans="1:22">
      <c r="A1704" t="s">
        <v>1732</v>
      </c>
      <c r="B1704" s="3">
        <v>46197</v>
      </c>
      <c r="C1704" t="s">
        <v>47</v>
      </c>
      <c r="D1704" t="s">
        <v>59</v>
      </c>
      <c r="E1704" t="s">
        <v>16</v>
      </c>
      <c r="F1704" t="s">
        <v>35</v>
      </c>
      <c r="G1704" t="s">
        <v>32</v>
      </c>
      <c r="H1704" t="s">
        <v>19</v>
      </c>
      <c r="I1704" t="s">
        <v>20</v>
      </c>
      <c r="J1704">
        <v>300</v>
      </c>
      <c r="S1704">
        <v>9</v>
      </c>
      <c r="T1704">
        <v>0</v>
      </c>
      <c r="U1704">
        <v>0</v>
      </c>
      <c r="V1704">
        <v>0</v>
      </c>
    </row>
    <row r="1705" spans="1:22">
      <c r="A1705" t="s">
        <v>1733</v>
      </c>
      <c r="B1705" s="3">
        <v>46197</v>
      </c>
      <c r="C1705" t="s">
        <v>47</v>
      </c>
      <c r="D1705" t="s">
        <v>62</v>
      </c>
      <c r="E1705" t="s">
        <v>16</v>
      </c>
      <c r="F1705" t="s">
        <v>17</v>
      </c>
      <c r="G1705" t="s">
        <v>32</v>
      </c>
      <c r="H1705" t="s">
        <v>19</v>
      </c>
      <c r="I1705" t="s">
        <v>20</v>
      </c>
      <c r="J1705">
        <v>300</v>
      </c>
      <c r="S1705">
        <v>36</v>
      </c>
      <c r="T1705">
        <v>0</v>
      </c>
      <c r="U1705">
        <v>1</v>
      </c>
      <c r="V1705">
        <v>0</v>
      </c>
    </row>
    <row r="1706" spans="1:22">
      <c r="A1706" t="s">
        <v>1734</v>
      </c>
      <c r="B1706" s="3">
        <v>46197</v>
      </c>
      <c r="C1706" t="s">
        <v>47</v>
      </c>
      <c r="D1706" t="s">
        <v>48</v>
      </c>
      <c r="E1706" t="s">
        <v>16</v>
      </c>
      <c r="F1706" t="s">
        <v>17</v>
      </c>
      <c r="G1706" t="s">
        <v>18</v>
      </c>
      <c r="H1706" t="s">
        <v>24</v>
      </c>
      <c r="I1706" t="s">
        <v>20</v>
      </c>
      <c r="J1706">
        <v>200</v>
      </c>
      <c r="S1706">
        <v>0</v>
      </c>
      <c r="T1706">
        <v>0</v>
      </c>
      <c r="U1706">
        <v>0</v>
      </c>
      <c r="V1706">
        <v>0</v>
      </c>
    </row>
    <row r="1707" spans="1:22">
      <c r="A1707" t="s">
        <v>1735</v>
      </c>
      <c r="B1707" s="3">
        <v>46197</v>
      </c>
      <c r="C1707" t="s">
        <v>78</v>
      </c>
      <c r="D1707" t="s">
        <v>102</v>
      </c>
      <c r="E1707" t="s">
        <v>16</v>
      </c>
      <c r="F1707" t="s">
        <v>35</v>
      </c>
      <c r="G1707" t="s">
        <v>32</v>
      </c>
      <c r="H1707" t="s">
        <v>19</v>
      </c>
      <c r="I1707" t="s">
        <v>20</v>
      </c>
      <c r="J1707">
        <v>300</v>
      </c>
      <c r="S1707">
        <v>9</v>
      </c>
      <c r="T1707">
        <v>0</v>
      </c>
      <c r="U1707">
        <v>0</v>
      </c>
      <c r="V1707">
        <v>0</v>
      </c>
    </row>
    <row r="1708" spans="1:22">
      <c r="A1708" t="s">
        <v>1736</v>
      </c>
      <c r="B1708" s="3">
        <v>46197</v>
      </c>
      <c r="C1708" t="s">
        <v>78</v>
      </c>
      <c r="D1708" t="s">
        <v>242</v>
      </c>
      <c r="E1708" t="s">
        <v>16</v>
      </c>
      <c r="F1708" t="s">
        <v>17</v>
      </c>
      <c r="G1708" t="s">
        <v>32</v>
      </c>
      <c r="H1708" t="s">
        <v>19</v>
      </c>
      <c r="I1708" t="s">
        <v>20</v>
      </c>
      <c r="J1708">
        <v>225</v>
      </c>
      <c r="L1708" t="s">
        <v>29</v>
      </c>
      <c r="S1708">
        <v>27</v>
      </c>
      <c r="T1708">
        <v>0</v>
      </c>
      <c r="U1708">
        <v>1</v>
      </c>
      <c r="V1708">
        <v>0</v>
      </c>
    </row>
    <row r="1709" spans="1:22">
      <c r="A1709" t="s">
        <v>1737</v>
      </c>
      <c r="B1709" s="3">
        <v>46197</v>
      </c>
      <c r="C1709" t="s">
        <v>78</v>
      </c>
      <c r="D1709" t="s">
        <v>242</v>
      </c>
      <c r="E1709" t="s">
        <v>16</v>
      </c>
      <c r="F1709" t="s">
        <v>17</v>
      </c>
      <c r="G1709" t="s">
        <v>18</v>
      </c>
      <c r="H1709" t="s">
        <v>19</v>
      </c>
      <c r="I1709" t="s">
        <v>20</v>
      </c>
      <c r="J1709">
        <v>200</v>
      </c>
      <c r="S1709">
        <v>20</v>
      </c>
      <c r="T1709">
        <v>0</v>
      </c>
      <c r="U1709">
        <v>1</v>
      </c>
      <c r="V1709">
        <v>0</v>
      </c>
    </row>
    <row r="1710" spans="1:22">
      <c r="A1710" t="s">
        <v>1738</v>
      </c>
      <c r="B1710" s="3">
        <v>46197</v>
      </c>
      <c r="C1710" t="s">
        <v>78</v>
      </c>
      <c r="D1710" t="s">
        <v>87</v>
      </c>
      <c r="E1710" t="s">
        <v>16</v>
      </c>
      <c r="F1710" t="s">
        <v>35</v>
      </c>
      <c r="G1710" t="s">
        <v>23</v>
      </c>
      <c r="H1710" t="s">
        <v>19</v>
      </c>
      <c r="I1710" t="s">
        <v>20</v>
      </c>
      <c r="J1710">
        <v>120</v>
      </c>
      <c r="S1710">
        <v>3.6</v>
      </c>
      <c r="T1710">
        <v>0</v>
      </c>
      <c r="U1710">
        <v>0</v>
      </c>
      <c r="V1710">
        <v>0</v>
      </c>
    </row>
    <row r="1711" spans="1:22">
      <c r="A1711" t="s">
        <v>1739</v>
      </c>
      <c r="B1711" s="3">
        <v>46197</v>
      </c>
      <c r="C1711" t="s">
        <v>78</v>
      </c>
      <c r="D1711" t="s">
        <v>102</v>
      </c>
      <c r="E1711" t="s">
        <v>16</v>
      </c>
      <c r="F1711" t="s">
        <v>17</v>
      </c>
      <c r="G1711" t="s">
        <v>32</v>
      </c>
      <c r="H1711" t="s">
        <v>19</v>
      </c>
      <c r="I1711" t="s">
        <v>20</v>
      </c>
      <c r="J1711">
        <v>300</v>
      </c>
      <c r="S1711">
        <v>36</v>
      </c>
      <c r="T1711">
        <v>0</v>
      </c>
      <c r="U1711">
        <v>1</v>
      </c>
      <c r="V1711">
        <v>0</v>
      </c>
    </row>
    <row r="1712" spans="1:22">
      <c r="A1712" t="s">
        <v>1740</v>
      </c>
      <c r="B1712" s="3">
        <v>46197</v>
      </c>
      <c r="C1712" t="s">
        <v>78</v>
      </c>
      <c r="D1712" t="s">
        <v>87</v>
      </c>
      <c r="E1712" t="s">
        <v>16</v>
      </c>
      <c r="F1712" t="s">
        <v>35</v>
      </c>
      <c r="G1712" t="s">
        <v>32</v>
      </c>
      <c r="H1712" t="s">
        <v>19</v>
      </c>
      <c r="I1712" t="s">
        <v>20</v>
      </c>
      <c r="J1712">
        <v>300</v>
      </c>
      <c r="S1712">
        <v>9</v>
      </c>
      <c r="T1712">
        <v>0</v>
      </c>
      <c r="U1712">
        <v>0</v>
      </c>
      <c r="V1712">
        <v>0</v>
      </c>
    </row>
    <row r="1713" spans="1:22">
      <c r="A1713" t="s">
        <v>1741</v>
      </c>
      <c r="B1713" s="3">
        <v>46197</v>
      </c>
      <c r="C1713" t="s">
        <v>78</v>
      </c>
      <c r="D1713" t="s">
        <v>83</v>
      </c>
      <c r="E1713" t="s">
        <v>16</v>
      </c>
      <c r="F1713" t="s">
        <v>17</v>
      </c>
      <c r="G1713" t="s">
        <v>32</v>
      </c>
      <c r="H1713" t="s">
        <v>19</v>
      </c>
      <c r="I1713" t="s">
        <v>20</v>
      </c>
      <c r="J1713">
        <v>300</v>
      </c>
      <c r="S1713">
        <v>36</v>
      </c>
      <c r="T1713">
        <v>0</v>
      </c>
      <c r="U1713">
        <v>1</v>
      </c>
      <c r="V1713">
        <v>0</v>
      </c>
    </row>
    <row r="1714" spans="1:22">
      <c r="A1714" t="s">
        <v>1742</v>
      </c>
      <c r="B1714" s="3">
        <v>46197</v>
      </c>
      <c r="C1714" t="s">
        <v>78</v>
      </c>
      <c r="D1714" t="s">
        <v>81</v>
      </c>
      <c r="E1714" t="s">
        <v>16</v>
      </c>
      <c r="F1714" t="s">
        <v>17</v>
      </c>
      <c r="G1714" t="s">
        <v>23</v>
      </c>
      <c r="H1714" t="s">
        <v>19</v>
      </c>
      <c r="I1714" t="s">
        <v>20</v>
      </c>
      <c r="J1714">
        <v>90</v>
      </c>
      <c r="L1714" t="s">
        <v>29</v>
      </c>
      <c r="S1714">
        <v>7.2</v>
      </c>
      <c r="T1714">
        <v>0</v>
      </c>
      <c r="U1714">
        <v>1</v>
      </c>
      <c r="V1714">
        <v>0</v>
      </c>
    </row>
    <row r="1715" spans="1:22">
      <c r="A1715" t="s">
        <v>1743</v>
      </c>
      <c r="B1715" s="3">
        <v>46197</v>
      </c>
      <c r="C1715" t="s">
        <v>78</v>
      </c>
      <c r="D1715" t="s">
        <v>85</v>
      </c>
      <c r="E1715" t="s">
        <v>16</v>
      </c>
      <c r="F1715" t="s">
        <v>17</v>
      </c>
      <c r="G1715" t="s">
        <v>32</v>
      </c>
      <c r="H1715" t="s">
        <v>19</v>
      </c>
      <c r="I1715" t="s">
        <v>20</v>
      </c>
      <c r="J1715">
        <v>300</v>
      </c>
      <c r="S1715">
        <v>36</v>
      </c>
      <c r="T1715">
        <v>0</v>
      </c>
      <c r="U1715">
        <v>1</v>
      </c>
      <c r="V1715">
        <v>0</v>
      </c>
    </row>
    <row r="1716" spans="1:22">
      <c r="A1716" t="s">
        <v>1744</v>
      </c>
      <c r="B1716" s="3">
        <v>46197</v>
      </c>
      <c r="C1716" t="s">
        <v>78</v>
      </c>
      <c r="D1716" t="s">
        <v>81</v>
      </c>
      <c r="E1716" t="s">
        <v>16</v>
      </c>
      <c r="F1716" t="s">
        <v>35</v>
      </c>
      <c r="G1716" t="s">
        <v>18</v>
      </c>
      <c r="H1716" t="s">
        <v>19</v>
      </c>
      <c r="I1716" t="s">
        <v>20</v>
      </c>
      <c r="J1716">
        <v>200</v>
      </c>
      <c r="S1716">
        <v>6</v>
      </c>
      <c r="T1716">
        <v>0</v>
      </c>
      <c r="U1716">
        <v>0</v>
      </c>
      <c r="V1716">
        <v>0</v>
      </c>
    </row>
    <row r="1717" spans="1:22">
      <c r="A1717" t="s">
        <v>1745</v>
      </c>
      <c r="B1717" s="3">
        <v>46197</v>
      </c>
      <c r="C1717" t="s">
        <v>78</v>
      </c>
      <c r="D1717" t="s">
        <v>97</v>
      </c>
      <c r="E1717" t="s">
        <v>16</v>
      </c>
      <c r="F1717" t="s">
        <v>35</v>
      </c>
      <c r="G1717" t="s">
        <v>23</v>
      </c>
      <c r="H1717" t="s">
        <v>19</v>
      </c>
      <c r="I1717" t="s">
        <v>20</v>
      </c>
      <c r="J1717">
        <v>120</v>
      </c>
      <c r="S1717">
        <v>3.6</v>
      </c>
      <c r="T1717">
        <v>0</v>
      </c>
      <c r="U1717">
        <v>0</v>
      </c>
      <c r="V1717">
        <v>0</v>
      </c>
    </row>
    <row r="1718" spans="1:22">
      <c r="A1718" t="s">
        <v>1746</v>
      </c>
      <c r="B1718" s="3">
        <v>46197</v>
      </c>
      <c r="C1718" t="s">
        <v>78</v>
      </c>
      <c r="D1718" t="s">
        <v>85</v>
      </c>
      <c r="E1718" t="s">
        <v>16</v>
      </c>
      <c r="F1718" t="s">
        <v>17</v>
      </c>
      <c r="G1718" t="s">
        <v>23</v>
      </c>
      <c r="H1718" t="s">
        <v>19</v>
      </c>
      <c r="I1718" t="s">
        <v>20</v>
      </c>
      <c r="J1718">
        <v>120</v>
      </c>
      <c r="S1718">
        <v>9.6</v>
      </c>
      <c r="T1718">
        <v>0</v>
      </c>
      <c r="U1718">
        <v>1</v>
      </c>
      <c r="V1718">
        <v>0</v>
      </c>
    </row>
    <row r="1719" spans="1:22">
      <c r="A1719" t="s">
        <v>1747</v>
      </c>
      <c r="B1719" s="3">
        <v>46197</v>
      </c>
      <c r="C1719" t="s">
        <v>78</v>
      </c>
      <c r="D1719" t="s">
        <v>87</v>
      </c>
      <c r="E1719" t="s">
        <v>16</v>
      </c>
      <c r="F1719" t="s">
        <v>17</v>
      </c>
      <c r="G1719" t="s">
        <v>32</v>
      </c>
      <c r="H1719" t="s">
        <v>19</v>
      </c>
      <c r="I1719" t="s">
        <v>20</v>
      </c>
      <c r="J1719">
        <v>300</v>
      </c>
      <c r="S1719">
        <v>36</v>
      </c>
      <c r="T1719">
        <v>0</v>
      </c>
      <c r="U1719">
        <v>1</v>
      </c>
      <c r="V1719">
        <v>0</v>
      </c>
    </row>
    <row r="1720" spans="1:22">
      <c r="A1720" t="s">
        <v>1748</v>
      </c>
      <c r="B1720" s="3">
        <v>46197</v>
      </c>
      <c r="C1720" t="s">
        <v>78</v>
      </c>
      <c r="D1720" t="s">
        <v>79</v>
      </c>
      <c r="E1720" t="s">
        <v>16</v>
      </c>
      <c r="F1720" t="s">
        <v>17</v>
      </c>
      <c r="G1720" t="s">
        <v>23</v>
      </c>
      <c r="H1720" t="s">
        <v>19</v>
      </c>
      <c r="I1720" t="s">
        <v>20</v>
      </c>
      <c r="J1720">
        <v>102</v>
      </c>
      <c r="L1720" t="s">
        <v>29</v>
      </c>
      <c r="S1720">
        <v>8.16</v>
      </c>
      <c r="T1720">
        <v>0</v>
      </c>
      <c r="U1720">
        <v>1</v>
      </c>
      <c r="V1720">
        <v>0</v>
      </c>
    </row>
    <row r="1721" spans="1:22">
      <c r="A1721" t="s">
        <v>1749</v>
      </c>
      <c r="B1721" s="3">
        <v>46197</v>
      </c>
      <c r="C1721" t="s">
        <v>105</v>
      </c>
      <c r="D1721" t="s">
        <v>116</v>
      </c>
      <c r="E1721" t="s">
        <v>16</v>
      </c>
      <c r="F1721" t="s">
        <v>17</v>
      </c>
      <c r="G1721" t="s">
        <v>23</v>
      </c>
      <c r="H1721" t="s">
        <v>19</v>
      </c>
      <c r="I1721" t="s">
        <v>20</v>
      </c>
      <c r="J1721">
        <v>120</v>
      </c>
      <c r="S1721">
        <v>9.6</v>
      </c>
      <c r="T1721">
        <v>0</v>
      </c>
      <c r="U1721">
        <v>1</v>
      </c>
      <c r="V1721">
        <v>0</v>
      </c>
    </row>
    <row r="1722" spans="1:22">
      <c r="A1722" t="s">
        <v>1750</v>
      </c>
      <c r="B1722" s="3">
        <v>46197</v>
      </c>
      <c r="C1722" t="s">
        <v>105</v>
      </c>
      <c r="D1722" t="s">
        <v>112</v>
      </c>
      <c r="E1722" t="s">
        <v>16</v>
      </c>
      <c r="F1722" t="s">
        <v>17</v>
      </c>
      <c r="G1722" t="s">
        <v>23</v>
      </c>
      <c r="H1722" t="s">
        <v>19</v>
      </c>
      <c r="I1722" t="s">
        <v>20</v>
      </c>
      <c r="J1722">
        <v>102</v>
      </c>
      <c r="L1722" t="s">
        <v>29</v>
      </c>
      <c r="S1722">
        <v>8.16</v>
      </c>
      <c r="T1722">
        <v>0</v>
      </c>
      <c r="U1722">
        <v>1</v>
      </c>
      <c r="V1722">
        <v>0</v>
      </c>
    </row>
    <row r="1723" spans="1:22">
      <c r="A1723" t="s">
        <v>1751</v>
      </c>
      <c r="B1723" s="3">
        <v>46197</v>
      </c>
      <c r="C1723" t="s">
        <v>105</v>
      </c>
      <c r="D1723" t="s">
        <v>116</v>
      </c>
      <c r="E1723" t="s">
        <v>16</v>
      </c>
      <c r="F1723" t="s">
        <v>35</v>
      </c>
      <c r="G1723" t="s">
        <v>18</v>
      </c>
      <c r="H1723" t="s">
        <v>19</v>
      </c>
      <c r="I1723" t="s">
        <v>20</v>
      </c>
      <c r="J1723">
        <v>200</v>
      </c>
      <c r="S1723">
        <v>6</v>
      </c>
      <c r="T1723">
        <v>0</v>
      </c>
      <c r="U1723">
        <v>0</v>
      </c>
      <c r="V1723">
        <v>0</v>
      </c>
    </row>
    <row r="1724" spans="1:22">
      <c r="A1724" t="s">
        <v>1752</v>
      </c>
      <c r="B1724" s="3">
        <v>46197</v>
      </c>
      <c r="C1724" t="s">
        <v>105</v>
      </c>
      <c r="D1724" t="s">
        <v>191</v>
      </c>
      <c r="E1724" t="s">
        <v>16</v>
      </c>
      <c r="F1724" t="s">
        <v>17</v>
      </c>
      <c r="G1724" t="s">
        <v>18</v>
      </c>
      <c r="H1724" t="s">
        <v>19</v>
      </c>
      <c r="I1724" t="s">
        <v>20</v>
      </c>
      <c r="J1724">
        <v>170</v>
      </c>
      <c r="L1724" t="s">
        <v>29</v>
      </c>
      <c r="S1724">
        <v>17</v>
      </c>
      <c r="T1724">
        <v>0</v>
      </c>
      <c r="U1724">
        <v>1</v>
      </c>
      <c r="V1724">
        <v>0</v>
      </c>
    </row>
    <row r="1725" spans="1:22">
      <c r="A1725" t="s">
        <v>1753</v>
      </c>
      <c r="B1725" s="3">
        <v>46197</v>
      </c>
      <c r="C1725" t="s">
        <v>105</v>
      </c>
      <c r="D1725" t="s">
        <v>108</v>
      </c>
      <c r="E1725" t="s">
        <v>16</v>
      </c>
      <c r="F1725" t="s">
        <v>17</v>
      </c>
      <c r="G1725" t="s">
        <v>32</v>
      </c>
      <c r="H1725" t="s">
        <v>19</v>
      </c>
      <c r="I1725" t="s">
        <v>20</v>
      </c>
      <c r="J1725">
        <v>300</v>
      </c>
      <c r="S1725">
        <v>36</v>
      </c>
      <c r="T1725">
        <v>0</v>
      </c>
      <c r="U1725">
        <v>1</v>
      </c>
      <c r="V1725">
        <v>0</v>
      </c>
    </row>
    <row r="1726" spans="1:22">
      <c r="A1726" t="s">
        <v>1754</v>
      </c>
      <c r="B1726" s="3">
        <v>46197</v>
      </c>
      <c r="C1726" t="s">
        <v>105</v>
      </c>
      <c r="D1726" t="s">
        <v>118</v>
      </c>
      <c r="E1726" t="s">
        <v>16</v>
      </c>
      <c r="F1726" t="s">
        <v>17</v>
      </c>
      <c r="G1726" t="s">
        <v>18</v>
      </c>
      <c r="H1726" t="s">
        <v>19</v>
      </c>
      <c r="I1726" t="s">
        <v>20</v>
      </c>
      <c r="J1726">
        <v>200</v>
      </c>
      <c r="S1726">
        <v>20</v>
      </c>
      <c r="T1726">
        <v>0</v>
      </c>
      <c r="U1726">
        <v>1</v>
      </c>
      <c r="V1726">
        <v>0</v>
      </c>
    </row>
    <row r="1727" spans="1:22">
      <c r="A1727" t="s">
        <v>1755</v>
      </c>
      <c r="B1727" s="3">
        <v>46197</v>
      </c>
      <c r="C1727" t="s">
        <v>105</v>
      </c>
      <c r="D1727" t="s">
        <v>112</v>
      </c>
      <c r="E1727" t="s">
        <v>16</v>
      </c>
      <c r="F1727" t="s">
        <v>17</v>
      </c>
      <c r="G1727" t="s">
        <v>32</v>
      </c>
      <c r="H1727" t="s">
        <v>19</v>
      </c>
      <c r="I1727" t="s">
        <v>20</v>
      </c>
      <c r="J1727">
        <v>225</v>
      </c>
      <c r="L1727" t="s">
        <v>29</v>
      </c>
      <c r="S1727">
        <v>27</v>
      </c>
      <c r="T1727">
        <v>0</v>
      </c>
      <c r="U1727">
        <v>1</v>
      </c>
      <c r="V1727">
        <v>0</v>
      </c>
    </row>
    <row r="1728" spans="1:22">
      <c r="A1728" t="s">
        <v>1756</v>
      </c>
      <c r="B1728" s="3">
        <v>46197</v>
      </c>
      <c r="C1728" t="s">
        <v>105</v>
      </c>
      <c r="D1728" t="s">
        <v>187</v>
      </c>
      <c r="E1728" t="s">
        <v>16</v>
      </c>
      <c r="F1728" t="s">
        <v>17</v>
      </c>
      <c r="G1728" t="s">
        <v>18</v>
      </c>
      <c r="H1728" t="s">
        <v>19</v>
      </c>
      <c r="I1728" t="s">
        <v>20</v>
      </c>
      <c r="J1728">
        <v>170</v>
      </c>
      <c r="L1728" t="s">
        <v>29</v>
      </c>
      <c r="S1728">
        <v>17</v>
      </c>
      <c r="T1728">
        <v>0</v>
      </c>
      <c r="U1728">
        <v>1</v>
      </c>
      <c r="V1728">
        <v>0</v>
      </c>
    </row>
    <row r="1729" spans="1:22">
      <c r="A1729" t="s">
        <v>1757</v>
      </c>
      <c r="B1729" s="3">
        <v>46197</v>
      </c>
      <c r="C1729" t="s">
        <v>105</v>
      </c>
      <c r="D1729" t="s">
        <v>116</v>
      </c>
      <c r="E1729" t="s">
        <v>16</v>
      </c>
      <c r="F1729" t="s">
        <v>35</v>
      </c>
      <c r="G1729" t="s">
        <v>32</v>
      </c>
      <c r="H1729" t="s">
        <v>24</v>
      </c>
      <c r="I1729" t="s">
        <v>20</v>
      </c>
      <c r="J1729">
        <v>300</v>
      </c>
      <c r="S1729">
        <v>0</v>
      </c>
      <c r="T1729">
        <v>0</v>
      </c>
      <c r="U1729">
        <v>0</v>
      </c>
      <c r="V1729">
        <v>0</v>
      </c>
    </row>
    <row r="1730" spans="1:22">
      <c r="A1730" t="s">
        <v>1758</v>
      </c>
      <c r="B1730" s="3">
        <v>46197</v>
      </c>
      <c r="C1730" t="s">
        <v>105</v>
      </c>
      <c r="D1730" t="s">
        <v>118</v>
      </c>
      <c r="E1730" t="s">
        <v>16</v>
      </c>
      <c r="F1730" t="s">
        <v>17</v>
      </c>
      <c r="G1730" t="s">
        <v>23</v>
      </c>
      <c r="H1730" t="s">
        <v>19</v>
      </c>
      <c r="I1730" t="s">
        <v>20</v>
      </c>
      <c r="J1730">
        <v>120</v>
      </c>
      <c r="S1730">
        <v>9.6</v>
      </c>
      <c r="T1730">
        <v>0</v>
      </c>
      <c r="U1730">
        <v>1</v>
      </c>
      <c r="V1730">
        <v>0</v>
      </c>
    </row>
    <row r="1731" spans="1:22">
      <c r="A1731" t="s">
        <v>1759</v>
      </c>
      <c r="B1731" s="3">
        <v>46197</v>
      </c>
      <c r="C1731" t="s">
        <v>105</v>
      </c>
      <c r="D1731" t="s">
        <v>112</v>
      </c>
      <c r="E1731" t="s">
        <v>16</v>
      </c>
      <c r="F1731" t="s">
        <v>17</v>
      </c>
      <c r="G1731" t="s">
        <v>32</v>
      </c>
      <c r="H1731" t="s">
        <v>19</v>
      </c>
      <c r="I1731" t="s">
        <v>20</v>
      </c>
      <c r="J1731">
        <v>300</v>
      </c>
      <c r="S1731">
        <v>36</v>
      </c>
      <c r="T1731">
        <v>0</v>
      </c>
      <c r="U1731">
        <v>1</v>
      </c>
      <c r="V1731">
        <v>0</v>
      </c>
    </row>
    <row r="1732" spans="1:22">
      <c r="A1732" t="s">
        <v>1760</v>
      </c>
      <c r="B1732" s="3">
        <v>46197</v>
      </c>
      <c r="C1732" t="s">
        <v>105</v>
      </c>
      <c r="D1732" t="s">
        <v>194</v>
      </c>
      <c r="E1732" t="s">
        <v>16</v>
      </c>
      <c r="F1732" t="s">
        <v>17</v>
      </c>
      <c r="G1732" t="s">
        <v>32</v>
      </c>
      <c r="H1732" t="s">
        <v>19</v>
      </c>
      <c r="I1732" t="s">
        <v>20</v>
      </c>
      <c r="J1732">
        <v>300</v>
      </c>
      <c r="S1732">
        <v>36</v>
      </c>
      <c r="T1732">
        <v>0</v>
      </c>
      <c r="U1732">
        <v>1</v>
      </c>
      <c r="V1732">
        <v>0</v>
      </c>
    </row>
    <row r="1733" spans="1:22">
      <c r="A1733" t="s">
        <v>1761</v>
      </c>
      <c r="B1733" s="3">
        <v>46197</v>
      </c>
      <c r="C1733" t="s">
        <v>105</v>
      </c>
      <c r="D1733" t="s">
        <v>187</v>
      </c>
      <c r="E1733" t="s">
        <v>16</v>
      </c>
      <c r="F1733" t="s">
        <v>17</v>
      </c>
      <c r="G1733" t="s">
        <v>18</v>
      </c>
      <c r="H1733" t="s">
        <v>19</v>
      </c>
      <c r="I1733" t="s">
        <v>20</v>
      </c>
      <c r="J1733">
        <v>200</v>
      </c>
      <c r="S1733">
        <v>20</v>
      </c>
      <c r="T1733">
        <v>0</v>
      </c>
      <c r="U1733">
        <v>1</v>
      </c>
      <c r="V1733">
        <v>0</v>
      </c>
    </row>
    <row r="1734" spans="1:22">
      <c r="A1734" t="s">
        <v>1762</v>
      </c>
      <c r="B1734" s="3">
        <v>46197</v>
      </c>
      <c r="C1734" t="s">
        <v>105</v>
      </c>
      <c r="D1734" t="s">
        <v>120</v>
      </c>
      <c r="E1734" t="s">
        <v>16</v>
      </c>
      <c r="F1734" t="s">
        <v>35</v>
      </c>
      <c r="G1734" t="s">
        <v>32</v>
      </c>
      <c r="H1734" t="s">
        <v>24</v>
      </c>
      <c r="I1734" t="s">
        <v>20</v>
      </c>
      <c r="J1734">
        <v>255</v>
      </c>
      <c r="L1734" t="s">
        <v>29</v>
      </c>
      <c r="S1734">
        <v>0</v>
      </c>
      <c r="T1734">
        <v>0</v>
      </c>
      <c r="U1734">
        <v>0</v>
      </c>
      <c r="V1734">
        <v>0</v>
      </c>
    </row>
    <row r="1735" spans="1:22">
      <c r="A1735" t="s">
        <v>1763</v>
      </c>
      <c r="B1735" s="3">
        <v>46197</v>
      </c>
      <c r="C1735" t="s">
        <v>105</v>
      </c>
      <c r="D1735" t="s">
        <v>265</v>
      </c>
      <c r="E1735" t="s">
        <v>16</v>
      </c>
      <c r="F1735" t="s">
        <v>17</v>
      </c>
      <c r="G1735" t="s">
        <v>18</v>
      </c>
      <c r="H1735" t="s">
        <v>19</v>
      </c>
      <c r="I1735" t="s">
        <v>20</v>
      </c>
      <c r="J1735">
        <v>150</v>
      </c>
      <c r="L1735" t="s">
        <v>29</v>
      </c>
      <c r="S1735">
        <v>15</v>
      </c>
      <c r="T1735">
        <v>0</v>
      </c>
      <c r="U1735">
        <v>1</v>
      </c>
      <c r="V1735">
        <v>0</v>
      </c>
    </row>
    <row r="1736" spans="1:22">
      <c r="A1736" t="s">
        <v>1764</v>
      </c>
      <c r="B1736" s="3">
        <v>46197</v>
      </c>
      <c r="C1736" t="s">
        <v>105</v>
      </c>
      <c r="D1736" t="s">
        <v>116</v>
      </c>
      <c r="E1736" t="s">
        <v>16</v>
      </c>
      <c r="F1736" t="s">
        <v>35</v>
      </c>
      <c r="G1736" t="s">
        <v>32</v>
      </c>
      <c r="H1736" t="s">
        <v>19</v>
      </c>
      <c r="I1736" t="s">
        <v>20</v>
      </c>
      <c r="J1736">
        <v>300</v>
      </c>
      <c r="S1736">
        <v>9</v>
      </c>
      <c r="T1736">
        <v>0</v>
      </c>
      <c r="U1736">
        <v>0</v>
      </c>
      <c r="V1736">
        <v>0</v>
      </c>
    </row>
    <row r="1737" spans="1:22">
      <c r="A1737" t="s">
        <v>1765</v>
      </c>
      <c r="B1737" s="3">
        <v>46197</v>
      </c>
      <c r="C1737" t="s">
        <v>105</v>
      </c>
      <c r="D1737" t="s">
        <v>106</v>
      </c>
      <c r="E1737" t="s">
        <v>16</v>
      </c>
      <c r="F1737" t="s">
        <v>17</v>
      </c>
      <c r="G1737" t="s">
        <v>18</v>
      </c>
      <c r="H1737" t="s">
        <v>19</v>
      </c>
      <c r="I1737" t="s">
        <v>20</v>
      </c>
      <c r="J1737">
        <v>200</v>
      </c>
      <c r="S1737">
        <v>20</v>
      </c>
      <c r="T1737">
        <v>0</v>
      </c>
      <c r="U1737">
        <v>1</v>
      </c>
      <c r="V1737">
        <v>0</v>
      </c>
    </row>
    <row r="1738" spans="1:22">
      <c r="A1738" t="s">
        <v>1773</v>
      </c>
      <c r="B1738" s="3">
        <v>46198</v>
      </c>
      <c r="C1738" t="s">
        <v>14</v>
      </c>
      <c r="D1738" t="s">
        <v>15</v>
      </c>
      <c r="E1738" t="s">
        <v>16</v>
      </c>
      <c r="F1738" t="s">
        <v>17</v>
      </c>
      <c r="G1738" t="s">
        <v>23</v>
      </c>
      <c r="H1738" t="s">
        <v>19</v>
      </c>
      <c r="I1738" t="s">
        <v>20</v>
      </c>
      <c r="J1738">
        <v>120</v>
      </c>
      <c r="S1738">
        <v>9.6</v>
      </c>
      <c r="T1738">
        <v>0</v>
      </c>
      <c r="U1738">
        <v>1</v>
      </c>
      <c r="V1738">
        <v>0</v>
      </c>
    </row>
    <row r="1739" spans="1:22">
      <c r="A1739" t="s">
        <v>1775</v>
      </c>
      <c r="B1739" s="3">
        <v>46198</v>
      </c>
      <c r="C1739" t="s">
        <v>14</v>
      </c>
      <c r="D1739" t="s">
        <v>28</v>
      </c>
      <c r="E1739" t="s">
        <v>16</v>
      </c>
      <c r="F1739" t="s">
        <v>17</v>
      </c>
      <c r="G1739" t="s">
        <v>32</v>
      </c>
      <c r="H1739" t="s">
        <v>19</v>
      </c>
      <c r="I1739" t="s">
        <v>20</v>
      </c>
      <c r="J1739">
        <v>300</v>
      </c>
      <c r="S1739">
        <v>36</v>
      </c>
      <c r="T1739">
        <v>0</v>
      </c>
      <c r="U1739">
        <v>1</v>
      </c>
      <c r="V1739">
        <v>0</v>
      </c>
    </row>
    <row r="1740" spans="1:22">
      <c r="A1740" t="s">
        <v>1776</v>
      </c>
      <c r="B1740" s="3">
        <v>46198</v>
      </c>
      <c r="C1740" t="s">
        <v>14</v>
      </c>
      <c r="D1740" t="s">
        <v>26</v>
      </c>
      <c r="E1740" t="s">
        <v>16</v>
      </c>
      <c r="F1740" t="s">
        <v>17</v>
      </c>
      <c r="G1740" t="s">
        <v>18</v>
      </c>
      <c r="H1740" t="s">
        <v>19</v>
      </c>
      <c r="I1740" t="s">
        <v>20</v>
      </c>
      <c r="J1740">
        <v>200</v>
      </c>
      <c r="S1740">
        <v>20</v>
      </c>
      <c r="T1740">
        <v>0</v>
      </c>
      <c r="U1740">
        <v>1</v>
      </c>
      <c r="V1740">
        <v>0</v>
      </c>
    </row>
    <row r="1741" spans="1:22">
      <c r="A1741" t="s">
        <v>1777</v>
      </c>
      <c r="B1741" s="3">
        <v>46198</v>
      </c>
      <c r="C1741" t="s">
        <v>14</v>
      </c>
      <c r="D1741" t="s">
        <v>28</v>
      </c>
      <c r="E1741" t="s">
        <v>16</v>
      </c>
      <c r="F1741" t="s">
        <v>17</v>
      </c>
      <c r="G1741" t="s">
        <v>18</v>
      </c>
      <c r="H1741" t="s">
        <v>19</v>
      </c>
      <c r="I1741" t="s">
        <v>20</v>
      </c>
      <c r="J1741">
        <v>150</v>
      </c>
      <c r="L1741" t="s">
        <v>29</v>
      </c>
      <c r="S1741">
        <v>15</v>
      </c>
      <c r="T1741">
        <v>0</v>
      </c>
      <c r="U1741">
        <v>1</v>
      </c>
      <c r="V1741">
        <v>0</v>
      </c>
    </row>
    <row r="1742" spans="1:22">
      <c r="A1742" t="s">
        <v>1778</v>
      </c>
      <c r="B1742" s="3">
        <v>46198</v>
      </c>
      <c r="C1742" t="s">
        <v>14</v>
      </c>
      <c r="D1742" t="s">
        <v>40</v>
      </c>
      <c r="E1742" t="s">
        <v>16</v>
      </c>
      <c r="F1742" t="s">
        <v>17</v>
      </c>
      <c r="G1742" t="s">
        <v>23</v>
      </c>
      <c r="H1742" t="s">
        <v>19</v>
      </c>
      <c r="I1742" t="s">
        <v>20</v>
      </c>
      <c r="J1742">
        <v>102</v>
      </c>
      <c r="L1742" t="s">
        <v>29</v>
      </c>
      <c r="S1742">
        <v>8.16</v>
      </c>
      <c r="T1742">
        <v>0</v>
      </c>
      <c r="U1742">
        <v>1</v>
      </c>
      <c r="V1742">
        <v>0</v>
      </c>
    </row>
    <row r="1743" spans="1:22">
      <c r="A1743" t="s">
        <v>1779</v>
      </c>
      <c r="B1743" s="3">
        <v>46198</v>
      </c>
      <c r="C1743" t="s">
        <v>14</v>
      </c>
      <c r="D1743" t="s">
        <v>40</v>
      </c>
      <c r="E1743" t="s">
        <v>16</v>
      </c>
      <c r="F1743" t="s">
        <v>35</v>
      </c>
      <c r="G1743" t="s">
        <v>32</v>
      </c>
      <c r="H1743" t="s">
        <v>19</v>
      </c>
      <c r="I1743" t="s">
        <v>20</v>
      </c>
      <c r="J1743">
        <v>300</v>
      </c>
      <c r="S1743">
        <v>9</v>
      </c>
      <c r="T1743">
        <v>0</v>
      </c>
      <c r="U1743">
        <v>0</v>
      </c>
      <c r="V1743">
        <v>0</v>
      </c>
    </row>
    <row r="1744" spans="1:22">
      <c r="A1744" t="s">
        <v>1780</v>
      </c>
      <c r="B1744" s="3">
        <v>46198</v>
      </c>
      <c r="C1744" t="s">
        <v>14</v>
      </c>
      <c r="D1744" t="s">
        <v>131</v>
      </c>
      <c r="E1744" t="s">
        <v>16</v>
      </c>
      <c r="F1744" t="s">
        <v>17</v>
      </c>
      <c r="G1744" t="s">
        <v>32</v>
      </c>
      <c r="H1744" t="s">
        <v>19</v>
      </c>
      <c r="I1744" t="s">
        <v>20</v>
      </c>
      <c r="J1744">
        <v>300</v>
      </c>
      <c r="S1744">
        <v>36</v>
      </c>
      <c r="T1744">
        <v>0</v>
      </c>
      <c r="U1744">
        <v>1</v>
      </c>
      <c r="V1744">
        <v>0</v>
      </c>
    </row>
    <row r="1745" spans="1:22">
      <c r="A1745" t="s">
        <v>1781</v>
      </c>
      <c r="B1745" s="3">
        <v>46198</v>
      </c>
      <c r="C1745" t="s">
        <v>14</v>
      </c>
      <c r="D1745" t="s">
        <v>31</v>
      </c>
      <c r="E1745" t="s">
        <v>16</v>
      </c>
      <c r="F1745" t="s">
        <v>17</v>
      </c>
      <c r="G1745" t="s">
        <v>23</v>
      </c>
      <c r="H1745" t="s">
        <v>19</v>
      </c>
      <c r="I1745" t="s">
        <v>20</v>
      </c>
      <c r="J1745">
        <v>120</v>
      </c>
      <c r="S1745">
        <v>9.6</v>
      </c>
      <c r="T1745">
        <v>0</v>
      </c>
      <c r="U1745">
        <v>1</v>
      </c>
      <c r="V1745">
        <v>0</v>
      </c>
    </row>
    <row r="1746" spans="1:22">
      <c r="A1746" t="s">
        <v>1782</v>
      </c>
      <c r="B1746" s="3">
        <v>46198</v>
      </c>
      <c r="C1746" t="s">
        <v>14</v>
      </c>
      <c r="D1746" t="s">
        <v>22</v>
      </c>
      <c r="E1746" t="s">
        <v>16</v>
      </c>
      <c r="F1746" t="s">
        <v>17</v>
      </c>
      <c r="G1746" t="s">
        <v>18</v>
      </c>
      <c r="H1746" t="s">
        <v>19</v>
      </c>
      <c r="I1746" t="s">
        <v>20</v>
      </c>
      <c r="J1746">
        <v>200</v>
      </c>
      <c r="S1746">
        <v>20</v>
      </c>
      <c r="T1746">
        <v>0</v>
      </c>
      <c r="U1746">
        <v>1</v>
      </c>
      <c r="V1746">
        <v>0</v>
      </c>
    </row>
    <row r="1747" spans="1:22">
      <c r="A1747" t="s">
        <v>1783</v>
      </c>
      <c r="B1747" s="3">
        <v>46198</v>
      </c>
      <c r="C1747" t="s">
        <v>14</v>
      </c>
      <c r="D1747" t="s">
        <v>26</v>
      </c>
      <c r="E1747" t="s">
        <v>16</v>
      </c>
      <c r="F1747" t="s">
        <v>17</v>
      </c>
      <c r="G1747" t="s">
        <v>18</v>
      </c>
      <c r="H1747" t="s">
        <v>19</v>
      </c>
      <c r="I1747" t="s">
        <v>20</v>
      </c>
      <c r="J1747">
        <v>200</v>
      </c>
      <c r="S1747">
        <v>20</v>
      </c>
      <c r="T1747">
        <v>0</v>
      </c>
      <c r="U1747">
        <v>1</v>
      </c>
      <c r="V1747">
        <v>0</v>
      </c>
    </row>
    <row r="1748" spans="1:22">
      <c r="A1748" t="s">
        <v>1784</v>
      </c>
      <c r="B1748" s="3">
        <v>46198</v>
      </c>
      <c r="C1748" t="s">
        <v>14</v>
      </c>
      <c r="D1748" t="s">
        <v>15</v>
      </c>
      <c r="E1748" t="s">
        <v>16</v>
      </c>
      <c r="F1748" t="s">
        <v>17</v>
      </c>
      <c r="G1748" t="s">
        <v>18</v>
      </c>
      <c r="H1748" t="s">
        <v>19</v>
      </c>
      <c r="I1748" t="s">
        <v>20</v>
      </c>
      <c r="J1748">
        <v>200</v>
      </c>
      <c r="S1748">
        <v>20</v>
      </c>
      <c r="T1748">
        <v>0</v>
      </c>
      <c r="U1748">
        <v>1</v>
      </c>
      <c r="V1748">
        <v>0</v>
      </c>
    </row>
    <row r="1749" spans="1:22">
      <c r="A1749" t="s">
        <v>1785</v>
      </c>
      <c r="B1749" s="3">
        <v>46198</v>
      </c>
      <c r="C1749" t="s">
        <v>14</v>
      </c>
      <c r="D1749" t="s">
        <v>34</v>
      </c>
      <c r="E1749" t="s">
        <v>16</v>
      </c>
      <c r="F1749" t="s">
        <v>17</v>
      </c>
      <c r="G1749" t="s">
        <v>32</v>
      </c>
      <c r="H1749" t="s">
        <v>19</v>
      </c>
      <c r="I1749" t="s">
        <v>20</v>
      </c>
      <c r="J1749">
        <v>300</v>
      </c>
      <c r="S1749">
        <v>36</v>
      </c>
      <c r="T1749">
        <v>0</v>
      </c>
      <c r="U1749">
        <v>1</v>
      </c>
      <c r="V1749">
        <v>0</v>
      </c>
    </row>
    <row r="1750" spans="1:22">
      <c r="A1750" t="s">
        <v>1786</v>
      </c>
      <c r="B1750" s="3">
        <v>46198</v>
      </c>
      <c r="C1750" t="s">
        <v>14</v>
      </c>
      <c r="D1750" t="s">
        <v>42</v>
      </c>
      <c r="E1750" t="s">
        <v>16</v>
      </c>
      <c r="F1750" t="s">
        <v>17</v>
      </c>
      <c r="G1750" t="s">
        <v>32</v>
      </c>
      <c r="H1750" t="s">
        <v>19</v>
      </c>
      <c r="I1750" t="s">
        <v>20</v>
      </c>
      <c r="J1750">
        <v>300</v>
      </c>
      <c r="S1750">
        <v>36</v>
      </c>
      <c r="T1750">
        <v>0</v>
      </c>
      <c r="U1750">
        <v>1</v>
      </c>
      <c r="V1750">
        <v>0</v>
      </c>
    </row>
    <row r="1751" spans="1:22">
      <c r="A1751" t="s">
        <v>1787</v>
      </c>
      <c r="B1751" s="3">
        <v>46198</v>
      </c>
      <c r="C1751" t="s">
        <v>14</v>
      </c>
      <c r="D1751" t="s">
        <v>210</v>
      </c>
      <c r="E1751" t="s">
        <v>16</v>
      </c>
      <c r="F1751" t="s">
        <v>35</v>
      </c>
      <c r="G1751" t="s">
        <v>18</v>
      </c>
      <c r="H1751" t="s">
        <v>19</v>
      </c>
      <c r="I1751" t="s">
        <v>20</v>
      </c>
      <c r="J1751">
        <v>200</v>
      </c>
      <c r="S1751">
        <v>6</v>
      </c>
      <c r="T1751">
        <v>0</v>
      </c>
      <c r="U1751">
        <v>0</v>
      </c>
      <c r="V1751">
        <v>0</v>
      </c>
    </row>
    <row r="1752" spans="1:22">
      <c r="A1752" t="s">
        <v>1788</v>
      </c>
      <c r="B1752" s="3">
        <v>46198</v>
      </c>
      <c r="C1752" t="s">
        <v>14</v>
      </c>
      <c r="D1752" t="s">
        <v>137</v>
      </c>
      <c r="E1752" t="s">
        <v>16</v>
      </c>
      <c r="F1752" t="s">
        <v>17</v>
      </c>
      <c r="G1752" t="s">
        <v>23</v>
      </c>
      <c r="H1752" t="s">
        <v>19</v>
      </c>
      <c r="I1752" t="s">
        <v>20</v>
      </c>
      <c r="J1752">
        <v>120</v>
      </c>
      <c r="S1752">
        <v>9.6</v>
      </c>
      <c r="T1752">
        <v>0</v>
      </c>
      <c r="U1752">
        <v>1</v>
      </c>
      <c r="V1752">
        <v>0</v>
      </c>
    </row>
    <row r="1753" spans="1:22">
      <c r="A1753" t="s">
        <v>1789</v>
      </c>
      <c r="B1753" s="3">
        <v>46198</v>
      </c>
      <c r="C1753" t="s">
        <v>14</v>
      </c>
      <c r="D1753" t="s">
        <v>26</v>
      </c>
      <c r="E1753" t="s">
        <v>16</v>
      </c>
      <c r="F1753" t="s">
        <v>35</v>
      </c>
      <c r="G1753" t="s">
        <v>23</v>
      </c>
      <c r="H1753" t="s">
        <v>19</v>
      </c>
      <c r="I1753" t="s">
        <v>20</v>
      </c>
      <c r="J1753">
        <v>120</v>
      </c>
      <c r="S1753">
        <v>3.6</v>
      </c>
      <c r="T1753">
        <v>0</v>
      </c>
      <c r="U1753">
        <v>0</v>
      </c>
      <c r="V1753">
        <v>0</v>
      </c>
    </row>
    <row r="1754" spans="1:22">
      <c r="A1754" t="s">
        <v>1790</v>
      </c>
      <c r="B1754" s="3">
        <v>46198</v>
      </c>
      <c r="C1754" t="s">
        <v>14</v>
      </c>
      <c r="D1754" t="s">
        <v>40</v>
      </c>
      <c r="E1754" t="s">
        <v>16</v>
      </c>
      <c r="F1754" t="s">
        <v>17</v>
      </c>
      <c r="G1754" t="s">
        <v>32</v>
      </c>
      <c r="H1754" t="s">
        <v>19</v>
      </c>
      <c r="I1754" t="s">
        <v>20</v>
      </c>
      <c r="J1754">
        <v>255</v>
      </c>
      <c r="L1754" t="s">
        <v>29</v>
      </c>
      <c r="S1754">
        <v>30.6</v>
      </c>
      <c r="T1754">
        <v>0</v>
      </c>
      <c r="U1754">
        <v>1</v>
      </c>
      <c r="V1754">
        <v>0</v>
      </c>
    </row>
    <row r="1755" spans="1:22">
      <c r="A1755" t="s">
        <v>1791</v>
      </c>
      <c r="B1755" s="3">
        <v>46198</v>
      </c>
      <c r="C1755" t="s">
        <v>14</v>
      </c>
      <c r="D1755" t="s">
        <v>40</v>
      </c>
      <c r="E1755" t="s">
        <v>16</v>
      </c>
      <c r="F1755" t="s">
        <v>35</v>
      </c>
      <c r="G1755" t="s">
        <v>18</v>
      </c>
      <c r="H1755" t="s">
        <v>19</v>
      </c>
      <c r="I1755" t="s">
        <v>20</v>
      </c>
      <c r="J1755">
        <v>200</v>
      </c>
      <c r="S1755">
        <v>6</v>
      </c>
      <c r="T1755">
        <v>0</v>
      </c>
      <c r="U1755">
        <v>0</v>
      </c>
      <c r="V1755">
        <v>0</v>
      </c>
    </row>
    <row r="1756" spans="1:22">
      <c r="A1756" t="s">
        <v>1792</v>
      </c>
      <c r="B1756" s="3">
        <v>46198</v>
      </c>
      <c r="C1756" t="s">
        <v>14</v>
      </c>
      <c r="D1756" t="s">
        <v>137</v>
      </c>
      <c r="E1756" t="s">
        <v>16</v>
      </c>
      <c r="F1756" t="s">
        <v>35</v>
      </c>
      <c r="G1756" t="s">
        <v>32</v>
      </c>
      <c r="H1756" t="s">
        <v>19</v>
      </c>
      <c r="I1756" t="s">
        <v>20</v>
      </c>
      <c r="J1756">
        <v>300</v>
      </c>
      <c r="S1756">
        <v>9</v>
      </c>
      <c r="T1756">
        <v>0</v>
      </c>
      <c r="U1756">
        <v>0</v>
      </c>
      <c r="V1756">
        <v>0</v>
      </c>
    </row>
    <row r="1757" spans="1:22">
      <c r="A1757" t="s">
        <v>1793</v>
      </c>
      <c r="B1757" s="3">
        <v>46198</v>
      </c>
      <c r="C1757" t="s">
        <v>47</v>
      </c>
      <c r="D1757" t="s">
        <v>50</v>
      </c>
      <c r="E1757" t="s">
        <v>16</v>
      </c>
      <c r="F1757" t="s">
        <v>17</v>
      </c>
      <c r="G1757" t="s">
        <v>32</v>
      </c>
      <c r="H1757" t="s">
        <v>19</v>
      </c>
      <c r="I1757" t="s">
        <v>53</v>
      </c>
      <c r="J1757">
        <v>225</v>
      </c>
      <c r="L1757" t="s">
        <v>29</v>
      </c>
      <c r="S1757">
        <v>0</v>
      </c>
      <c r="T1757">
        <v>0</v>
      </c>
      <c r="U1757">
        <v>0</v>
      </c>
      <c r="V1757">
        <v>0</v>
      </c>
    </row>
    <row r="1758" spans="1:22">
      <c r="A1758" t="s">
        <v>1794</v>
      </c>
      <c r="B1758" s="3">
        <v>46198</v>
      </c>
      <c r="C1758" t="s">
        <v>47</v>
      </c>
      <c r="D1758" t="s">
        <v>52</v>
      </c>
      <c r="E1758" t="s">
        <v>16</v>
      </c>
      <c r="F1758" t="s">
        <v>17</v>
      </c>
      <c r="G1758" t="s">
        <v>32</v>
      </c>
      <c r="H1758" t="s">
        <v>19</v>
      </c>
      <c r="I1758" t="s">
        <v>53</v>
      </c>
      <c r="J1758">
        <v>300</v>
      </c>
      <c r="S1758">
        <v>0</v>
      </c>
      <c r="T1758">
        <v>0</v>
      </c>
      <c r="U1758">
        <v>0</v>
      </c>
      <c r="V1758">
        <v>0</v>
      </c>
    </row>
    <row r="1759" spans="1:22">
      <c r="A1759" t="s">
        <v>1795</v>
      </c>
      <c r="B1759" s="3">
        <v>46198</v>
      </c>
      <c r="C1759" t="s">
        <v>47</v>
      </c>
      <c r="D1759" t="s">
        <v>148</v>
      </c>
      <c r="E1759" t="s">
        <v>16</v>
      </c>
      <c r="F1759" t="s">
        <v>17</v>
      </c>
      <c r="G1759" t="s">
        <v>23</v>
      </c>
      <c r="H1759" t="s">
        <v>19</v>
      </c>
      <c r="I1759" t="s">
        <v>20</v>
      </c>
      <c r="J1759">
        <v>120</v>
      </c>
      <c r="S1759">
        <v>9.6</v>
      </c>
      <c r="T1759">
        <v>0</v>
      </c>
      <c r="U1759">
        <v>1</v>
      </c>
      <c r="V1759">
        <v>0</v>
      </c>
    </row>
    <row r="1760" spans="1:22">
      <c r="A1760" t="s">
        <v>1796</v>
      </c>
      <c r="B1760" s="3">
        <v>46198</v>
      </c>
      <c r="C1760" t="s">
        <v>47</v>
      </c>
      <c r="D1760" t="s">
        <v>148</v>
      </c>
      <c r="E1760" t="s">
        <v>16</v>
      </c>
      <c r="F1760" t="s">
        <v>17</v>
      </c>
      <c r="G1760" t="s">
        <v>23</v>
      </c>
      <c r="H1760" t="s">
        <v>24</v>
      </c>
      <c r="I1760" t="s">
        <v>20</v>
      </c>
      <c r="J1760">
        <v>120</v>
      </c>
      <c r="S1760">
        <v>0</v>
      </c>
      <c r="T1760">
        <v>0</v>
      </c>
      <c r="U1760">
        <v>0</v>
      </c>
      <c r="V1760">
        <v>0</v>
      </c>
    </row>
    <row r="1761" spans="1:22">
      <c r="A1761" t="s">
        <v>1797</v>
      </c>
      <c r="B1761" s="3">
        <v>46198</v>
      </c>
      <c r="C1761" t="s">
        <v>47</v>
      </c>
      <c r="D1761" t="s">
        <v>148</v>
      </c>
      <c r="E1761" t="s">
        <v>16</v>
      </c>
      <c r="F1761" t="s">
        <v>17</v>
      </c>
      <c r="G1761" t="s">
        <v>18</v>
      </c>
      <c r="H1761" t="s">
        <v>19</v>
      </c>
      <c r="I1761" t="s">
        <v>20</v>
      </c>
      <c r="J1761">
        <v>200</v>
      </c>
      <c r="S1761">
        <v>20</v>
      </c>
      <c r="T1761">
        <v>0</v>
      </c>
      <c r="U1761">
        <v>1</v>
      </c>
      <c r="V1761">
        <v>0</v>
      </c>
    </row>
    <row r="1762" spans="1:22">
      <c r="A1762" t="s">
        <v>1798</v>
      </c>
      <c r="B1762" s="3">
        <v>46198</v>
      </c>
      <c r="C1762" t="s">
        <v>47</v>
      </c>
      <c r="D1762" t="s">
        <v>48</v>
      </c>
      <c r="E1762" t="s">
        <v>16</v>
      </c>
      <c r="F1762" t="s">
        <v>17</v>
      </c>
      <c r="G1762" t="s">
        <v>23</v>
      </c>
      <c r="H1762" t="s">
        <v>19</v>
      </c>
      <c r="I1762" t="s">
        <v>20</v>
      </c>
      <c r="J1762">
        <v>120</v>
      </c>
      <c r="S1762">
        <v>9.6</v>
      </c>
      <c r="T1762">
        <v>0</v>
      </c>
      <c r="U1762">
        <v>1</v>
      </c>
      <c r="V1762">
        <v>0</v>
      </c>
    </row>
    <row r="1763" spans="1:22">
      <c r="A1763" t="s">
        <v>1799</v>
      </c>
      <c r="B1763" s="3">
        <v>46198</v>
      </c>
      <c r="C1763" t="s">
        <v>47</v>
      </c>
      <c r="D1763" t="s">
        <v>64</v>
      </c>
      <c r="E1763" t="s">
        <v>16</v>
      </c>
      <c r="F1763" t="s">
        <v>17</v>
      </c>
      <c r="G1763" t="s">
        <v>32</v>
      </c>
      <c r="H1763" t="s">
        <v>19</v>
      </c>
      <c r="I1763" t="s">
        <v>20</v>
      </c>
      <c r="J1763">
        <v>300</v>
      </c>
      <c r="S1763">
        <v>36</v>
      </c>
      <c r="T1763">
        <v>0</v>
      </c>
      <c r="U1763">
        <v>1</v>
      </c>
      <c r="V1763">
        <v>0</v>
      </c>
    </row>
    <row r="1764" spans="1:22">
      <c r="A1764" t="s">
        <v>1800</v>
      </c>
      <c r="B1764" s="3">
        <v>46198</v>
      </c>
      <c r="C1764" t="s">
        <v>47</v>
      </c>
      <c r="D1764" t="s">
        <v>55</v>
      </c>
      <c r="E1764" t="s">
        <v>16</v>
      </c>
      <c r="F1764" t="s">
        <v>35</v>
      </c>
      <c r="G1764" t="s">
        <v>32</v>
      </c>
      <c r="H1764" t="s">
        <v>19</v>
      </c>
      <c r="I1764" t="s">
        <v>20</v>
      </c>
      <c r="J1764">
        <v>300</v>
      </c>
      <c r="S1764">
        <v>9</v>
      </c>
      <c r="T1764">
        <v>0</v>
      </c>
      <c r="U1764">
        <v>0</v>
      </c>
      <c r="V1764">
        <v>0</v>
      </c>
    </row>
    <row r="1765" spans="1:22">
      <c r="A1765" t="s">
        <v>1801</v>
      </c>
      <c r="B1765" s="3">
        <v>46198</v>
      </c>
      <c r="C1765" t="s">
        <v>47</v>
      </c>
      <c r="D1765" t="s">
        <v>152</v>
      </c>
      <c r="E1765" t="s">
        <v>16</v>
      </c>
      <c r="F1765" t="s">
        <v>17</v>
      </c>
      <c r="G1765" t="s">
        <v>18</v>
      </c>
      <c r="H1765" t="s">
        <v>19</v>
      </c>
      <c r="I1765" t="s">
        <v>53</v>
      </c>
      <c r="J1765">
        <v>150</v>
      </c>
      <c r="L1765" t="s">
        <v>29</v>
      </c>
      <c r="S1765">
        <v>0</v>
      </c>
      <c r="T1765">
        <v>0</v>
      </c>
      <c r="U1765">
        <v>0</v>
      </c>
      <c r="V1765">
        <v>0</v>
      </c>
    </row>
    <row r="1766" spans="1:22">
      <c r="A1766" t="s">
        <v>1802</v>
      </c>
      <c r="B1766" s="3">
        <v>46198</v>
      </c>
      <c r="C1766" t="s">
        <v>47</v>
      </c>
      <c r="D1766" t="s">
        <v>71</v>
      </c>
      <c r="E1766" t="s">
        <v>16</v>
      </c>
      <c r="F1766" t="s">
        <v>17</v>
      </c>
      <c r="G1766" t="s">
        <v>32</v>
      </c>
      <c r="H1766" t="s">
        <v>19</v>
      </c>
      <c r="I1766" t="s">
        <v>20</v>
      </c>
      <c r="J1766">
        <v>300</v>
      </c>
      <c r="S1766">
        <v>36</v>
      </c>
      <c r="T1766">
        <v>0</v>
      </c>
      <c r="U1766">
        <v>1</v>
      </c>
      <c r="V1766">
        <v>0</v>
      </c>
    </row>
    <row r="1767" spans="1:22">
      <c r="A1767" t="s">
        <v>1803</v>
      </c>
      <c r="B1767" s="3">
        <v>46198</v>
      </c>
      <c r="C1767" t="s">
        <v>47</v>
      </c>
      <c r="D1767" t="s">
        <v>59</v>
      </c>
      <c r="E1767" t="s">
        <v>16</v>
      </c>
      <c r="F1767" t="s">
        <v>17</v>
      </c>
      <c r="G1767" t="s">
        <v>32</v>
      </c>
      <c r="H1767" t="s">
        <v>19</v>
      </c>
      <c r="I1767" t="s">
        <v>20</v>
      </c>
      <c r="J1767">
        <v>300</v>
      </c>
      <c r="S1767">
        <v>36</v>
      </c>
      <c r="T1767">
        <v>0</v>
      </c>
      <c r="U1767">
        <v>1</v>
      </c>
      <c r="V1767">
        <v>0</v>
      </c>
    </row>
    <row r="1768" spans="1:22">
      <c r="A1768" t="s">
        <v>1804</v>
      </c>
      <c r="B1768" s="3">
        <v>46198</v>
      </c>
      <c r="C1768" t="s">
        <v>47</v>
      </c>
      <c r="D1768" t="s">
        <v>73</v>
      </c>
      <c r="E1768" t="s">
        <v>16</v>
      </c>
      <c r="F1768" t="s">
        <v>17</v>
      </c>
      <c r="G1768" t="s">
        <v>18</v>
      </c>
      <c r="H1768" t="s">
        <v>19</v>
      </c>
      <c r="I1768" t="s">
        <v>20</v>
      </c>
      <c r="J1768">
        <v>200</v>
      </c>
      <c r="S1768">
        <v>20</v>
      </c>
      <c r="T1768">
        <v>0</v>
      </c>
      <c r="U1768">
        <v>1</v>
      </c>
      <c r="V1768">
        <v>0</v>
      </c>
    </row>
    <row r="1769" spans="1:22">
      <c r="A1769" t="s">
        <v>1805</v>
      </c>
      <c r="B1769" s="3">
        <v>46198</v>
      </c>
      <c r="C1769" t="s">
        <v>47</v>
      </c>
      <c r="D1769" t="s">
        <v>55</v>
      </c>
      <c r="E1769" t="s">
        <v>16</v>
      </c>
      <c r="F1769" t="s">
        <v>17</v>
      </c>
      <c r="G1769" t="s">
        <v>32</v>
      </c>
      <c r="H1769" t="s">
        <v>19</v>
      </c>
      <c r="I1769" t="s">
        <v>20</v>
      </c>
      <c r="J1769">
        <v>300</v>
      </c>
      <c r="S1769">
        <v>36</v>
      </c>
      <c r="T1769">
        <v>0</v>
      </c>
      <c r="U1769">
        <v>1</v>
      </c>
      <c r="V1769">
        <v>0</v>
      </c>
    </row>
    <row r="1770" spans="1:22">
      <c r="A1770" t="s">
        <v>1806</v>
      </c>
      <c r="B1770" s="3">
        <v>46198</v>
      </c>
      <c r="C1770" t="s">
        <v>78</v>
      </c>
      <c r="D1770" t="s">
        <v>89</v>
      </c>
      <c r="E1770" t="s">
        <v>16</v>
      </c>
      <c r="F1770" t="s">
        <v>17</v>
      </c>
      <c r="G1770" t="s">
        <v>23</v>
      </c>
      <c r="H1770" t="s">
        <v>19</v>
      </c>
      <c r="I1770" t="s">
        <v>20</v>
      </c>
      <c r="J1770">
        <v>120</v>
      </c>
      <c r="S1770">
        <v>9.6</v>
      </c>
      <c r="T1770">
        <v>0</v>
      </c>
      <c r="U1770">
        <v>1</v>
      </c>
      <c r="V1770">
        <v>0</v>
      </c>
    </row>
    <row r="1771" spans="1:22">
      <c r="A1771" t="s">
        <v>1807</v>
      </c>
      <c r="B1771" s="3">
        <v>46198</v>
      </c>
      <c r="C1771" t="s">
        <v>78</v>
      </c>
      <c r="D1771" t="s">
        <v>97</v>
      </c>
      <c r="E1771" t="s">
        <v>16</v>
      </c>
      <c r="F1771" t="s">
        <v>17</v>
      </c>
      <c r="G1771" t="s">
        <v>23</v>
      </c>
      <c r="H1771" t="s">
        <v>19</v>
      </c>
      <c r="I1771" t="s">
        <v>53</v>
      </c>
      <c r="J1771">
        <v>120</v>
      </c>
      <c r="S1771">
        <v>0</v>
      </c>
      <c r="T1771">
        <v>0</v>
      </c>
      <c r="U1771">
        <v>0</v>
      </c>
      <c r="V1771">
        <v>0</v>
      </c>
    </row>
    <row r="1772" spans="1:22">
      <c r="A1772" t="s">
        <v>1808</v>
      </c>
      <c r="B1772" s="3">
        <v>46198</v>
      </c>
      <c r="C1772" t="s">
        <v>78</v>
      </c>
      <c r="D1772" t="s">
        <v>79</v>
      </c>
      <c r="E1772" t="s">
        <v>16</v>
      </c>
      <c r="F1772" t="s">
        <v>17</v>
      </c>
      <c r="G1772" t="s">
        <v>32</v>
      </c>
      <c r="H1772" t="s">
        <v>24</v>
      </c>
      <c r="I1772" t="s">
        <v>20</v>
      </c>
      <c r="J1772">
        <v>300</v>
      </c>
      <c r="S1772">
        <v>0</v>
      </c>
      <c r="T1772">
        <v>0</v>
      </c>
      <c r="U1772">
        <v>0</v>
      </c>
      <c r="V1772">
        <v>0</v>
      </c>
    </row>
    <row r="1773" spans="1:22">
      <c r="A1773" t="s">
        <v>1809</v>
      </c>
      <c r="B1773" s="3">
        <v>46198</v>
      </c>
      <c r="C1773" t="s">
        <v>78</v>
      </c>
      <c r="D1773" t="s">
        <v>97</v>
      </c>
      <c r="E1773" t="s">
        <v>16</v>
      </c>
      <c r="F1773" t="s">
        <v>17</v>
      </c>
      <c r="G1773" t="s">
        <v>32</v>
      </c>
      <c r="H1773" t="s">
        <v>19</v>
      </c>
      <c r="I1773" t="s">
        <v>20</v>
      </c>
      <c r="J1773">
        <v>300</v>
      </c>
      <c r="S1773">
        <v>36</v>
      </c>
      <c r="T1773">
        <v>0</v>
      </c>
      <c r="U1773">
        <v>1</v>
      </c>
      <c r="V1773">
        <v>0</v>
      </c>
    </row>
    <row r="1774" spans="1:22">
      <c r="A1774" t="s">
        <v>1810</v>
      </c>
      <c r="B1774" s="3">
        <v>46198</v>
      </c>
      <c r="C1774" t="s">
        <v>78</v>
      </c>
      <c r="D1774" t="s">
        <v>102</v>
      </c>
      <c r="E1774" t="s">
        <v>16</v>
      </c>
      <c r="F1774" t="s">
        <v>17</v>
      </c>
      <c r="G1774" t="s">
        <v>23</v>
      </c>
      <c r="H1774" t="s">
        <v>19</v>
      </c>
      <c r="I1774" t="s">
        <v>20</v>
      </c>
      <c r="J1774">
        <v>120</v>
      </c>
      <c r="S1774">
        <v>9.6</v>
      </c>
      <c r="T1774">
        <v>0</v>
      </c>
      <c r="U1774">
        <v>1</v>
      </c>
      <c r="V1774">
        <v>0</v>
      </c>
    </row>
    <row r="1775" spans="1:22">
      <c r="A1775" t="s">
        <v>1811</v>
      </c>
      <c r="B1775" s="3">
        <v>46198</v>
      </c>
      <c r="C1775" t="s">
        <v>78</v>
      </c>
      <c r="D1775" t="s">
        <v>242</v>
      </c>
      <c r="E1775" t="s">
        <v>16</v>
      </c>
      <c r="F1775" t="s">
        <v>17</v>
      </c>
      <c r="G1775" t="s">
        <v>32</v>
      </c>
      <c r="H1775" t="s">
        <v>19</v>
      </c>
      <c r="I1775" t="s">
        <v>20</v>
      </c>
      <c r="J1775">
        <v>300</v>
      </c>
      <c r="S1775">
        <v>36</v>
      </c>
      <c r="T1775">
        <v>0</v>
      </c>
      <c r="U1775">
        <v>1</v>
      </c>
      <c r="V1775">
        <v>0</v>
      </c>
    </row>
    <row r="1776" spans="1:22">
      <c r="A1776" t="s">
        <v>1812</v>
      </c>
      <c r="B1776" s="3">
        <v>46198</v>
      </c>
      <c r="C1776" t="s">
        <v>78</v>
      </c>
      <c r="D1776" t="s">
        <v>89</v>
      </c>
      <c r="E1776" t="s">
        <v>16</v>
      </c>
      <c r="F1776" t="s">
        <v>17</v>
      </c>
      <c r="G1776" t="s">
        <v>32</v>
      </c>
      <c r="H1776" t="s">
        <v>19</v>
      </c>
      <c r="I1776" t="s">
        <v>20</v>
      </c>
      <c r="J1776">
        <v>300</v>
      </c>
      <c r="S1776">
        <v>36</v>
      </c>
      <c r="T1776">
        <v>0</v>
      </c>
      <c r="U1776">
        <v>1</v>
      </c>
      <c r="V1776">
        <v>0</v>
      </c>
    </row>
    <row r="1777" spans="1:22">
      <c r="A1777" t="s">
        <v>1813</v>
      </c>
      <c r="B1777" s="3">
        <v>46198</v>
      </c>
      <c r="C1777" t="s">
        <v>78</v>
      </c>
      <c r="D1777" t="s">
        <v>161</v>
      </c>
      <c r="E1777" t="s">
        <v>16</v>
      </c>
      <c r="F1777" t="s">
        <v>17</v>
      </c>
      <c r="G1777" t="s">
        <v>23</v>
      </c>
      <c r="H1777" t="s">
        <v>19</v>
      </c>
      <c r="I1777" t="s">
        <v>20</v>
      </c>
      <c r="J1777">
        <v>120</v>
      </c>
      <c r="S1777">
        <v>9.6</v>
      </c>
      <c r="T1777">
        <v>0</v>
      </c>
      <c r="U1777">
        <v>1</v>
      </c>
      <c r="V1777">
        <v>0</v>
      </c>
    </row>
    <row r="1778" spans="1:22">
      <c r="A1778" t="s">
        <v>1814</v>
      </c>
      <c r="B1778" s="3">
        <v>46198</v>
      </c>
      <c r="C1778" t="s">
        <v>78</v>
      </c>
      <c r="D1778" t="s">
        <v>97</v>
      </c>
      <c r="E1778" t="s">
        <v>16</v>
      </c>
      <c r="F1778" t="s">
        <v>17</v>
      </c>
      <c r="G1778" t="s">
        <v>18</v>
      </c>
      <c r="H1778" t="s">
        <v>19</v>
      </c>
      <c r="I1778" t="s">
        <v>20</v>
      </c>
      <c r="J1778">
        <v>200</v>
      </c>
      <c r="S1778">
        <v>20</v>
      </c>
      <c r="T1778">
        <v>0</v>
      </c>
      <c r="U1778">
        <v>1</v>
      </c>
      <c r="V1778">
        <v>0</v>
      </c>
    </row>
    <row r="1779" spans="1:22">
      <c r="A1779" t="s">
        <v>1815</v>
      </c>
      <c r="B1779" s="3">
        <v>46198</v>
      </c>
      <c r="C1779" t="s">
        <v>78</v>
      </c>
      <c r="D1779" t="s">
        <v>83</v>
      </c>
      <c r="E1779" t="s">
        <v>16</v>
      </c>
      <c r="F1779" t="s">
        <v>17</v>
      </c>
      <c r="G1779" t="s">
        <v>18</v>
      </c>
      <c r="H1779" t="s">
        <v>19</v>
      </c>
      <c r="I1779" t="s">
        <v>20</v>
      </c>
      <c r="J1779">
        <v>150</v>
      </c>
      <c r="L1779" t="s">
        <v>29</v>
      </c>
      <c r="S1779">
        <v>15</v>
      </c>
      <c r="T1779">
        <v>0</v>
      </c>
      <c r="U1779">
        <v>1</v>
      </c>
      <c r="V1779">
        <v>0</v>
      </c>
    </row>
    <row r="1780" spans="1:22">
      <c r="A1780" t="s">
        <v>1816</v>
      </c>
      <c r="B1780" s="3">
        <v>46198</v>
      </c>
      <c r="C1780" t="s">
        <v>78</v>
      </c>
      <c r="D1780" t="s">
        <v>79</v>
      </c>
      <c r="E1780" t="s">
        <v>16</v>
      </c>
      <c r="F1780" t="s">
        <v>17</v>
      </c>
      <c r="G1780" t="s">
        <v>32</v>
      </c>
      <c r="H1780" t="s">
        <v>19</v>
      </c>
      <c r="I1780" t="s">
        <v>20</v>
      </c>
      <c r="J1780">
        <v>300</v>
      </c>
      <c r="S1780">
        <v>36</v>
      </c>
      <c r="T1780">
        <v>0</v>
      </c>
      <c r="U1780">
        <v>1</v>
      </c>
      <c r="V1780">
        <v>0</v>
      </c>
    </row>
    <row r="1781" spans="1:22">
      <c r="A1781" t="s">
        <v>1817</v>
      </c>
      <c r="B1781" s="3">
        <v>46198</v>
      </c>
      <c r="C1781" t="s">
        <v>78</v>
      </c>
      <c r="D1781" t="s">
        <v>85</v>
      </c>
      <c r="E1781" t="s">
        <v>16</v>
      </c>
      <c r="F1781" t="s">
        <v>17</v>
      </c>
      <c r="G1781" t="s">
        <v>18</v>
      </c>
      <c r="H1781" t="s">
        <v>19</v>
      </c>
      <c r="I1781" t="s">
        <v>20</v>
      </c>
      <c r="J1781">
        <v>150</v>
      </c>
      <c r="L1781" t="s">
        <v>29</v>
      </c>
      <c r="S1781">
        <v>15</v>
      </c>
      <c r="T1781">
        <v>0</v>
      </c>
      <c r="U1781">
        <v>1</v>
      </c>
      <c r="V1781">
        <v>0</v>
      </c>
    </row>
    <row r="1782" spans="1:22">
      <c r="A1782" t="s">
        <v>1818</v>
      </c>
      <c r="B1782" s="3">
        <v>46198</v>
      </c>
      <c r="C1782" t="s">
        <v>78</v>
      </c>
      <c r="D1782" t="s">
        <v>163</v>
      </c>
      <c r="E1782" t="s">
        <v>16</v>
      </c>
      <c r="F1782" t="s">
        <v>17</v>
      </c>
      <c r="G1782" t="s">
        <v>32</v>
      </c>
      <c r="H1782" t="s">
        <v>19</v>
      </c>
      <c r="I1782" t="s">
        <v>20</v>
      </c>
      <c r="J1782">
        <v>300</v>
      </c>
      <c r="S1782">
        <v>36</v>
      </c>
      <c r="T1782">
        <v>0</v>
      </c>
      <c r="U1782">
        <v>1</v>
      </c>
      <c r="V1782">
        <v>0</v>
      </c>
    </row>
    <row r="1783" spans="1:22">
      <c r="A1783" t="s">
        <v>1819</v>
      </c>
      <c r="B1783" s="3">
        <v>46198</v>
      </c>
      <c r="C1783" t="s">
        <v>78</v>
      </c>
      <c r="D1783" t="s">
        <v>89</v>
      </c>
      <c r="E1783" t="s">
        <v>16</v>
      </c>
      <c r="F1783" t="s">
        <v>17</v>
      </c>
      <c r="G1783" t="s">
        <v>18</v>
      </c>
      <c r="H1783" t="s">
        <v>19</v>
      </c>
      <c r="I1783" t="s">
        <v>20</v>
      </c>
      <c r="J1783">
        <v>200</v>
      </c>
      <c r="S1783">
        <v>20</v>
      </c>
      <c r="T1783">
        <v>0</v>
      </c>
      <c r="U1783">
        <v>1</v>
      </c>
      <c r="V1783">
        <v>0</v>
      </c>
    </row>
    <row r="1784" spans="1:22">
      <c r="A1784" t="s">
        <v>1820</v>
      </c>
      <c r="B1784" s="3">
        <v>46198</v>
      </c>
      <c r="C1784" t="s">
        <v>78</v>
      </c>
      <c r="D1784" t="s">
        <v>83</v>
      </c>
      <c r="E1784" t="s">
        <v>16</v>
      </c>
      <c r="F1784" t="s">
        <v>17</v>
      </c>
      <c r="G1784" t="s">
        <v>32</v>
      </c>
      <c r="H1784" t="s">
        <v>24</v>
      </c>
      <c r="I1784" t="s">
        <v>20</v>
      </c>
      <c r="J1784">
        <v>300</v>
      </c>
      <c r="S1784">
        <v>0</v>
      </c>
      <c r="T1784">
        <v>0</v>
      </c>
      <c r="U1784">
        <v>0</v>
      </c>
      <c r="V1784">
        <v>0</v>
      </c>
    </row>
    <row r="1785" spans="1:22">
      <c r="A1785" t="s">
        <v>1821</v>
      </c>
      <c r="B1785" s="3">
        <v>46198</v>
      </c>
      <c r="C1785" t="s">
        <v>78</v>
      </c>
      <c r="D1785" t="s">
        <v>85</v>
      </c>
      <c r="E1785" t="s">
        <v>16</v>
      </c>
      <c r="F1785" t="s">
        <v>17</v>
      </c>
      <c r="G1785" t="s">
        <v>18</v>
      </c>
      <c r="H1785" t="s">
        <v>19</v>
      </c>
      <c r="I1785" t="s">
        <v>20</v>
      </c>
      <c r="J1785">
        <v>200</v>
      </c>
      <c r="S1785">
        <v>20</v>
      </c>
      <c r="T1785">
        <v>0</v>
      </c>
      <c r="U1785">
        <v>1</v>
      </c>
      <c r="V1785">
        <v>0</v>
      </c>
    </row>
    <row r="1786" spans="1:22">
      <c r="A1786" t="s">
        <v>1822</v>
      </c>
      <c r="B1786" s="3">
        <v>46198</v>
      </c>
      <c r="C1786" t="s">
        <v>78</v>
      </c>
      <c r="D1786" t="s">
        <v>93</v>
      </c>
      <c r="E1786" t="s">
        <v>16</v>
      </c>
      <c r="F1786" t="s">
        <v>35</v>
      </c>
      <c r="G1786" t="s">
        <v>18</v>
      </c>
      <c r="H1786" t="s">
        <v>19</v>
      </c>
      <c r="I1786" t="s">
        <v>20</v>
      </c>
      <c r="J1786">
        <v>200</v>
      </c>
      <c r="S1786">
        <v>6</v>
      </c>
      <c r="T1786">
        <v>0</v>
      </c>
      <c r="U1786">
        <v>0</v>
      </c>
      <c r="V1786">
        <v>0</v>
      </c>
    </row>
    <row r="1787" spans="1:22">
      <c r="A1787" t="s">
        <v>1823</v>
      </c>
      <c r="B1787" s="3">
        <v>46198</v>
      </c>
      <c r="C1787" t="s">
        <v>78</v>
      </c>
      <c r="D1787" t="s">
        <v>163</v>
      </c>
      <c r="E1787" t="s">
        <v>16</v>
      </c>
      <c r="F1787" t="s">
        <v>17</v>
      </c>
      <c r="G1787" t="s">
        <v>18</v>
      </c>
      <c r="H1787" t="s">
        <v>19</v>
      </c>
      <c r="I1787" t="s">
        <v>20</v>
      </c>
      <c r="J1787">
        <v>150</v>
      </c>
      <c r="L1787" t="s">
        <v>29</v>
      </c>
      <c r="S1787">
        <v>15</v>
      </c>
      <c r="T1787">
        <v>0</v>
      </c>
      <c r="U1787">
        <v>1</v>
      </c>
      <c r="V1787">
        <v>0</v>
      </c>
    </row>
    <row r="1788" spans="1:22">
      <c r="A1788" t="s">
        <v>1824</v>
      </c>
      <c r="B1788" s="3">
        <v>46198</v>
      </c>
      <c r="C1788" t="s">
        <v>105</v>
      </c>
      <c r="D1788" t="s">
        <v>191</v>
      </c>
      <c r="E1788" t="s">
        <v>16</v>
      </c>
      <c r="F1788" t="s">
        <v>17</v>
      </c>
      <c r="G1788" t="s">
        <v>18</v>
      </c>
      <c r="H1788" t="s">
        <v>19</v>
      </c>
      <c r="I1788" t="s">
        <v>20</v>
      </c>
      <c r="J1788">
        <v>200</v>
      </c>
      <c r="S1788">
        <v>20</v>
      </c>
      <c r="T1788">
        <v>0</v>
      </c>
      <c r="U1788">
        <v>1</v>
      </c>
      <c r="V1788">
        <v>0</v>
      </c>
    </row>
    <row r="1789" spans="1:22">
      <c r="A1789" t="s">
        <v>1825</v>
      </c>
      <c r="B1789" s="3">
        <v>46198</v>
      </c>
      <c r="C1789" t="s">
        <v>105</v>
      </c>
      <c r="D1789" t="s">
        <v>116</v>
      </c>
      <c r="E1789" t="s">
        <v>16</v>
      </c>
      <c r="F1789" t="s">
        <v>17</v>
      </c>
      <c r="G1789" t="s">
        <v>18</v>
      </c>
      <c r="H1789" t="s">
        <v>19</v>
      </c>
      <c r="I1789" t="s">
        <v>20</v>
      </c>
      <c r="J1789">
        <v>200</v>
      </c>
      <c r="S1789">
        <v>20</v>
      </c>
      <c r="T1789">
        <v>0</v>
      </c>
      <c r="U1789">
        <v>1</v>
      </c>
      <c r="V1789">
        <v>0</v>
      </c>
    </row>
    <row r="1790" spans="1:22">
      <c r="A1790" t="s">
        <v>1826</v>
      </c>
      <c r="B1790" s="3">
        <v>46198</v>
      </c>
      <c r="C1790" t="s">
        <v>105</v>
      </c>
      <c r="D1790" t="s">
        <v>265</v>
      </c>
      <c r="E1790" t="s">
        <v>16</v>
      </c>
      <c r="F1790" t="s">
        <v>17</v>
      </c>
      <c r="G1790" t="s">
        <v>23</v>
      </c>
      <c r="H1790" t="s">
        <v>19</v>
      </c>
      <c r="I1790" t="s">
        <v>20</v>
      </c>
      <c r="J1790">
        <v>120</v>
      </c>
      <c r="S1790">
        <v>9.6</v>
      </c>
      <c r="T1790">
        <v>0</v>
      </c>
      <c r="U1790">
        <v>1</v>
      </c>
      <c r="V1790">
        <v>0</v>
      </c>
    </row>
    <row r="1791" spans="1:22">
      <c r="A1791" t="s">
        <v>1827</v>
      </c>
      <c r="B1791" s="3">
        <v>46198</v>
      </c>
      <c r="C1791" t="s">
        <v>105</v>
      </c>
      <c r="D1791" t="s">
        <v>194</v>
      </c>
      <c r="E1791" t="s">
        <v>16</v>
      </c>
      <c r="F1791" t="s">
        <v>17</v>
      </c>
      <c r="G1791" t="s">
        <v>18</v>
      </c>
      <c r="H1791" t="s">
        <v>19</v>
      </c>
      <c r="I1791" t="s">
        <v>20</v>
      </c>
      <c r="J1791">
        <v>200</v>
      </c>
      <c r="S1791">
        <v>20</v>
      </c>
      <c r="T1791">
        <v>0</v>
      </c>
      <c r="U1791">
        <v>1</v>
      </c>
      <c r="V1791">
        <v>0</v>
      </c>
    </row>
    <row r="1792" spans="1:22">
      <c r="A1792" t="s">
        <v>1828</v>
      </c>
      <c r="B1792" s="3">
        <v>46198</v>
      </c>
      <c r="C1792" t="s">
        <v>105</v>
      </c>
      <c r="D1792" t="s">
        <v>106</v>
      </c>
      <c r="E1792" t="s">
        <v>16</v>
      </c>
      <c r="F1792" t="s">
        <v>35</v>
      </c>
      <c r="G1792" t="s">
        <v>18</v>
      </c>
      <c r="H1792" t="s">
        <v>19</v>
      </c>
      <c r="I1792" t="s">
        <v>20</v>
      </c>
      <c r="J1792">
        <v>200</v>
      </c>
      <c r="S1792">
        <v>6</v>
      </c>
      <c r="T1792">
        <v>0</v>
      </c>
      <c r="U1792">
        <v>0</v>
      </c>
      <c r="V1792">
        <v>0</v>
      </c>
    </row>
    <row r="1793" spans="1:22">
      <c r="A1793" t="s">
        <v>1829</v>
      </c>
      <c r="B1793" s="3">
        <v>46198</v>
      </c>
      <c r="C1793" t="s">
        <v>105</v>
      </c>
      <c r="D1793" t="s">
        <v>265</v>
      </c>
      <c r="E1793" t="s">
        <v>16</v>
      </c>
      <c r="F1793" t="s">
        <v>17</v>
      </c>
      <c r="G1793" t="s">
        <v>32</v>
      </c>
      <c r="H1793" t="s">
        <v>19</v>
      </c>
      <c r="I1793" t="s">
        <v>20</v>
      </c>
      <c r="J1793">
        <v>300</v>
      </c>
      <c r="S1793">
        <v>36</v>
      </c>
      <c r="T1793">
        <v>0</v>
      </c>
      <c r="U1793">
        <v>1</v>
      </c>
      <c r="V1793">
        <v>0</v>
      </c>
    </row>
    <row r="1794" spans="1:22">
      <c r="A1794" t="s">
        <v>1830</v>
      </c>
      <c r="B1794" s="3">
        <v>46198</v>
      </c>
      <c r="C1794" t="s">
        <v>105</v>
      </c>
      <c r="D1794" t="s">
        <v>108</v>
      </c>
      <c r="E1794" t="s">
        <v>16</v>
      </c>
      <c r="F1794" t="s">
        <v>17</v>
      </c>
      <c r="G1794" t="s">
        <v>18</v>
      </c>
      <c r="H1794" t="s">
        <v>24</v>
      </c>
      <c r="I1794" t="s">
        <v>20</v>
      </c>
      <c r="J1794">
        <v>170</v>
      </c>
      <c r="L1794" t="s">
        <v>29</v>
      </c>
      <c r="S1794">
        <v>0</v>
      </c>
      <c r="T1794">
        <v>0</v>
      </c>
      <c r="U1794">
        <v>0</v>
      </c>
      <c r="V1794">
        <v>0</v>
      </c>
    </row>
    <row r="1795" spans="1:22">
      <c r="A1795" t="s">
        <v>1831</v>
      </c>
      <c r="B1795" s="3">
        <v>46198</v>
      </c>
      <c r="C1795" t="s">
        <v>105</v>
      </c>
      <c r="D1795" t="s">
        <v>116</v>
      </c>
      <c r="E1795" t="s">
        <v>16</v>
      </c>
      <c r="F1795" t="s">
        <v>35</v>
      </c>
      <c r="G1795" t="s">
        <v>18</v>
      </c>
      <c r="H1795" t="s">
        <v>19</v>
      </c>
      <c r="I1795" t="s">
        <v>20</v>
      </c>
      <c r="J1795">
        <v>200</v>
      </c>
      <c r="S1795">
        <v>6</v>
      </c>
      <c r="T1795">
        <v>0</v>
      </c>
      <c r="U1795">
        <v>0</v>
      </c>
      <c r="V1795">
        <v>0</v>
      </c>
    </row>
    <row r="1796" spans="1:22">
      <c r="A1796" t="s">
        <v>1832</v>
      </c>
      <c r="B1796" s="3">
        <v>46198</v>
      </c>
      <c r="C1796" t="s">
        <v>105</v>
      </c>
      <c r="D1796" t="s">
        <v>106</v>
      </c>
      <c r="E1796" t="s">
        <v>16</v>
      </c>
      <c r="F1796" t="s">
        <v>35</v>
      </c>
      <c r="G1796" t="s">
        <v>18</v>
      </c>
      <c r="H1796" t="s">
        <v>19</v>
      </c>
      <c r="I1796" t="s">
        <v>20</v>
      </c>
      <c r="J1796">
        <v>200</v>
      </c>
      <c r="S1796">
        <v>6</v>
      </c>
      <c r="T1796">
        <v>0</v>
      </c>
      <c r="U1796">
        <v>0</v>
      </c>
      <c r="V1796">
        <v>0</v>
      </c>
    </row>
    <row r="1797" spans="1:22">
      <c r="A1797" t="s">
        <v>1833</v>
      </c>
      <c r="B1797" s="3">
        <v>46198</v>
      </c>
      <c r="C1797" t="s">
        <v>105</v>
      </c>
      <c r="D1797" t="s">
        <v>112</v>
      </c>
      <c r="E1797" t="s">
        <v>16</v>
      </c>
      <c r="F1797" t="s">
        <v>17</v>
      </c>
      <c r="G1797" t="s">
        <v>18</v>
      </c>
      <c r="H1797" t="s">
        <v>24</v>
      </c>
      <c r="I1797" t="s">
        <v>20</v>
      </c>
      <c r="J1797">
        <v>200</v>
      </c>
      <c r="S1797">
        <v>0</v>
      </c>
      <c r="T1797">
        <v>0</v>
      </c>
      <c r="U1797">
        <v>0</v>
      </c>
      <c r="V1797">
        <v>0</v>
      </c>
    </row>
    <row r="1798" spans="1:22">
      <c r="A1798" t="s">
        <v>1834</v>
      </c>
      <c r="B1798" s="3">
        <v>46198</v>
      </c>
      <c r="C1798" t="s">
        <v>105</v>
      </c>
      <c r="D1798" t="s">
        <v>110</v>
      </c>
      <c r="E1798" t="s">
        <v>16</v>
      </c>
      <c r="F1798" t="s">
        <v>17</v>
      </c>
      <c r="G1798" t="s">
        <v>18</v>
      </c>
      <c r="H1798" t="s">
        <v>19</v>
      </c>
      <c r="I1798" t="s">
        <v>20</v>
      </c>
      <c r="J1798">
        <v>200</v>
      </c>
      <c r="S1798">
        <v>20</v>
      </c>
      <c r="T1798">
        <v>0</v>
      </c>
      <c r="U1798">
        <v>1</v>
      </c>
      <c r="V1798">
        <v>0</v>
      </c>
    </row>
    <row r="1799" spans="1:22">
      <c r="A1799" t="s">
        <v>1835</v>
      </c>
      <c r="B1799" s="3">
        <v>46198</v>
      </c>
      <c r="C1799" t="s">
        <v>105</v>
      </c>
      <c r="D1799" t="s">
        <v>108</v>
      </c>
      <c r="E1799" t="s">
        <v>16</v>
      </c>
      <c r="F1799" t="s">
        <v>17</v>
      </c>
      <c r="G1799" t="s">
        <v>23</v>
      </c>
      <c r="H1799" t="s">
        <v>19</v>
      </c>
      <c r="I1799" t="s">
        <v>74</v>
      </c>
      <c r="J1799">
        <v>120</v>
      </c>
      <c r="S1799">
        <v>0</v>
      </c>
      <c r="T1799">
        <v>0</v>
      </c>
      <c r="U1799">
        <v>0</v>
      </c>
      <c r="V1799">
        <v>0</v>
      </c>
    </row>
    <row r="1800" spans="1:22">
      <c r="A1800" t="s">
        <v>1836</v>
      </c>
      <c r="B1800" s="3">
        <v>46198</v>
      </c>
      <c r="C1800" t="s">
        <v>105</v>
      </c>
      <c r="D1800" t="s">
        <v>106</v>
      </c>
      <c r="E1800" t="s">
        <v>16</v>
      </c>
      <c r="F1800" t="s">
        <v>17</v>
      </c>
      <c r="G1800" t="s">
        <v>18</v>
      </c>
      <c r="H1800" t="s">
        <v>19</v>
      </c>
      <c r="I1800" t="s">
        <v>74</v>
      </c>
      <c r="J1800">
        <v>200</v>
      </c>
      <c r="S1800">
        <v>0</v>
      </c>
      <c r="T1800">
        <v>0</v>
      </c>
      <c r="U1800">
        <v>0</v>
      </c>
      <c r="V1800">
        <v>0</v>
      </c>
    </row>
    <row r="1801" spans="1:22">
      <c r="A1801" t="s">
        <v>1837</v>
      </c>
      <c r="B1801" s="3">
        <v>46198</v>
      </c>
      <c r="C1801" t="s">
        <v>105</v>
      </c>
      <c r="D1801" t="s">
        <v>194</v>
      </c>
      <c r="E1801" t="s">
        <v>16</v>
      </c>
      <c r="F1801" t="s">
        <v>35</v>
      </c>
      <c r="G1801" t="s">
        <v>18</v>
      </c>
      <c r="H1801" t="s">
        <v>19</v>
      </c>
      <c r="I1801" t="s">
        <v>20</v>
      </c>
      <c r="J1801">
        <v>200</v>
      </c>
      <c r="S1801">
        <v>6</v>
      </c>
      <c r="T1801">
        <v>0</v>
      </c>
      <c r="U1801">
        <v>0</v>
      </c>
      <c r="V1801">
        <v>0</v>
      </c>
    </row>
    <row r="1802" spans="1:22">
      <c r="A1802" t="s">
        <v>1838</v>
      </c>
      <c r="B1802" s="3">
        <v>46198</v>
      </c>
      <c r="C1802" t="s">
        <v>105</v>
      </c>
      <c r="D1802" t="s">
        <v>194</v>
      </c>
      <c r="E1802" t="s">
        <v>16</v>
      </c>
      <c r="F1802" t="s">
        <v>17</v>
      </c>
      <c r="G1802" t="s">
        <v>18</v>
      </c>
      <c r="H1802" t="s">
        <v>19</v>
      </c>
      <c r="I1802" t="s">
        <v>20</v>
      </c>
      <c r="J1802">
        <v>200</v>
      </c>
      <c r="S1802">
        <v>20</v>
      </c>
      <c r="T1802">
        <v>0</v>
      </c>
      <c r="U1802">
        <v>1</v>
      </c>
      <c r="V1802">
        <v>0</v>
      </c>
    </row>
    <row r="1803" spans="1:22">
      <c r="A1803" t="s">
        <v>1839</v>
      </c>
      <c r="B1803" s="3">
        <v>46198</v>
      </c>
      <c r="C1803" t="s">
        <v>105</v>
      </c>
      <c r="D1803" t="s">
        <v>194</v>
      </c>
      <c r="E1803" t="s">
        <v>16</v>
      </c>
      <c r="F1803" t="s">
        <v>17</v>
      </c>
      <c r="G1803" t="s">
        <v>32</v>
      </c>
      <c r="H1803" t="s">
        <v>19</v>
      </c>
      <c r="I1803" t="s">
        <v>20</v>
      </c>
      <c r="J1803">
        <v>300</v>
      </c>
      <c r="S1803">
        <v>36</v>
      </c>
      <c r="T1803">
        <v>0</v>
      </c>
      <c r="U1803">
        <v>1</v>
      </c>
      <c r="V1803">
        <v>0</v>
      </c>
    </row>
    <row r="1804" spans="1:22">
      <c r="A1804" t="s">
        <v>1858</v>
      </c>
      <c r="B1804" s="3">
        <v>46199</v>
      </c>
      <c r="C1804" t="s">
        <v>14</v>
      </c>
      <c r="D1804" t="s">
        <v>137</v>
      </c>
      <c r="E1804" t="s">
        <v>16</v>
      </c>
      <c r="F1804" t="s">
        <v>17</v>
      </c>
      <c r="G1804" t="s">
        <v>23</v>
      </c>
      <c r="H1804" t="s">
        <v>19</v>
      </c>
      <c r="I1804" t="s">
        <v>20</v>
      </c>
      <c r="J1804">
        <v>120</v>
      </c>
      <c r="S1804">
        <v>9.6</v>
      </c>
      <c r="T1804">
        <v>0</v>
      </c>
      <c r="U1804">
        <v>1</v>
      </c>
      <c r="V1804">
        <v>0</v>
      </c>
    </row>
    <row r="1805" spans="1:22">
      <c r="A1805" t="s">
        <v>1860</v>
      </c>
      <c r="B1805" s="3">
        <v>46199</v>
      </c>
      <c r="C1805" t="s">
        <v>14</v>
      </c>
      <c r="D1805" t="s">
        <v>26</v>
      </c>
      <c r="E1805" t="s">
        <v>16</v>
      </c>
      <c r="F1805" t="s">
        <v>17</v>
      </c>
      <c r="G1805" t="s">
        <v>32</v>
      </c>
      <c r="H1805" t="s">
        <v>19</v>
      </c>
      <c r="I1805" t="s">
        <v>20</v>
      </c>
      <c r="J1805">
        <v>300</v>
      </c>
      <c r="S1805">
        <v>36</v>
      </c>
      <c r="T1805">
        <v>0</v>
      </c>
      <c r="U1805">
        <v>1</v>
      </c>
      <c r="V1805">
        <v>0</v>
      </c>
    </row>
    <row r="1806" spans="1:22">
      <c r="A1806" t="s">
        <v>1861</v>
      </c>
      <c r="B1806" s="3">
        <v>46199</v>
      </c>
      <c r="C1806" t="s">
        <v>14</v>
      </c>
      <c r="D1806" t="s">
        <v>28</v>
      </c>
      <c r="E1806" t="s">
        <v>16</v>
      </c>
      <c r="F1806" t="s">
        <v>17</v>
      </c>
      <c r="G1806" t="s">
        <v>32</v>
      </c>
      <c r="H1806" t="s">
        <v>19</v>
      </c>
      <c r="I1806" t="s">
        <v>20</v>
      </c>
      <c r="J1806">
        <v>300</v>
      </c>
      <c r="S1806">
        <v>36</v>
      </c>
      <c r="T1806">
        <v>0</v>
      </c>
      <c r="U1806">
        <v>1</v>
      </c>
      <c r="V1806">
        <v>0</v>
      </c>
    </row>
    <row r="1807" spans="1:22">
      <c r="A1807" t="s">
        <v>1862</v>
      </c>
      <c r="B1807" s="3">
        <v>46199</v>
      </c>
      <c r="C1807" t="s">
        <v>14</v>
      </c>
      <c r="D1807" t="s">
        <v>131</v>
      </c>
      <c r="E1807" t="s">
        <v>16</v>
      </c>
      <c r="F1807" t="s">
        <v>35</v>
      </c>
      <c r="G1807" t="s">
        <v>18</v>
      </c>
      <c r="H1807" t="s">
        <v>19</v>
      </c>
      <c r="I1807" t="s">
        <v>20</v>
      </c>
      <c r="J1807">
        <v>200</v>
      </c>
      <c r="S1807">
        <v>6</v>
      </c>
      <c r="T1807">
        <v>0</v>
      </c>
      <c r="U1807">
        <v>0</v>
      </c>
      <c r="V1807">
        <v>0</v>
      </c>
    </row>
    <row r="1808" spans="1:22">
      <c r="A1808" t="s">
        <v>1863</v>
      </c>
      <c r="B1808" s="3">
        <v>46199</v>
      </c>
      <c r="C1808" t="s">
        <v>14</v>
      </c>
      <c r="D1808" t="s">
        <v>37</v>
      </c>
      <c r="E1808" t="s">
        <v>16</v>
      </c>
      <c r="F1808" t="s">
        <v>17</v>
      </c>
      <c r="G1808" t="s">
        <v>32</v>
      </c>
      <c r="H1808" t="s">
        <v>24</v>
      </c>
      <c r="I1808" t="s">
        <v>20</v>
      </c>
      <c r="J1808">
        <v>225</v>
      </c>
      <c r="L1808" t="s">
        <v>29</v>
      </c>
      <c r="S1808">
        <v>0</v>
      </c>
      <c r="T1808">
        <v>0</v>
      </c>
      <c r="U1808">
        <v>0</v>
      </c>
      <c r="V1808">
        <v>0</v>
      </c>
    </row>
    <row r="1809" spans="1:22">
      <c r="A1809" t="s">
        <v>1864</v>
      </c>
      <c r="B1809" s="3">
        <v>46199</v>
      </c>
      <c r="C1809" t="s">
        <v>14</v>
      </c>
      <c r="D1809" t="s">
        <v>26</v>
      </c>
      <c r="E1809" t="s">
        <v>16</v>
      </c>
      <c r="F1809" t="s">
        <v>17</v>
      </c>
      <c r="G1809" t="s">
        <v>18</v>
      </c>
      <c r="H1809" t="s">
        <v>19</v>
      </c>
      <c r="I1809" t="s">
        <v>20</v>
      </c>
      <c r="J1809">
        <v>200</v>
      </c>
      <c r="S1809">
        <v>20</v>
      </c>
      <c r="T1809">
        <v>0</v>
      </c>
      <c r="U1809">
        <v>1</v>
      </c>
      <c r="V1809">
        <v>0</v>
      </c>
    </row>
    <row r="1810" spans="1:22">
      <c r="A1810" t="s">
        <v>1865</v>
      </c>
      <c r="B1810" s="3">
        <v>46199</v>
      </c>
      <c r="C1810" t="s">
        <v>14</v>
      </c>
      <c r="D1810" t="s">
        <v>28</v>
      </c>
      <c r="E1810" t="s">
        <v>16</v>
      </c>
      <c r="F1810" t="s">
        <v>17</v>
      </c>
      <c r="G1810" t="s">
        <v>18</v>
      </c>
      <c r="H1810" t="s">
        <v>19</v>
      </c>
      <c r="I1810" t="s">
        <v>20</v>
      </c>
      <c r="J1810">
        <v>170</v>
      </c>
      <c r="L1810" t="s">
        <v>29</v>
      </c>
      <c r="S1810">
        <v>17</v>
      </c>
      <c r="T1810">
        <v>0</v>
      </c>
      <c r="U1810">
        <v>1</v>
      </c>
      <c r="V1810">
        <v>0</v>
      </c>
    </row>
    <row r="1811" spans="1:22">
      <c r="A1811" t="s">
        <v>1866</v>
      </c>
      <c r="B1811" s="3">
        <v>46199</v>
      </c>
      <c r="C1811" t="s">
        <v>14</v>
      </c>
      <c r="D1811" t="s">
        <v>210</v>
      </c>
      <c r="E1811" t="s">
        <v>16</v>
      </c>
      <c r="F1811" t="s">
        <v>35</v>
      </c>
      <c r="G1811" t="s">
        <v>18</v>
      </c>
      <c r="H1811" t="s">
        <v>24</v>
      </c>
      <c r="I1811" t="s">
        <v>20</v>
      </c>
      <c r="J1811">
        <v>170</v>
      </c>
      <c r="L1811" t="s">
        <v>29</v>
      </c>
      <c r="S1811">
        <v>0</v>
      </c>
      <c r="T1811">
        <v>0</v>
      </c>
      <c r="U1811">
        <v>0</v>
      </c>
      <c r="V1811">
        <v>0</v>
      </c>
    </row>
    <row r="1812" spans="1:22">
      <c r="A1812" t="s">
        <v>1867</v>
      </c>
      <c r="B1812" s="3">
        <v>46199</v>
      </c>
      <c r="C1812" t="s">
        <v>14</v>
      </c>
      <c r="D1812" t="s">
        <v>26</v>
      </c>
      <c r="E1812" t="s">
        <v>16</v>
      </c>
      <c r="F1812" t="s">
        <v>17</v>
      </c>
      <c r="G1812" t="s">
        <v>23</v>
      </c>
      <c r="H1812" t="s">
        <v>19</v>
      </c>
      <c r="I1812" t="s">
        <v>20</v>
      </c>
      <c r="J1812">
        <v>102</v>
      </c>
      <c r="L1812" t="s">
        <v>29</v>
      </c>
      <c r="S1812">
        <v>8.16</v>
      </c>
      <c r="T1812">
        <v>0</v>
      </c>
      <c r="U1812">
        <v>1</v>
      </c>
      <c r="V1812">
        <v>0</v>
      </c>
    </row>
    <row r="1813" spans="1:22">
      <c r="A1813" t="s">
        <v>1868</v>
      </c>
      <c r="B1813" s="3">
        <v>46199</v>
      </c>
      <c r="C1813" t="s">
        <v>14</v>
      </c>
      <c r="D1813" t="s">
        <v>26</v>
      </c>
      <c r="E1813" t="s">
        <v>16</v>
      </c>
      <c r="F1813" t="s">
        <v>17</v>
      </c>
      <c r="G1813" t="s">
        <v>18</v>
      </c>
      <c r="H1813" t="s">
        <v>19</v>
      </c>
      <c r="I1813" t="s">
        <v>20</v>
      </c>
      <c r="J1813">
        <v>150</v>
      </c>
      <c r="L1813" t="s">
        <v>29</v>
      </c>
      <c r="S1813">
        <v>15</v>
      </c>
      <c r="T1813">
        <v>0</v>
      </c>
      <c r="U1813">
        <v>1</v>
      </c>
      <c r="V1813">
        <v>0</v>
      </c>
    </row>
    <row r="1814" spans="1:22">
      <c r="A1814" t="s">
        <v>1869</v>
      </c>
      <c r="B1814" s="3">
        <v>46199</v>
      </c>
      <c r="C1814" t="s">
        <v>14</v>
      </c>
      <c r="D1814" t="s">
        <v>34</v>
      </c>
      <c r="E1814" t="s">
        <v>16</v>
      </c>
      <c r="F1814" t="s">
        <v>17</v>
      </c>
      <c r="G1814" t="s">
        <v>18</v>
      </c>
      <c r="H1814" t="s">
        <v>19</v>
      </c>
      <c r="I1814" t="s">
        <v>20</v>
      </c>
      <c r="J1814">
        <v>200</v>
      </c>
      <c r="S1814">
        <v>20</v>
      </c>
      <c r="T1814">
        <v>0</v>
      </c>
      <c r="U1814">
        <v>1</v>
      </c>
      <c r="V1814">
        <v>0</v>
      </c>
    </row>
    <row r="1815" spans="1:22">
      <c r="A1815" t="s">
        <v>1870</v>
      </c>
      <c r="B1815" s="3">
        <v>46199</v>
      </c>
      <c r="C1815" t="s">
        <v>14</v>
      </c>
      <c r="D1815" t="s">
        <v>40</v>
      </c>
      <c r="E1815" t="s">
        <v>16</v>
      </c>
      <c r="F1815" t="s">
        <v>17</v>
      </c>
      <c r="G1815" t="s">
        <v>18</v>
      </c>
      <c r="H1815" t="s">
        <v>19</v>
      </c>
      <c r="I1815" t="s">
        <v>20</v>
      </c>
      <c r="J1815">
        <v>200</v>
      </c>
      <c r="S1815">
        <v>20</v>
      </c>
      <c r="T1815">
        <v>0</v>
      </c>
      <c r="U1815">
        <v>1</v>
      </c>
      <c r="V1815">
        <v>0</v>
      </c>
    </row>
    <row r="1816" spans="1:22">
      <c r="A1816" t="s">
        <v>1871</v>
      </c>
      <c r="B1816" s="3">
        <v>46199</v>
      </c>
      <c r="C1816" t="s">
        <v>14</v>
      </c>
      <c r="D1816" t="s">
        <v>42</v>
      </c>
      <c r="E1816" t="s">
        <v>16</v>
      </c>
      <c r="F1816" t="s">
        <v>17</v>
      </c>
      <c r="G1816" t="s">
        <v>18</v>
      </c>
      <c r="H1816" t="s">
        <v>24</v>
      </c>
      <c r="I1816" t="s">
        <v>20</v>
      </c>
      <c r="J1816">
        <v>200</v>
      </c>
      <c r="S1816">
        <v>0</v>
      </c>
      <c r="T1816">
        <v>0</v>
      </c>
      <c r="U1816">
        <v>0</v>
      </c>
      <c r="V1816">
        <v>0</v>
      </c>
    </row>
    <row r="1817" spans="1:22">
      <c r="A1817" t="s">
        <v>1872</v>
      </c>
      <c r="B1817" s="3">
        <v>46199</v>
      </c>
      <c r="C1817" t="s">
        <v>14</v>
      </c>
      <c r="D1817" t="s">
        <v>37</v>
      </c>
      <c r="E1817" t="s">
        <v>16</v>
      </c>
      <c r="F1817" t="s">
        <v>35</v>
      </c>
      <c r="G1817" t="s">
        <v>32</v>
      </c>
      <c r="H1817" t="s">
        <v>19</v>
      </c>
      <c r="I1817" t="s">
        <v>20</v>
      </c>
      <c r="J1817">
        <v>255</v>
      </c>
      <c r="L1817" t="s">
        <v>29</v>
      </c>
      <c r="S1817">
        <v>7.65</v>
      </c>
      <c r="T1817">
        <v>0</v>
      </c>
      <c r="U1817">
        <v>0</v>
      </c>
      <c r="V1817">
        <v>0</v>
      </c>
    </row>
    <row r="1818" spans="1:22">
      <c r="A1818" t="s">
        <v>1873</v>
      </c>
      <c r="B1818" s="3">
        <v>46199</v>
      </c>
      <c r="C1818" t="s">
        <v>14</v>
      </c>
      <c r="D1818" t="s">
        <v>40</v>
      </c>
      <c r="E1818" t="s">
        <v>16</v>
      </c>
      <c r="F1818" t="s">
        <v>17</v>
      </c>
      <c r="G1818" t="s">
        <v>32</v>
      </c>
      <c r="H1818" t="s">
        <v>19</v>
      </c>
      <c r="I1818" t="s">
        <v>20</v>
      </c>
      <c r="J1818">
        <v>300</v>
      </c>
      <c r="S1818">
        <v>36</v>
      </c>
      <c r="T1818">
        <v>0</v>
      </c>
      <c r="U1818">
        <v>1</v>
      </c>
      <c r="V1818">
        <v>0</v>
      </c>
    </row>
    <row r="1819" spans="1:22">
      <c r="A1819" t="s">
        <v>1874</v>
      </c>
      <c r="B1819" s="3">
        <v>46199</v>
      </c>
      <c r="C1819" t="s">
        <v>14</v>
      </c>
      <c r="D1819" t="s">
        <v>26</v>
      </c>
      <c r="E1819" t="s">
        <v>16</v>
      </c>
      <c r="F1819" t="s">
        <v>17</v>
      </c>
      <c r="G1819" t="s">
        <v>18</v>
      </c>
      <c r="H1819" t="s">
        <v>24</v>
      </c>
      <c r="I1819" t="s">
        <v>20</v>
      </c>
      <c r="J1819">
        <v>200</v>
      </c>
      <c r="S1819">
        <v>0</v>
      </c>
      <c r="T1819">
        <v>0</v>
      </c>
      <c r="U1819">
        <v>0</v>
      </c>
      <c r="V1819">
        <v>0</v>
      </c>
    </row>
    <row r="1820" spans="1:22">
      <c r="A1820" t="s">
        <v>1875</v>
      </c>
      <c r="B1820" s="3">
        <v>46199</v>
      </c>
      <c r="C1820" t="s">
        <v>14</v>
      </c>
      <c r="D1820" t="s">
        <v>26</v>
      </c>
      <c r="E1820" t="s">
        <v>16</v>
      </c>
      <c r="F1820" t="s">
        <v>17</v>
      </c>
      <c r="G1820" t="s">
        <v>32</v>
      </c>
      <c r="H1820" t="s">
        <v>19</v>
      </c>
      <c r="I1820" t="s">
        <v>20</v>
      </c>
      <c r="J1820">
        <v>300</v>
      </c>
      <c r="S1820">
        <v>36</v>
      </c>
      <c r="T1820">
        <v>0</v>
      </c>
      <c r="U1820">
        <v>1</v>
      </c>
      <c r="V1820">
        <v>0</v>
      </c>
    </row>
    <row r="1821" spans="1:22">
      <c r="A1821" t="s">
        <v>1876</v>
      </c>
      <c r="B1821" s="3">
        <v>46199</v>
      </c>
      <c r="C1821" t="s">
        <v>47</v>
      </c>
      <c r="D1821" t="s">
        <v>64</v>
      </c>
      <c r="E1821" t="s">
        <v>16</v>
      </c>
      <c r="F1821" t="s">
        <v>17</v>
      </c>
      <c r="G1821" t="s">
        <v>23</v>
      </c>
      <c r="H1821" t="s">
        <v>19</v>
      </c>
      <c r="I1821" t="s">
        <v>20</v>
      </c>
      <c r="J1821">
        <v>120</v>
      </c>
      <c r="S1821">
        <v>9.6</v>
      </c>
      <c r="T1821">
        <v>0</v>
      </c>
      <c r="U1821">
        <v>1</v>
      </c>
      <c r="V1821">
        <v>0</v>
      </c>
    </row>
    <row r="1822" spans="1:22">
      <c r="A1822" t="s">
        <v>1877</v>
      </c>
      <c r="B1822" s="3">
        <v>46199</v>
      </c>
      <c r="C1822" t="s">
        <v>47</v>
      </c>
      <c r="D1822" t="s">
        <v>64</v>
      </c>
      <c r="E1822" t="s">
        <v>16</v>
      </c>
      <c r="F1822" t="s">
        <v>35</v>
      </c>
      <c r="G1822" t="s">
        <v>32</v>
      </c>
      <c r="H1822" t="s">
        <v>19</v>
      </c>
      <c r="I1822" t="s">
        <v>20</v>
      </c>
      <c r="J1822">
        <v>225</v>
      </c>
      <c r="L1822" t="s">
        <v>29</v>
      </c>
      <c r="S1822">
        <v>6.75</v>
      </c>
      <c r="T1822">
        <v>0</v>
      </c>
      <c r="U1822">
        <v>0</v>
      </c>
      <c r="V1822">
        <v>0</v>
      </c>
    </row>
    <row r="1823" spans="1:22">
      <c r="A1823" t="s">
        <v>1878</v>
      </c>
      <c r="B1823" s="3">
        <v>46199</v>
      </c>
      <c r="C1823" t="s">
        <v>47</v>
      </c>
      <c r="D1823" t="s">
        <v>52</v>
      </c>
      <c r="E1823" t="s">
        <v>16</v>
      </c>
      <c r="F1823" t="s">
        <v>17</v>
      </c>
      <c r="G1823" t="s">
        <v>23</v>
      </c>
      <c r="H1823" t="s">
        <v>19</v>
      </c>
      <c r="I1823" t="s">
        <v>20</v>
      </c>
      <c r="J1823">
        <v>120</v>
      </c>
      <c r="S1823">
        <v>9.6</v>
      </c>
      <c r="T1823">
        <v>0</v>
      </c>
      <c r="U1823">
        <v>1</v>
      </c>
      <c r="V1823">
        <v>0</v>
      </c>
    </row>
    <row r="1824" spans="1:22">
      <c r="A1824" t="s">
        <v>1879</v>
      </c>
      <c r="B1824" s="3">
        <v>46199</v>
      </c>
      <c r="C1824" t="s">
        <v>47</v>
      </c>
      <c r="D1824" t="s">
        <v>66</v>
      </c>
      <c r="E1824" t="s">
        <v>16</v>
      </c>
      <c r="F1824" t="s">
        <v>17</v>
      </c>
      <c r="G1824" t="s">
        <v>23</v>
      </c>
      <c r="H1824" t="s">
        <v>19</v>
      </c>
      <c r="I1824" t="s">
        <v>20</v>
      </c>
      <c r="J1824">
        <v>120</v>
      </c>
      <c r="S1824">
        <v>9.6</v>
      </c>
      <c r="T1824">
        <v>0</v>
      </c>
      <c r="U1824">
        <v>1</v>
      </c>
      <c r="V1824">
        <v>0</v>
      </c>
    </row>
    <row r="1825" spans="1:22">
      <c r="A1825" t="s">
        <v>1880</v>
      </c>
      <c r="B1825" s="3">
        <v>46199</v>
      </c>
      <c r="C1825" t="s">
        <v>47</v>
      </c>
      <c r="D1825" t="s">
        <v>152</v>
      </c>
      <c r="E1825" t="s">
        <v>16</v>
      </c>
      <c r="F1825" t="s">
        <v>17</v>
      </c>
      <c r="G1825" t="s">
        <v>23</v>
      </c>
      <c r="H1825" t="s">
        <v>19</v>
      </c>
      <c r="I1825" t="s">
        <v>20</v>
      </c>
      <c r="J1825">
        <v>120</v>
      </c>
      <c r="S1825">
        <v>9.6</v>
      </c>
      <c r="T1825">
        <v>0</v>
      </c>
      <c r="U1825">
        <v>1</v>
      </c>
      <c r="V1825">
        <v>0</v>
      </c>
    </row>
    <row r="1826" spans="1:22">
      <c r="A1826" t="s">
        <v>1881</v>
      </c>
      <c r="B1826" s="3">
        <v>46199</v>
      </c>
      <c r="C1826" t="s">
        <v>47</v>
      </c>
      <c r="D1826" t="s">
        <v>73</v>
      </c>
      <c r="E1826" t="s">
        <v>16</v>
      </c>
      <c r="F1826" t="s">
        <v>17</v>
      </c>
      <c r="G1826" t="s">
        <v>23</v>
      </c>
      <c r="H1826" t="s">
        <v>19</v>
      </c>
      <c r="I1826" t="s">
        <v>20</v>
      </c>
      <c r="J1826">
        <v>120</v>
      </c>
      <c r="S1826">
        <v>9.6</v>
      </c>
      <c r="T1826">
        <v>0</v>
      </c>
      <c r="U1826">
        <v>1</v>
      </c>
      <c r="V1826">
        <v>0</v>
      </c>
    </row>
    <row r="1827" spans="1:22">
      <c r="A1827" t="s">
        <v>1882</v>
      </c>
      <c r="B1827" s="3">
        <v>46199</v>
      </c>
      <c r="C1827" t="s">
        <v>47</v>
      </c>
      <c r="D1827" t="s">
        <v>62</v>
      </c>
      <c r="E1827" t="s">
        <v>16</v>
      </c>
      <c r="F1827" t="s">
        <v>17</v>
      </c>
      <c r="G1827" t="s">
        <v>23</v>
      </c>
      <c r="H1827" t="s">
        <v>24</v>
      </c>
      <c r="I1827" t="s">
        <v>20</v>
      </c>
      <c r="J1827">
        <v>120</v>
      </c>
      <c r="S1827">
        <v>0</v>
      </c>
      <c r="T1827">
        <v>0</v>
      </c>
      <c r="U1827">
        <v>0</v>
      </c>
      <c r="V1827">
        <v>0</v>
      </c>
    </row>
    <row r="1828" spans="1:22">
      <c r="A1828" t="s">
        <v>1883</v>
      </c>
      <c r="B1828" s="3">
        <v>46199</v>
      </c>
      <c r="C1828" t="s">
        <v>47</v>
      </c>
      <c r="D1828" t="s">
        <v>52</v>
      </c>
      <c r="E1828" t="s">
        <v>16</v>
      </c>
      <c r="F1828" t="s">
        <v>35</v>
      </c>
      <c r="G1828" t="s">
        <v>32</v>
      </c>
      <c r="H1828" t="s">
        <v>19</v>
      </c>
      <c r="I1828" t="s">
        <v>20</v>
      </c>
      <c r="J1828">
        <v>300</v>
      </c>
      <c r="S1828">
        <v>9</v>
      </c>
      <c r="T1828">
        <v>0</v>
      </c>
      <c r="U1828">
        <v>0</v>
      </c>
      <c r="V1828">
        <v>0</v>
      </c>
    </row>
    <row r="1829" spans="1:22">
      <c r="A1829" t="s">
        <v>1884</v>
      </c>
      <c r="B1829" s="3">
        <v>46199</v>
      </c>
      <c r="C1829" t="s">
        <v>47</v>
      </c>
      <c r="D1829" t="s">
        <v>62</v>
      </c>
      <c r="E1829" t="s">
        <v>16</v>
      </c>
      <c r="F1829" t="s">
        <v>17</v>
      </c>
      <c r="G1829" t="s">
        <v>18</v>
      </c>
      <c r="H1829" t="s">
        <v>19</v>
      </c>
      <c r="I1829" t="s">
        <v>20</v>
      </c>
      <c r="J1829">
        <v>200</v>
      </c>
      <c r="S1829">
        <v>20</v>
      </c>
      <c r="T1829">
        <v>0</v>
      </c>
      <c r="U1829">
        <v>1</v>
      </c>
      <c r="V1829">
        <v>0</v>
      </c>
    </row>
    <row r="1830" spans="1:22">
      <c r="A1830" t="s">
        <v>1885</v>
      </c>
      <c r="B1830" s="3">
        <v>46199</v>
      </c>
      <c r="C1830" t="s">
        <v>47</v>
      </c>
      <c r="D1830" t="s">
        <v>64</v>
      </c>
      <c r="E1830" t="s">
        <v>16</v>
      </c>
      <c r="F1830" t="s">
        <v>17</v>
      </c>
      <c r="G1830" t="s">
        <v>18</v>
      </c>
      <c r="H1830" t="s">
        <v>19</v>
      </c>
      <c r="I1830" t="s">
        <v>20</v>
      </c>
      <c r="J1830">
        <v>200</v>
      </c>
      <c r="S1830">
        <v>20</v>
      </c>
      <c r="T1830">
        <v>0</v>
      </c>
      <c r="U1830">
        <v>1</v>
      </c>
      <c r="V1830">
        <v>0</v>
      </c>
    </row>
    <row r="1831" spans="1:22">
      <c r="A1831" t="s">
        <v>1886</v>
      </c>
      <c r="B1831" s="3">
        <v>46199</v>
      </c>
      <c r="C1831" t="s">
        <v>47</v>
      </c>
      <c r="D1831" t="s">
        <v>64</v>
      </c>
      <c r="E1831" t="s">
        <v>16</v>
      </c>
      <c r="F1831" t="s">
        <v>17</v>
      </c>
      <c r="G1831" t="s">
        <v>18</v>
      </c>
      <c r="H1831" t="s">
        <v>19</v>
      </c>
      <c r="I1831" t="s">
        <v>20</v>
      </c>
      <c r="J1831">
        <v>200</v>
      </c>
      <c r="S1831">
        <v>20</v>
      </c>
      <c r="T1831">
        <v>0</v>
      </c>
      <c r="U1831">
        <v>1</v>
      </c>
      <c r="V1831">
        <v>0</v>
      </c>
    </row>
    <row r="1832" spans="1:22">
      <c r="A1832" t="s">
        <v>1887</v>
      </c>
      <c r="B1832" s="3">
        <v>46199</v>
      </c>
      <c r="C1832" t="s">
        <v>47</v>
      </c>
      <c r="D1832" t="s">
        <v>64</v>
      </c>
      <c r="E1832" t="s">
        <v>16</v>
      </c>
      <c r="F1832" t="s">
        <v>17</v>
      </c>
      <c r="G1832" t="s">
        <v>32</v>
      </c>
      <c r="H1832" t="s">
        <v>24</v>
      </c>
      <c r="I1832" t="s">
        <v>20</v>
      </c>
      <c r="J1832">
        <v>225</v>
      </c>
      <c r="L1832" t="s">
        <v>29</v>
      </c>
      <c r="S1832">
        <v>0</v>
      </c>
      <c r="T1832">
        <v>0</v>
      </c>
      <c r="U1832">
        <v>0</v>
      </c>
      <c r="V1832">
        <v>0</v>
      </c>
    </row>
    <row r="1833" spans="1:22">
      <c r="A1833" t="s">
        <v>1888</v>
      </c>
      <c r="B1833" s="3">
        <v>46199</v>
      </c>
      <c r="C1833" t="s">
        <v>47</v>
      </c>
      <c r="D1833" t="s">
        <v>50</v>
      </c>
      <c r="E1833" t="s">
        <v>16</v>
      </c>
      <c r="F1833" t="s">
        <v>17</v>
      </c>
      <c r="G1833" t="s">
        <v>18</v>
      </c>
      <c r="H1833" t="s">
        <v>19</v>
      </c>
      <c r="I1833" t="s">
        <v>20</v>
      </c>
      <c r="J1833">
        <v>150</v>
      </c>
      <c r="L1833" t="s">
        <v>29</v>
      </c>
      <c r="S1833">
        <v>15</v>
      </c>
      <c r="T1833">
        <v>0</v>
      </c>
      <c r="U1833">
        <v>1</v>
      </c>
      <c r="V1833">
        <v>0</v>
      </c>
    </row>
    <row r="1834" spans="1:22">
      <c r="A1834" t="s">
        <v>1889</v>
      </c>
      <c r="B1834" s="3">
        <v>46199</v>
      </c>
      <c r="C1834" t="s">
        <v>47</v>
      </c>
      <c r="D1834" t="s">
        <v>71</v>
      </c>
      <c r="E1834" t="s">
        <v>16</v>
      </c>
      <c r="F1834" t="s">
        <v>17</v>
      </c>
      <c r="G1834" t="s">
        <v>18</v>
      </c>
      <c r="H1834" t="s">
        <v>19</v>
      </c>
      <c r="I1834" t="s">
        <v>20</v>
      </c>
      <c r="J1834">
        <v>150</v>
      </c>
      <c r="L1834" t="s">
        <v>29</v>
      </c>
      <c r="S1834">
        <v>15</v>
      </c>
      <c r="T1834">
        <v>0</v>
      </c>
      <c r="U1834">
        <v>1</v>
      </c>
      <c r="V1834">
        <v>0</v>
      </c>
    </row>
    <row r="1835" spans="1:22">
      <c r="A1835" t="s">
        <v>1890</v>
      </c>
      <c r="B1835" s="3">
        <v>46199</v>
      </c>
      <c r="C1835" t="s">
        <v>78</v>
      </c>
      <c r="D1835" t="s">
        <v>102</v>
      </c>
      <c r="E1835" t="s">
        <v>16</v>
      </c>
      <c r="F1835" t="s">
        <v>17</v>
      </c>
      <c r="G1835" t="s">
        <v>32</v>
      </c>
      <c r="H1835" t="s">
        <v>19</v>
      </c>
      <c r="I1835" t="s">
        <v>20</v>
      </c>
      <c r="J1835">
        <v>300</v>
      </c>
      <c r="S1835">
        <v>36</v>
      </c>
      <c r="T1835">
        <v>0</v>
      </c>
      <c r="U1835">
        <v>1</v>
      </c>
      <c r="V1835">
        <v>0</v>
      </c>
    </row>
    <row r="1836" spans="1:22">
      <c r="A1836" t="s">
        <v>1891</v>
      </c>
      <c r="B1836" s="3">
        <v>46199</v>
      </c>
      <c r="C1836" t="s">
        <v>78</v>
      </c>
      <c r="D1836" t="s">
        <v>163</v>
      </c>
      <c r="E1836" t="s">
        <v>16</v>
      </c>
      <c r="F1836" t="s">
        <v>17</v>
      </c>
      <c r="G1836" t="s">
        <v>32</v>
      </c>
      <c r="H1836" t="s">
        <v>19</v>
      </c>
      <c r="I1836" t="s">
        <v>20</v>
      </c>
      <c r="J1836">
        <v>300</v>
      </c>
      <c r="S1836">
        <v>36</v>
      </c>
      <c r="T1836">
        <v>0</v>
      </c>
      <c r="U1836">
        <v>1</v>
      </c>
      <c r="V1836">
        <v>0</v>
      </c>
    </row>
    <row r="1837" spans="1:22">
      <c r="A1837" t="s">
        <v>1892</v>
      </c>
      <c r="B1837" s="3">
        <v>46199</v>
      </c>
      <c r="C1837" t="s">
        <v>78</v>
      </c>
      <c r="D1837" t="s">
        <v>102</v>
      </c>
      <c r="E1837" t="s">
        <v>16</v>
      </c>
      <c r="F1837" t="s">
        <v>17</v>
      </c>
      <c r="G1837" t="s">
        <v>23</v>
      </c>
      <c r="H1837" t="s">
        <v>19</v>
      </c>
      <c r="I1837" t="s">
        <v>20</v>
      </c>
      <c r="J1837">
        <v>120</v>
      </c>
      <c r="S1837">
        <v>9.6</v>
      </c>
      <c r="T1837">
        <v>0</v>
      </c>
      <c r="U1837">
        <v>1</v>
      </c>
      <c r="V1837">
        <v>0</v>
      </c>
    </row>
    <row r="1838" spans="1:22">
      <c r="A1838" t="s">
        <v>1893</v>
      </c>
      <c r="B1838" s="3">
        <v>46199</v>
      </c>
      <c r="C1838" t="s">
        <v>78</v>
      </c>
      <c r="D1838" t="s">
        <v>81</v>
      </c>
      <c r="E1838" t="s">
        <v>16</v>
      </c>
      <c r="F1838" t="s">
        <v>17</v>
      </c>
      <c r="G1838" t="s">
        <v>23</v>
      </c>
      <c r="H1838" t="s">
        <v>19</v>
      </c>
      <c r="I1838" t="s">
        <v>20</v>
      </c>
      <c r="J1838">
        <v>120</v>
      </c>
      <c r="S1838">
        <v>9.6</v>
      </c>
      <c r="T1838">
        <v>0</v>
      </c>
      <c r="U1838">
        <v>1</v>
      </c>
      <c r="V1838">
        <v>0</v>
      </c>
    </row>
    <row r="1839" spans="1:22">
      <c r="A1839" t="s">
        <v>1894</v>
      </c>
      <c r="B1839" s="3">
        <v>46199</v>
      </c>
      <c r="C1839" t="s">
        <v>78</v>
      </c>
      <c r="D1839" t="s">
        <v>85</v>
      </c>
      <c r="E1839" t="s">
        <v>16</v>
      </c>
      <c r="F1839" t="s">
        <v>17</v>
      </c>
      <c r="G1839" t="s">
        <v>32</v>
      </c>
      <c r="H1839" t="s">
        <v>19</v>
      </c>
      <c r="I1839" t="s">
        <v>20</v>
      </c>
      <c r="J1839">
        <v>225</v>
      </c>
      <c r="L1839" t="s">
        <v>29</v>
      </c>
      <c r="S1839">
        <v>27</v>
      </c>
      <c r="T1839">
        <v>0</v>
      </c>
      <c r="U1839">
        <v>1</v>
      </c>
      <c r="V1839">
        <v>0</v>
      </c>
    </row>
    <row r="1840" spans="1:22">
      <c r="A1840" t="s">
        <v>1895</v>
      </c>
      <c r="B1840" s="3">
        <v>46199</v>
      </c>
      <c r="C1840" t="s">
        <v>78</v>
      </c>
      <c r="D1840" t="s">
        <v>97</v>
      </c>
      <c r="E1840" t="s">
        <v>16</v>
      </c>
      <c r="F1840" t="s">
        <v>17</v>
      </c>
      <c r="G1840" t="s">
        <v>23</v>
      </c>
      <c r="H1840" t="s">
        <v>19</v>
      </c>
      <c r="I1840" t="s">
        <v>20</v>
      </c>
      <c r="J1840">
        <v>120</v>
      </c>
      <c r="S1840">
        <v>9.6</v>
      </c>
      <c r="T1840">
        <v>0</v>
      </c>
      <c r="U1840">
        <v>1</v>
      </c>
      <c r="V1840">
        <v>0</v>
      </c>
    </row>
    <row r="1841" spans="1:22">
      <c r="A1841" t="s">
        <v>1896</v>
      </c>
      <c r="B1841" s="3">
        <v>46199</v>
      </c>
      <c r="C1841" t="s">
        <v>78</v>
      </c>
      <c r="D1841" t="s">
        <v>81</v>
      </c>
      <c r="E1841" t="s">
        <v>16</v>
      </c>
      <c r="F1841" t="s">
        <v>17</v>
      </c>
      <c r="G1841" t="s">
        <v>18</v>
      </c>
      <c r="H1841" t="s">
        <v>19</v>
      </c>
      <c r="I1841" t="s">
        <v>20</v>
      </c>
      <c r="J1841">
        <v>200</v>
      </c>
      <c r="S1841">
        <v>20</v>
      </c>
      <c r="T1841">
        <v>0</v>
      </c>
      <c r="U1841">
        <v>1</v>
      </c>
      <c r="V1841">
        <v>0</v>
      </c>
    </row>
    <row r="1842" spans="1:22">
      <c r="A1842" t="s">
        <v>1897</v>
      </c>
      <c r="B1842" s="3">
        <v>46199</v>
      </c>
      <c r="C1842" t="s">
        <v>78</v>
      </c>
      <c r="D1842" t="s">
        <v>102</v>
      </c>
      <c r="E1842" t="s">
        <v>16</v>
      </c>
      <c r="F1842" t="s">
        <v>17</v>
      </c>
      <c r="G1842" t="s">
        <v>32</v>
      </c>
      <c r="H1842" t="s">
        <v>19</v>
      </c>
      <c r="I1842" t="s">
        <v>20</v>
      </c>
      <c r="J1842">
        <v>255</v>
      </c>
      <c r="L1842" t="s">
        <v>29</v>
      </c>
      <c r="S1842">
        <v>30.6</v>
      </c>
      <c r="T1842">
        <v>0</v>
      </c>
      <c r="U1842">
        <v>1</v>
      </c>
      <c r="V1842">
        <v>0</v>
      </c>
    </row>
    <row r="1843" spans="1:22">
      <c r="A1843" t="s">
        <v>1898</v>
      </c>
      <c r="B1843" s="3">
        <v>46199</v>
      </c>
      <c r="C1843" t="s">
        <v>78</v>
      </c>
      <c r="D1843" t="s">
        <v>93</v>
      </c>
      <c r="E1843" t="s">
        <v>16</v>
      </c>
      <c r="F1843" t="s">
        <v>17</v>
      </c>
      <c r="G1843" t="s">
        <v>32</v>
      </c>
      <c r="H1843" t="s">
        <v>19</v>
      </c>
      <c r="I1843" t="s">
        <v>20</v>
      </c>
      <c r="J1843">
        <v>225</v>
      </c>
      <c r="L1843" t="s">
        <v>29</v>
      </c>
      <c r="S1843">
        <v>27</v>
      </c>
      <c r="T1843">
        <v>0</v>
      </c>
      <c r="U1843">
        <v>1</v>
      </c>
      <c r="V1843">
        <v>0</v>
      </c>
    </row>
    <row r="1844" spans="1:22">
      <c r="A1844" t="s">
        <v>1899</v>
      </c>
      <c r="B1844" s="3">
        <v>46199</v>
      </c>
      <c r="C1844" t="s">
        <v>78</v>
      </c>
      <c r="D1844" t="s">
        <v>81</v>
      </c>
      <c r="E1844" t="s">
        <v>16</v>
      </c>
      <c r="F1844" t="s">
        <v>17</v>
      </c>
      <c r="G1844" t="s">
        <v>18</v>
      </c>
      <c r="H1844" t="s">
        <v>19</v>
      </c>
      <c r="I1844" t="s">
        <v>20</v>
      </c>
      <c r="J1844">
        <v>200</v>
      </c>
      <c r="S1844">
        <v>20</v>
      </c>
      <c r="T1844">
        <v>0</v>
      </c>
      <c r="U1844">
        <v>1</v>
      </c>
      <c r="V1844">
        <v>0</v>
      </c>
    </row>
    <row r="1845" spans="1:22">
      <c r="A1845" t="s">
        <v>1900</v>
      </c>
      <c r="B1845" s="3">
        <v>46199</v>
      </c>
      <c r="C1845" t="s">
        <v>78</v>
      </c>
      <c r="D1845" t="s">
        <v>97</v>
      </c>
      <c r="E1845" t="s">
        <v>16</v>
      </c>
      <c r="F1845" t="s">
        <v>17</v>
      </c>
      <c r="G1845" t="s">
        <v>32</v>
      </c>
      <c r="H1845" t="s">
        <v>24</v>
      </c>
      <c r="I1845" t="s">
        <v>53</v>
      </c>
      <c r="J1845">
        <v>300</v>
      </c>
      <c r="S1845">
        <v>0</v>
      </c>
      <c r="T1845">
        <v>0</v>
      </c>
      <c r="U1845">
        <v>0</v>
      </c>
      <c r="V1845">
        <v>0</v>
      </c>
    </row>
    <row r="1846" spans="1:22">
      <c r="A1846" t="s">
        <v>1901</v>
      </c>
      <c r="B1846" s="3">
        <v>46199</v>
      </c>
      <c r="C1846" t="s">
        <v>78</v>
      </c>
      <c r="D1846" t="s">
        <v>93</v>
      </c>
      <c r="E1846" t="s">
        <v>16</v>
      </c>
      <c r="F1846" t="s">
        <v>17</v>
      </c>
      <c r="G1846" t="s">
        <v>32</v>
      </c>
      <c r="H1846" t="s">
        <v>19</v>
      </c>
      <c r="I1846" t="s">
        <v>20</v>
      </c>
      <c r="J1846">
        <v>300</v>
      </c>
      <c r="S1846">
        <v>36</v>
      </c>
      <c r="T1846">
        <v>0</v>
      </c>
      <c r="U1846">
        <v>1</v>
      </c>
      <c r="V1846">
        <v>0</v>
      </c>
    </row>
    <row r="1847" spans="1:22">
      <c r="A1847" t="s">
        <v>1902</v>
      </c>
      <c r="B1847" s="3">
        <v>46199</v>
      </c>
      <c r="C1847" t="s">
        <v>78</v>
      </c>
      <c r="D1847" t="s">
        <v>89</v>
      </c>
      <c r="E1847" t="s">
        <v>16</v>
      </c>
      <c r="F1847" t="s">
        <v>17</v>
      </c>
      <c r="G1847" t="s">
        <v>32</v>
      </c>
      <c r="H1847" t="s">
        <v>19</v>
      </c>
      <c r="I1847" t="s">
        <v>20</v>
      </c>
      <c r="J1847">
        <v>300</v>
      </c>
      <c r="S1847">
        <v>36</v>
      </c>
      <c r="T1847">
        <v>0</v>
      </c>
      <c r="U1847">
        <v>1</v>
      </c>
      <c r="V1847">
        <v>0</v>
      </c>
    </row>
    <row r="1848" spans="1:22">
      <c r="A1848" t="s">
        <v>1903</v>
      </c>
      <c r="B1848" s="3">
        <v>46199</v>
      </c>
      <c r="C1848" t="s">
        <v>78</v>
      </c>
      <c r="D1848" t="s">
        <v>85</v>
      </c>
      <c r="E1848" t="s">
        <v>16</v>
      </c>
      <c r="F1848" t="s">
        <v>17</v>
      </c>
      <c r="G1848" t="s">
        <v>23</v>
      </c>
      <c r="H1848" t="s">
        <v>19</v>
      </c>
      <c r="I1848" t="s">
        <v>74</v>
      </c>
      <c r="J1848">
        <v>120</v>
      </c>
      <c r="S1848">
        <v>0</v>
      </c>
      <c r="T1848">
        <v>0</v>
      </c>
      <c r="U1848">
        <v>0</v>
      </c>
      <c r="V1848">
        <v>0</v>
      </c>
    </row>
    <row r="1849" spans="1:22">
      <c r="A1849" t="s">
        <v>1904</v>
      </c>
      <c r="B1849" s="3">
        <v>46199</v>
      </c>
      <c r="C1849" t="s">
        <v>78</v>
      </c>
      <c r="D1849" t="s">
        <v>85</v>
      </c>
      <c r="E1849" t="s">
        <v>16</v>
      </c>
      <c r="F1849" t="s">
        <v>17</v>
      </c>
      <c r="G1849" t="s">
        <v>23</v>
      </c>
      <c r="H1849" t="s">
        <v>24</v>
      </c>
      <c r="I1849" t="s">
        <v>20</v>
      </c>
      <c r="J1849">
        <v>102</v>
      </c>
      <c r="L1849" t="s">
        <v>29</v>
      </c>
      <c r="S1849">
        <v>0</v>
      </c>
      <c r="T1849">
        <v>0</v>
      </c>
      <c r="U1849">
        <v>0</v>
      </c>
      <c r="V1849">
        <v>0</v>
      </c>
    </row>
    <row r="1850" spans="1:22">
      <c r="A1850" t="s">
        <v>1905</v>
      </c>
      <c r="B1850" s="3">
        <v>46199</v>
      </c>
      <c r="C1850" t="s">
        <v>78</v>
      </c>
      <c r="D1850" t="s">
        <v>161</v>
      </c>
      <c r="E1850" t="s">
        <v>16</v>
      </c>
      <c r="F1850" t="s">
        <v>17</v>
      </c>
      <c r="G1850" t="s">
        <v>23</v>
      </c>
      <c r="H1850" t="s">
        <v>19</v>
      </c>
      <c r="I1850" t="s">
        <v>20</v>
      </c>
      <c r="J1850">
        <v>120</v>
      </c>
      <c r="S1850">
        <v>9.6</v>
      </c>
      <c r="T1850">
        <v>0</v>
      </c>
      <c r="U1850">
        <v>1</v>
      </c>
      <c r="V1850">
        <v>0</v>
      </c>
    </row>
    <row r="1851" spans="1:22">
      <c r="A1851" t="s">
        <v>1906</v>
      </c>
      <c r="B1851" s="3">
        <v>46199</v>
      </c>
      <c r="C1851" t="s">
        <v>78</v>
      </c>
      <c r="D1851" t="s">
        <v>79</v>
      </c>
      <c r="E1851" t="s">
        <v>16</v>
      </c>
      <c r="F1851" t="s">
        <v>17</v>
      </c>
      <c r="G1851" t="s">
        <v>18</v>
      </c>
      <c r="H1851" t="s">
        <v>19</v>
      </c>
      <c r="I1851" t="s">
        <v>20</v>
      </c>
      <c r="J1851">
        <v>200</v>
      </c>
      <c r="S1851">
        <v>20</v>
      </c>
      <c r="T1851">
        <v>0</v>
      </c>
      <c r="U1851">
        <v>1</v>
      </c>
      <c r="V1851">
        <v>0</v>
      </c>
    </row>
    <row r="1852" spans="1:22">
      <c r="A1852" t="s">
        <v>1907</v>
      </c>
      <c r="B1852" s="3">
        <v>46199</v>
      </c>
      <c r="C1852" t="s">
        <v>105</v>
      </c>
      <c r="D1852" t="s">
        <v>116</v>
      </c>
      <c r="E1852" t="s">
        <v>16</v>
      </c>
      <c r="F1852" t="s">
        <v>17</v>
      </c>
      <c r="G1852" t="s">
        <v>32</v>
      </c>
      <c r="H1852" t="s">
        <v>19</v>
      </c>
      <c r="I1852" t="s">
        <v>20</v>
      </c>
      <c r="J1852">
        <v>255</v>
      </c>
      <c r="L1852" t="s">
        <v>29</v>
      </c>
      <c r="S1852">
        <v>30.6</v>
      </c>
      <c r="T1852">
        <v>0</v>
      </c>
      <c r="U1852">
        <v>1</v>
      </c>
      <c r="V1852">
        <v>0</v>
      </c>
    </row>
    <row r="1853" spans="1:22">
      <c r="A1853" t="s">
        <v>1908</v>
      </c>
      <c r="B1853" s="3">
        <v>46199</v>
      </c>
      <c r="C1853" t="s">
        <v>105</v>
      </c>
      <c r="D1853" t="s">
        <v>182</v>
      </c>
      <c r="E1853" t="s">
        <v>16</v>
      </c>
      <c r="F1853" t="s">
        <v>17</v>
      </c>
      <c r="G1853" t="s">
        <v>18</v>
      </c>
      <c r="H1853" t="s">
        <v>19</v>
      </c>
      <c r="I1853" t="s">
        <v>20</v>
      </c>
      <c r="J1853">
        <v>200</v>
      </c>
      <c r="S1853">
        <v>20</v>
      </c>
      <c r="T1853">
        <v>0</v>
      </c>
      <c r="U1853">
        <v>1</v>
      </c>
      <c r="V1853">
        <v>0</v>
      </c>
    </row>
    <row r="1854" spans="1:22">
      <c r="A1854" t="s">
        <v>1909</v>
      </c>
      <c r="B1854" s="3">
        <v>46199</v>
      </c>
      <c r="C1854" t="s">
        <v>105</v>
      </c>
      <c r="D1854" t="s">
        <v>116</v>
      </c>
      <c r="E1854" t="s">
        <v>16</v>
      </c>
      <c r="F1854" t="s">
        <v>17</v>
      </c>
      <c r="G1854" t="s">
        <v>32</v>
      </c>
      <c r="H1854" t="s">
        <v>19</v>
      </c>
      <c r="I1854" t="s">
        <v>20</v>
      </c>
      <c r="J1854">
        <v>300</v>
      </c>
      <c r="S1854">
        <v>36</v>
      </c>
      <c r="T1854">
        <v>0</v>
      </c>
      <c r="U1854">
        <v>1</v>
      </c>
      <c r="V1854">
        <v>0</v>
      </c>
    </row>
    <row r="1855" spans="1:22">
      <c r="A1855" t="s">
        <v>1910</v>
      </c>
      <c r="B1855" s="3">
        <v>46199</v>
      </c>
      <c r="C1855" t="s">
        <v>105</v>
      </c>
      <c r="D1855" t="s">
        <v>187</v>
      </c>
      <c r="E1855" t="s">
        <v>16</v>
      </c>
      <c r="F1855" t="s">
        <v>17</v>
      </c>
      <c r="G1855" t="s">
        <v>18</v>
      </c>
      <c r="H1855" t="s">
        <v>19</v>
      </c>
      <c r="I1855" t="s">
        <v>20</v>
      </c>
      <c r="J1855">
        <v>200</v>
      </c>
      <c r="S1855">
        <v>20</v>
      </c>
      <c r="T1855">
        <v>0</v>
      </c>
      <c r="U1855">
        <v>1</v>
      </c>
      <c r="V1855">
        <v>0</v>
      </c>
    </row>
    <row r="1856" spans="1:22">
      <c r="A1856" t="s">
        <v>1911</v>
      </c>
      <c r="B1856" s="3">
        <v>46199</v>
      </c>
      <c r="C1856" t="s">
        <v>105</v>
      </c>
      <c r="D1856" t="s">
        <v>182</v>
      </c>
      <c r="E1856" t="s">
        <v>16</v>
      </c>
      <c r="F1856" t="s">
        <v>17</v>
      </c>
      <c r="G1856" t="s">
        <v>18</v>
      </c>
      <c r="H1856" t="s">
        <v>19</v>
      </c>
      <c r="I1856" t="s">
        <v>20</v>
      </c>
      <c r="J1856">
        <v>200</v>
      </c>
      <c r="S1856">
        <v>20</v>
      </c>
      <c r="T1856">
        <v>0</v>
      </c>
      <c r="U1856">
        <v>1</v>
      </c>
      <c r="V1856">
        <v>0</v>
      </c>
    </row>
    <row r="1857" spans="1:22">
      <c r="A1857" t="s">
        <v>1912</v>
      </c>
      <c r="B1857" s="3">
        <v>46199</v>
      </c>
      <c r="C1857" t="s">
        <v>105</v>
      </c>
      <c r="D1857" t="s">
        <v>265</v>
      </c>
      <c r="E1857" t="s">
        <v>16</v>
      </c>
      <c r="F1857" t="s">
        <v>17</v>
      </c>
      <c r="G1857" t="s">
        <v>23</v>
      </c>
      <c r="H1857" t="s">
        <v>19</v>
      </c>
      <c r="I1857" t="s">
        <v>20</v>
      </c>
      <c r="J1857">
        <v>102</v>
      </c>
      <c r="L1857" t="s">
        <v>29</v>
      </c>
      <c r="S1857">
        <v>8.16</v>
      </c>
      <c r="T1857">
        <v>0</v>
      </c>
      <c r="U1857">
        <v>1</v>
      </c>
      <c r="V1857">
        <v>0</v>
      </c>
    </row>
    <row r="1858" spans="1:22">
      <c r="A1858" t="s">
        <v>1913</v>
      </c>
      <c r="B1858" s="3">
        <v>46199</v>
      </c>
      <c r="C1858" t="s">
        <v>105</v>
      </c>
      <c r="D1858" t="s">
        <v>191</v>
      </c>
      <c r="E1858" t="s">
        <v>16</v>
      </c>
      <c r="F1858" t="s">
        <v>17</v>
      </c>
      <c r="G1858" t="s">
        <v>32</v>
      </c>
      <c r="H1858" t="s">
        <v>19</v>
      </c>
      <c r="I1858" t="s">
        <v>53</v>
      </c>
      <c r="J1858">
        <v>300</v>
      </c>
      <c r="S1858">
        <v>0</v>
      </c>
      <c r="T1858">
        <v>0</v>
      </c>
      <c r="U1858">
        <v>0</v>
      </c>
      <c r="V1858">
        <v>0</v>
      </c>
    </row>
    <row r="1859" spans="1:22">
      <c r="A1859" t="s">
        <v>1914</v>
      </c>
      <c r="B1859" s="3">
        <v>46199</v>
      </c>
      <c r="C1859" t="s">
        <v>105</v>
      </c>
      <c r="D1859" t="s">
        <v>182</v>
      </c>
      <c r="E1859" t="s">
        <v>16</v>
      </c>
      <c r="F1859" t="s">
        <v>17</v>
      </c>
      <c r="G1859" t="s">
        <v>23</v>
      </c>
      <c r="H1859" t="s">
        <v>19</v>
      </c>
      <c r="I1859" t="s">
        <v>20</v>
      </c>
      <c r="J1859">
        <v>120</v>
      </c>
      <c r="S1859">
        <v>9.6</v>
      </c>
      <c r="T1859">
        <v>0</v>
      </c>
      <c r="U1859">
        <v>1</v>
      </c>
      <c r="V1859">
        <v>0</v>
      </c>
    </row>
    <row r="1860" spans="1:22">
      <c r="A1860" t="s">
        <v>1915</v>
      </c>
      <c r="B1860" s="3">
        <v>46199</v>
      </c>
      <c r="C1860" t="s">
        <v>105</v>
      </c>
      <c r="D1860" t="s">
        <v>110</v>
      </c>
      <c r="E1860" t="s">
        <v>16</v>
      </c>
      <c r="F1860" t="s">
        <v>17</v>
      </c>
      <c r="G1860" t="s">
        <v>32</v>
      </c>
      <c r="H1860" t="s">
        <v>19</v>
      </c>
      <c r="I1860" t="s">
        <v>20</v>
      </c>
      <c r="J1860">
        <v>300</v>
      </c>
      <c r="S1860">
        <v>36</v>
      </c>
      <c r="T1860">
        <v>0</v>
      </c>
      <c r="U1860">
        <v>1</v>
      </c>
      <c r="V1860">
        <v>0</v>
      </c>
    </row>
    <row r="1861" spans="1:22">
      <c r="A1861" t="s">
        <v>1916</v>
      </c>
      <c r="B1861" s="3">
        <v>46199</v>
      </c>
      <c r="C1861" t="s">
        <v>105</v>
      </c>
      <c r="D1861" t="s">
        <v>187</v>
      </c>
      <c r="E1861" t="s">
        <v>16</v>
      </c>
      <c r="F1861" t="s">
        <v>17</v>
      </c>
      <c r="G1861" t="s">
        <v>18</v>
      </c>
      <c r="H1861" t="s">
        <v>19</v>
      </c>
      <c r="I1861" t="s">
        <v>20</v>
      </c>
      <c r="J1861">
        <v>200</v>
      </c>
      <c r="S1861">
        <v>20</v>
      </c>
      <c r="T1861">
        <v>0</v>
      </c>
      <c r="U1861">
        <v>1</v>
      </c>
      <c r="V1861">
        <v>0</v>
      </c>
    </row>
    <row r="1862" spans="1:22">
      <c r="A1862" t="s">
        <v>1917</v>
      </c>
      <c r="B1862" s="3">
        <v>46199</v>
      </c>
      <c r="C1862" t="s">
        <v>105</v>
      </c>
      <c r="D1862" t="s">
        <v>194</v>
      </c>
      <c r="E1862" t="s">
        <v>16</v>
      </c>
      <c r="F1862" t="s">
        <v>17</v>
      </c>
      <c r="G1862" t="s">
        <v>32</v>
      </c>
      <c r="H1862" t="s">
        <v>19</v>
      </c>
      <c r="I1862" t="s">
        <v>20</v>
      </c>
      <c r="J1862">
        <v>300</v>
      </c>
      <c r="S1862">
        <v>36</v>
      </c>
      <c r="T1862">
        <v>0</v>
      </c>
      <c r="U1862">
        <v>1</v>
      </c>
      <c r="V1862">
        <v>0</v>
      </c>
    </row>
    <row r="1863" spans="1:22">
      <c r="A1863" t="s">
        <v>1918</v>
      </c>
      <c r="B1863" s="3">
        <v>46199</v>
      </c>
      <c r="C1863" t="s">
        <v>105</v>
      </c>
      <c r="D1863" t="s">
        <v>106</v>
      </c>
      <c r="E1863" t="s">
        <v>16</v>
      </c>
      <c r="F1863" t="s">
        <v>17</v>
      </c>
      <c r="G1863" t="s">
        <v>18</v>
      </c>
      <c r="H1863" t="s">
        <v>24</v>
      </c>
      <c r="I1863" t="s">
        <v>20</v>
      </c>
      <c r="J1863">
        <v>200</v>
      </c>
      <c r="S1863">
        <v>0</v>
      </c>
      <c r="T1863">
        <v>0</v>
      </c>
      <c r="U1863">
        <v>0</v>
      </c>
      <c r="V1863">
        <v>0</v>
      </c>
    </row>
    <row r="1864" spans="1:22">
      <c r="A1864" t="s">
        <v>1919</v>
      </c>
      <c r="B1864" s="3">
        <v>46199</v>
      </c>
      <c r="C1864" t="s">
        <v>105</v>
      </c>
      <c r="D1864" t="s">
        <v>116</v>
      </c>
      <c r="E1864" t="s">
        <v>16</v>
      </c>
      <c r="F1864" t="s">
        <v>17</v>
      </c>
      <c r="G1864" t="s">
        <v>18</v>
      </c>
      <c r="H1864" t="s">
        <v>19</v>
      </c>
      <c r="I1864" t="s">
        <v>20</v>
      </c>
      <c r="J1864">
        <v>200</v>
      </c>
      <c r="S1864">
        <v>20</v>
      </c>
      <c r="T1864">
        <v>0</v>
      </c>
      <c r="U1864">
        <v>1</v>
      </c>
      <c r="V1864">
        <v>0</v>
      </c>
    </row>
    <row r="1865" spans="1:22">
      <c r="A1865" t="s">
        <v>1920</v>
      </c>
      <c r="B1865" s="3">
        <v>46199</v>
      </c>
      <c r="C1865" t="s">
        <v>105</v>
      </c>
      <c r="D1865" t="s">
        <v>187</v>
      </c>
      <c r="E1865" t="s">
        <v>16</v>
      </c>
      <c r="F1865" t="s">
        <v>17</v>
      </c>
      <c r="G1865" t="s">
        <v>18</v>
      </c>
      <c r="H1865" t="s">
        <v>19</v>
      </c>
      <c r="I1865" t="s">
        <v>20</v>
      </c>
      <c r="J1865">
        <v>200</v>
      </c>
      <c r="S1865">
        <v>20</v>
      </c>
      <c r="T1865">
        <v>0</v>
      </c>
      <c r="U1865">
        <v>1</v>
      </c>
      <c r="V1865">
        <v>0</v>
      </c>
    </row>
    <row r="1866" spans="1:22">
      <c r="A1866" t="s">
        <v>1921</v>
      </c>
      <c r="B1866" s="3">
        <v>46199</v>
      </c>
      <c r="C1866" t="s">
        <v>105</v>
      </c>
      <c r="D1866" t="s">
        <v>182</v>
      </c>
      <c r="E1866" t="s">
        <v>16</v>
      </c>
      <c r="F1866" t="s">
        <v>17</v>
      </c>
      <c r="G1866" t="s">
        <v>32</v>
      </c>
      <c r="H1866" t="s">
        <v>19</v>
      </c>
      <c r="I1866" t="s">
        <v>20</v>
      </c>
      <c r="J1866">
        <v>225</v>
      </c>
      <c r="L1866" t="s">
        <v>29</v>
      </c>
      <c r="S1866">
        <v>27</v>
      </c>
      <c r="T1866">
        <v>0</v>
      </c>
      <c r="U1866">
        <v>1</v>
      </c>
      <c r="V1866">
        <v>0</v>
      </c>
    </row>
    <row r="1867" spans="1:22">
      <c r="A1867" t="s">
        <v>1946</v>
      </c>
      <c r="B1867" s="3">
        <v>46200</v>
      </c>
      <c r="C1867" t="s">
        <v>14</v>
      </c>
      <c r="D1867" t="s">
        <v>131</v>
      </c>
      <c r="E1867" t="s">
        <v>16</v>
      </c>
      <c r="F1867" t="s">
        <v>17</v>
      </c>
      <c r="G1867" t="s">
        <v>32</v>
      </c>
      <c r="H1867" t="s">
        <v>19</v>
      </c>
      <c r="I1867" t="s">
        <v>20</v>
      </c>
      <c r="J1867">
        <v>300</v>
      </c>
      <c r="S1867">
        <v>36</v>
      </c>
      <c r="T1867">
        <v>0</v>
      </c>
      <c r="U1867">
        <v>1</v>
      </c>
      <c r="V1867">
        <v>0</v>
      </c>
    </row>
    <row r="1868" spans="1:22">
      <c r="A1868" t="s">
        <v>1948</v>
      </c>
      <c r="B1868" s="3">
        <v>46200</v>
      </c>
      <c r="C1868" t="s">
        <v>14</v>
      </c>
      <c r="D1868" t="s">
        <v>131</v>
      </c>
      <c r="E1868" t="s">
        <v>16</v>
      </c>
      <c r="F1868" t="s">
        <v>35</v>
      </c>
      <c r="G1868" t="s">
        <v>23</v>
      </c>
      <c r="H1868" t="s">
        <v>19</v>
      </c>
      <c r="I1868" t="s">
        <v>20</v>
      </c>
      <c r="J1868">
        <v>120</v>
      </c>
      <c r="S1868">
        <v>3.6</v>
      </c>
      <c r="T1868">
        <v>0</v>
      </c>
      <c r="U1868">
        <v>0</v>
      </c>
      <c r="V1868">
        <v>0</v>
      </c>
    </row>
    <row r="1869" spans="1:22">
      <c r="A1869" t="s">
        <v>1949</v>
      </c>
      <c r="B1869" s="3">
        <v>46200</v>
      </c>
      <c r="C1869" t="s">
        <v>14</v>
      </c>
      <c r="D1869" t="s">
        <v>37</v>
      </c>
      <c r="E1869" t="s">
        <v>16</v>
      </c>
      <c r="F1869" t="s">
        <v>17</v>
      </c>
      <c r="G1869" t="s">
        <v>32</v>
      </c>
      <c r="H1869" t="s">
        <v>19</v>
      </c>
      <c r="I1869" t="s">
        <v>20</v>
      </c>
      <c r="J1869">
        <v>300</v>
      </c>
      <c r="S1869">
        <v>36</v>
      </c>
      <c r="T1869">
        <v>0</v>
      </c>
      <c r="U1869">
        <v>1</v>
      </c>
      <c r="V1869">
        <v>0</v>
      </c>
    </row>
    <row r="1870" spans="1:22">
      <c r="A1870" t="s">
        <v>1950</v>
      </c>
      <c r="B1870" s="3">
        <v>46200</v>
      </c>
      <c r="C1870" t="s">
        <v>14</v>
      </c>
      <c r="D1870" t="s">
        <v>28</v>
      </c>
      <c r="E1870" t="s">
        <v>16</v>
      </c>
      <c r="F1870" t="s">
        <v>17</v>
      </c>
      <c r="G1870" t="s">
        <v>18</v>
      </c>
      <c r="H1870" t="s">
        <v>24</v>
      </c>
      <c r="I1870" t="s">
        <v>20</v>
      </c>
      <c r="J1870">
        <v>200</v>
      </c>
      <c r="S1870">
        <v>0</v>
      </c>
      <c r="T1870">
        <v>0</v>
      </c>
      <c r="U1870">
        <v>0</v>
      </c>
      <c r="V1870">
        <v>0</v>
      </c>
    </row>
    <row r="1871" spans="1:22">
      <c r="A1871" t="s">
        <v>1951</v>
      </c>
      <c r="B1871" s="3">
        <v>46200</v>
      </c>
      <c r="C1871" t="s">
        <v>14</v>
      </c>
      <c r="D1871" t="s">
        <v>15</v>
      </c>
      <c r="E1871" t="s">
        <v>16</v>
      </c>
      <c r="F1871" t="s">
        <v>17</v>
      </c>
      <c r="G1871" t="s">
        <v>18</v>
      </c>
      <c r="H1871" t="s">
        <v>19</v>
      </c>
      <c r="I1871" t="s">
        <v>20</v>
      </c>
      <c r="J1871">
        <v>150</v>
      </c>
      <c r="L1871" t="s">
        <v>29</v>
      </c>
      <c r="S1871">
        <v>15</v>
      </c>
      <c r="T1871">
        <v>0</v>
      </c>
      <c r="U1871">
        <v>1</v>
      </c>
      <c r="V1871">
        <v>0</v>
      </c>
    </row>
    <row r="1872" spans="1:22">
      <c r="A1872" t="s">
        <v>1952</v>
      </c>
      <c r="B1872" s="3">
        <v>46200</v>
      </c>
      <c r="C1872" t="s">
        <v>14</v>
      </c>
      <c r="D1872" t="s">
        <v>31</v>
      </c>
      <c r="E1872" t="s">
        <v>16</v>
      </c>
      <c r="F1872" t="s">
        <v>17</v>
      </c>
      <c r="G1872" t="s">
        <v>32</v>
      </c>
      <c r="H1872" t="s">
        <v>24</v>
      </c>
      <c r="I1872" t="s">
        <v>20</v>
      </c>
      <c r="J1872">
        <v>300</v>
      </c>
      <c r="S1872">
        <v>0</v>
      </c>
      <c r="T1872">
        <v>0</v>
      </c>
      <c r="U1872">
        <v>0</v>
      </c>
      <c r="V1872">
        <v>0</v>
      </c>
    </row>
    <row r="1873" spans="1:22">
      <c r="A1873" t="s">
        <v>1953</v>
      </c>
      <c r="B1873" s="3">
        <v>46200</v>
      </c>
      <c r="C1873" t="s">
        <v>14</v>
      </c>
      <c r="D1873" t="s">
        <v>15</v>
      </c>
      <c r="E1873" t="s">
        <v>16</v>
      </c>
      <c r="F1873" t="s">
        <v>35</v>
      </c>
      <c r="G1873" t="s">
        <v>18</v>
      </c>
      <c r="H1873" t="s">
        <v>19</v>
      </c>
      <c r="I1873" t="s">
        <v>20</v>
      </c>
      <c r="J1873">
        <v>200</v>
      </c>
      <c r="S1873">
        <v>6</v>
      </c>
      <c r="T1873">
        <v>0</v>
      </c>
      <c r="U1873">
        <v>0</v>
      </c>
      <c r="V1873">
        <v>0</v>
      </c>
    </row>
    <row r="1874" spans="1:22">
      <c r="A1874" t="s">
        <v>1954</v>
      </c>
      <c r="B1874" s="3">
        <v>46200</v>
      </c>
      <c r="C1874" t="s">
        <v>14</v>
      </c>
      <c r="D1874" t="s">
        <v>37</v>
      </c>
      <c r="E1874" t="s">
        <v>16</v>
      </c>
      <c r="F1874" t="s">
        <v>17</v>
      </c>
      <c r="G1874" t="s">
        <v>32</v>
      </c>
      <c r="H1874" t="s">
        <v>19</v>
      </c>
      <c r="I1874" t="s">
        <v>20</v>
      </c>
      <c r="J1874">
        <v>300</v>
      </c>
      <c r="S1874">
        <v>36</v>
      </c>
      <c r="T1874">
        <v>0</v>
      </c>
      <c r="U1874">
        <v>1</v>
      </c>
      <c r="V1874">
        <v>0</v>
      </c>
    </row>
    <row r="1875" spans="1:22">
      <c r="A1875" t="s">
        <v>1955</v>
      </c>
      <c r="B1875" s="3">
        <v>46200</v>
      </c>
      <c r="C1875" t="s">
        <v>14</v>
      </c>
      <c r="D1875" t="s">
        <v>34</v>
      </c>
      <c r="E1875" t="s">
        <v>16</v>
      </c>
      <c r="F1875" t="s">
        <v>17</v>
      </c>
      <c r="G1875" t="s">
        <v>23</v>
      </c>
      <c r="H1875" t="s">
        <v>19</v>
      </c>
      <c r="I1875" t="s">
        <v>20</v>
      </c>
      <c r="J1875">
        <v>120</v>
      </c>
      <c r="S1875">
        <v>9.6</v>
      </c>
      <c r="T1875">
        <v>0</v>
      </c>
      <c r="U1875">
        <v>1</v>
      </c>
      <c r="V1875">
        <v>0</v>
      </c>
    </row>
    <row r="1876" spans="1:22">
      <c r="A1876" t="s">
        <v>1956</v>
      </c>
      <c r="B1876" s="3">
        <v>46200</v>
      </c>
      <c r="C1876" t="s">
        <v>14</v>
      </c>
      <c r="D1876" t="s">
        <v>34</v>
      </c>
      <c r="E1876" t="s">
        <v>16</v>
      </c>
      <c r="F1876" t="s">
        <v>17</v>
      </c>
      <c r="G1876" t="s">
        <v>18</v>
      </c>
      <c r="H1876" t="s">
        <v>24</v>
      </c>
      <c r="I1876" t="s">
        <v>20</v>
      </c>
      <c r="J1876">
        <v>200</v>
      </c>
      <c r="S1876">
        <v>0</v>
      </c>
      <c r="T1876">
        <v>0</v>
      </c>
      <c r="U1876">
        <v>0</v>
      </c>
      <c r="V1876">
        <v>0</v>
      </c>
    </row>
    <row r="1877" spans="1:22">
      <c r="A1877" t="s">
        <v>1957</v>
      </c>
      <c r="B1877" s="3">
        <v>46200</v>
      </c>
      <c r="C1877" t="s">
        <v>14</v>
      </c>
      <c r="D1877" t="s">
        <v>31</v>
      </c>
      <c r="E1877" t="s">
        <v>16</v>
      </c>
      <c r="F1877" t="s">
        <v>35</v>
      </c>
      <c r="G1877" t="s">
        <v>18</v>
      </c>
      <c r="H1877" t="s">
        <v>19</v>
      </c>
      <c r="I1877" t="s">
        <v>20</v>
      </c>
      <c r="J1877">
        <v>200</v>
      </c>
      <c r="S1877">
        <v>6</v>
      </c>
      <c r="T1877">
        <v>0</v>
      </c>
      <c r="U1877">
        <v>0</v>
      </c>
      <c r="V1877">
        <v>0</v>
      </c>
    </row>
    <row r="1878" spans="1:22">
      <c r="A1878" t="s">
        <v>1958</v>
      </c>
      <c r="B1878" s="3">
        <v>46200</v>
      </c>
      <c r="C1878" t="s">
        <v>14</v>
      </c>
      <c r="D1878" t="s">
        <v>137</v>
      </c>
      <c r="E1878" t="s">
        <v>16</v>
      </c>
      <c r="F1878" t="s">
        <v>17</v>
      </c>
      <c r="G1878" t="s">
        <v>32</v>
      </c>
      <c r="H1878" t="s">
        <v>19</v>
      </c>
      <c r="I1878" t="s">
        <v>20</v>
      </c>
      <c r="J1878">
        <v>255</v>
      </c>
      <c r="L1878" t="s">
        <v>29</v>
      </c>
      <c r="S1878">
        <v>30.6</v>
      </c>
      <c r="T1878">
        <v>0</v>
      </c>
      <c r="U1878">
        <v>1</v>
      </c>
      <c r="V1878">
        <v>0</v>
      </c>
    </row>
    <row r="1879" spans="1:22">
      <c r="A1879" t="s">
        <v>1959</v>
      </c>
      <c r="B1879" s="3">
        <v>46200</v>
      </c>
      <c r="C1879" t="s">
        <v>14</v>
      </c>
      <c r="D1879" t="s">
        <v>210</v>
      </c>
      <c r="E1879" t="s">
        <v>16</v>
      </c>
      <c r="F1879" t="s">
        <v>35</v>
      </c>
      <c r="G1879" t="s">
        <v>18</v>
      </c>
      <c r="H1879" t="s">
        <v>19</v>
      </c>
      <c r="I1879" t="s">
        <v>20</v>
      </c>
      <c r="J1879">
        <v>200</v>
      </c>
      <c r="S1879">
        <v>6</v>
      </c>
      <c r="T1879">
        <v>0</v>
      </c>
      <c r="U1879">
        <v>0</v>
      </c>
      <c r="V1879">
        <v>0</v>
      </c>
    </row>
    <row r="1880" spans="1:22">
      <c r="A1880" t="s">
        <v>1960</v>
      </c>
      <c r="B1880" s="3">
        <v>46200</v>
      </c>
      <c r="C1880" t="s">
        <v>14</v>
      </c>
      <c r="D1880" t="s">
        <v>42</v>
      </c>
      <c r="E1880" t="s">
        <v>16</v>
      </c>
      <c r="F1880" t="s">
        <v>17</v>
      </c>
      <c r="G1880" t="s">
        <v>18</v>
      </c>
      <c r="H1880" t="s">
        <v>19</v>
      </c>
      <c r="I1880" t="s">
        <v>20</v>
      </c>
      <c r="J1880">
        <v>200</v>
      </c>
      <c r="S1880">
        <v>20</v>
      </c>
      <c r="T1880">
        <v>0</v>
      </c>
      <c r="U1880">
        <v>1</v>
      </c>
      <c r="V1880">
        <v>0</v>
      </c>
    </row>
    <row r="1881" spans="1:22">
      <c r="A1881" t="s">
        <v>1961</v>
      </c>
      <c r="B1881" s="3">
        <v>46200</v>
      </c>
      <c r="C1881" t="s">
        <v>47</v>
      </c>
      <c r="D1881" t="s">
        <v>71</v>
      </c>
      <c r="E1881" t="s">
        <v>16</v>
      </c>
      <c r="F1881" t="s">
        <v>17</v>
      </c>
      <c r="G1881" t="s">
        <v>32</v>
      </c>
      <c r="H1881" t="s">
        <v>24</v>
      </c>
      <c r="I1881" t="s">
        <v>20</v>
      </c>
      <c r="J1881">
        <v>300</v>
      </c>
      <c r="S1881">
        <v>0</v>
      </c>
      <c r="T1881">
        <v>0</v>
      </c>
      <c r="U1881">
        <v>0</v>
      </c>
      <c r="V1881">
        <v>0</v>
      </c>
    </row>
    <row r="1882" spans="1:22">
      <c r="A1882" t="s">
        <v>1962</v>
      </c>
      <c r="B1882" s="3">
        <v>46200</v>
      </c>
      <c r="C1882" t="s">
        <v>47</v>
      </c>
      <c r="D1882" t="s">
        <v>52</v>
      </c>
      <c r="E1882" t="s">
        <v>16</v>
      </c>
      <c r="F1882" t="s">
        <v>17</v>
      </c>
      <c r="G1882" t="s">
        <v>18</v>
      </c>
      <c r="H1882" t="s">
        <v>19</v>
      </c>
      <c r="I1882" t="s">
        <v>20</v>
      </c>
      <c r="J1882">
        <v>200</v>
      </c>
      <c r="S1882">
        <v>20</v>
      </c>
      <c r="T1882">
        <v>0</v>
      </c>
      <c r="U1882">
        <v>1</v>
      </c>
      <c r="V1882">
        <v>0</v>
      </c>
    </row>
    <row r="1883" spans="1:22">
      <c r="A1883" t="s">
        <v>1963</v>
      </c>
      <c r="B1883" s="3">
        <v>46200</v>
      </c>
      <c r="C1883" t="s">
        <v>47</v>
      </c>
      <c r="D1883" t="s">
        <v>52</v>
      </c>
      <c r="E1883" t="s">
        <v>16</v>
      </c>
      <c r="F1883" t="s">
        <v>17</v>
      </c>
      <c r="G1883" t="s">
        <v>32</v>
      </c>
      <c r="H1883" t="s">
        <v>19</v>
      </c>
      <c r="I1883" t="s">
        <v>20</v>
      </c>
      <c r="J1883">
        <v>300</v>
      </c>
      <c r="S1883">
        <v>36</v>
      </c>
      <c r="T1883">
        <v>0</v>
      </c>
      <c r="U1883">
        <v>1</v>
      </c>
      <c r="V1883">
        <v>0</v>
      </c>
    </row>
    <row r="1884" spans="1:22">
      <c r="A1884" t="s">
        <v>1964</v>
      </c>
      <c r="B1884" s="3">
        <v>46200</v>
      </c>
      <c r="C1884" t="s">
        <v>47</v>
      </c>
      <c r="D1884" t="s">
        <v>71</v>
      </c>
      <c r="E1884" t="s">
        <v>16</v>
      </c>
      <c r="F1884" t="s">
        <v>35</v>
      </c>
      <c r="G1884" t="s">
        <v>18</v>
      </c>
      <c r="H1884" t="s">
        <v>19</v>
      </c>
      <c r="I1884" t="s">
        <v>20</v>
      </c>
      <c r="J1884">
        <v>200</v>
      </c>
      <c r="S1884">
        <v>6</v>
      </c>
      <c r="T1884">
        <v>0</v>
      </c>
      <c r="U1884">
        <v>0</v>
      </c>
      <c r="V1884">
        <v>0</v>
      </c>
    </row>
    <row r="1885" spans="1:22">
      <c r="A1885" t="s">
        <v>1965</v>
      </c>
      <c r="B1885" s="3">
        <v>46200</v>
      </c>
      <c r="C1885" t="s">
        <v>47</v>
      </c>
      <c r="D1885" t="s">
        <v>62</v>
      </c>
      <c r="E1885" t="s">
        <v>16</v>
      </c>
      <c r="F1885" t="s">
        <v>17</v>
      </c>
      <c r="G1885" t="s">
        <v>32</v>
      </c>
      <c r="H1885" t="s">
        <v>19</v>
      </c>
      <c r="I1885" t="s">
        <v>20</v>
      </c>
      <c r="J1885">
        <v>300</v>
      </c>
      <c r="S1885">
        <v>36</v>
      </c>
      <c r="T1885">
        <v>0</v>
      </c>
      <c r="U1885">
        <v>1</v>
      </c>
      <c r="V1885">
        <v>0</v>
      </c>
    </row>
    <row r="1886" spans="1:22">
      <c r="A1886" t="s">
        <v>1966</v>
      </c>
      <c r="B1886" s="3">
        <v>46200</v>
      </c>
      <c r="C1886" t="s">
        <v>47</v>
      </c>
      <c r="D1886" t="s">
        <v>62</v>
      </c>
      <c r="E1886" t="s">
        <v>16</v>
      </c>
      <c r="F1886" t="s">
        <v>17</v>
      </c>
      <c r="G1886" t="s">
        <v>18</v>
      </c>
      <c r="H1886" t="s">
        <v>19</v>
      </c>
      <c r="I1886" t="s">
        <v>20</v>
      </c>
      <c r="J1886">
        <v>200</v>
      </c>
      <c r="S1886">
        <v>20</v>
      </c>
      <c r="T1886">
        <v>0</v>
      </c>
      <c r="U1886">
        <v>1</v>
      </c>
      <c r="V1886">
        <v>0</v>
      </c>
    </row>
    <row r="1887" spans="1:22">
      <c r="A1887" t="s">
        <v>1967</v>
      </c>
      <c r="B1887" s="3">
        <v>46200</v>
      </c>
      <c r="C1887" t="s">
        <v>47</v>
      </c>
      <c r="D1887" t="s">
        <v>52</v>
      </c>
      <c r="E1887" t="s">
        <v>16</v>
      </c>
      <c r="F1887" t="s">
        <v>17</v>
      </c>
      <c r="G1887" t="s">
        <v>32</v>
      </c>
      <c r="H1887" t="s">
        <v>19</v>
      </c>
      <c r="I1887" t="s">
        <v>53</v>
      </c>
      <c r="J1887">
        <v>300</v>
      </c>
      <c r="S1887">
        <v>0</v>
      </c>
      <c r="T1887">
        <v>0</v>
      </c>
      <c r="U1887">
        <v>0</v>
      </c>
      <c r="V1887">
        <v>0</v>
      </c>
    </row>
    <row r="1888" spans="1:22">
      <c r="A1888" t="s">
        <v>1968</v>
      </c>
      <c r="B1888" s="3">
        <v>46200</v>
      </c>
      <c r="C1888" t="s">
        <v>47</v>
      </c>
      <c r="D1888" t="s">
        <v>64</v>
      </c>
      <c r="E1888" t="s">
        <v>16</v>
      </c>
      <c r="F1888" t="s">
        <v>17</v>
      </c>
      <c r="G1888" t="s">
        <v>23</v>
      </c>
      <c r="H1888" t="s">
        <v>24</v>
      </c>
      <c r="I1888" t="s">
        <v>20</v>
      </c>
      <c r="J1888">
        <v>120</v>
      </c>
      <c r="S1888">
        <v>0</v>
      </c>
      <c r="T1888">
        <v>0</v>
      </c>
      <c r="U1888">
        <v>0</v>
      </c>
      <c r="V1888">
        <v>0</v>
      </c>
    </row>
    <row r="1889" spans="1:22">
      <c r="A1889" t="s">
        <v>1969</v>
      </c>
      <c r="B1889" s="3">
        <v>46200</v>
      </c>
      <c r="C1889" t="s">
        <v>47</v>
      </c>
      <c r="D1889" t="s">
        <v>152</v>
      </c>
      <c r="E1889" t="s">
        <v>16</v>
      </c>
      <c r="F1889" t="s">
        <v>17</v>
      </c>
      <c r="G1889" t="s">
        <v>32</v>
      </c>
      <c r="H1889" t="s">
        <v>19</v>
      </c>
      <c r="I1889" t="s">
        <v>20</v>
      </c>
      <c r="J1889">
        <v>255</v>
      </c>
      <c r="L1889" t="s">
        <v>29</v>
      </c>
      <c r="S1889">
        <v>30.6</v>
      </c>
      <c r="T1889">
        <v>0</v>
      </c>
      <c r="U1889">
        <v>1</v>
      </c>
      <c r="V1889">
        <v>0</v>
      </c>
    </row>
    <row r="1890" spans="1:22">
      <c r="A1890" t="s">
        <v>1970</v>
      </c>
      <c r="B1890" s="3">
        <v>46200</v>
      </c>
      <c r="C1890" t="s">
        <v>47</v>
      </c>
      <c r="D1890" t="s">
        <v>64</v>
      </c>
      <c r="E1890" t="s">
        <v>16</v>
      </c>
      <c r="F1890" t="s">
        <v>17</v>
      </c>
      <c r="G1890" t="s">
        <v>32</v>
      </c>
      <c r="H1890" t="s">
        <v>19</v>
      </c>
      <c r="I1890" t="s">
        <v>20</v>
      </c>
      <c r="J1890">
        <v>300</v>
      </c>
      <c r="S1890">
        <v>36</v>
      </c>
      <c r="T1890">
        <v>0</v>
      </c>
      <c r="U1890">
        <v>1</v>
      </c>
      <c r="V1890">
        <v>0</v>
      </c>
    </row>
    <row r="1891" spans="1:22">
      <c r="A1891" t="s">
        <v>1971</v>
      </c>
      <c r="B1891" s="3">
        <v>46200</v>
      </c>
      <c r="C1891" t="s">
        <v>47</v>
      </c>
      <c r="D1891" t="s">
        <v>152</v>
      </c>
      <c r="E1891" t="s">
        <v>16</v>
      </c>
      <c r="F1891" t="s">
        <v>17</v>
      </c>
      <c r="G1891" t="s">
        <v>18</v>
      </c>
      <c r="H1891" t="s">
        <v>24</v>
      </c>
      <c r="I1891" t="s">
        <v>20</v>
      </c>
      <c r="J1891">
        <v>200</v>
      </c>
      <c r="S1891">
        <v>0</v>
      </c>
      <c r="T1891">
        <v>0</v>
      </c>
      <c r="U1891">
        <v>0</v>
      </c>
      <c r="V1891">
        <v>0</v>
      </c>
    </row>
    <row r="1892" spans="1:22">
      <c r="A1892" t="s">
        <v>1972</v>
      </c>
      <c r="B1892" s="3">
        <v>46200</v>
      </c>
      <c r="C1892" t="s">
        <v>47</v>
      </c>
      <c r="D1892" t="s">
        <v>55</v>
      </c>
      <c r="E1892" t="s">
        <v>16</v>
      </c>
      <c r="F1892" t="s">
        <v>17</v>
      </c>
      <c r="G1892" t="s">
        <v>18</v>
      </c>
      <c r="H1892" t="s">
        <v>19</v>
      </c>
      <c r="I1892" t="s">
        <v>20</v>
      </c>
      <c r="J1892">
        <v>200</v>
      </c>
      <c r="S1892">
        <v>20</v>
      </c>
      <c r="T1892">
        <v>0</v>
      </c>
      <c r="U1892">
        <v>1</v>
      </c>
      <c r="V1892">
        <v>0</v>
      </c>
    </row>
    <row r="1893" spans="1:22">
      <c r="A1893" t="s">
        <v>1973</v>
      </c>
      <c r="B1893" s="3">
        <v>46200</v>
      </c>
      <c r="C1893" t="s">
        <v>47</v>
      </c>
      <c r="D1893" t="s">
        <v>71</v>
      </c>
      <c r="E1893" t="s">
        <v>16</v>
      </c>
      <c r="F1893" t="s">
        <v>17</v>
      </c>
      <c r="G1893" t="s">
        <v>23</v>
      </c>
      <c r="H1893" t="s">
        <v>19</v>
      </c>
      <c r="I1893" t="s">
        <v>20</v>
      </c>
      <c r="J1893">
        <v>120</v>
      </c>
      <c r="S1893">
        <v>9.6</v>
      </c>
      <c r="T1893">
        <v>0</v>
      </c>
      <c r="U1893">
        <v>1</v>
      </c>
      <c r="V1893">
        <v>0</v>
      </c>
    </row>
    <row r="1894" spans="1:22">
      <c r="A1894" t="s">
        <v>1974</v>
      </c>
      <c r="B1894" s="3">
        <v>46200</v>
      </c>
      <c r="C1894" t="s">
        <v>47</v>
      </c>
      <c r="D1894" t="s">
        <v>148</v>
      </c>
      <c r="E1894" t="s">
        <v>16</v>
      </c>
      <c r="F1894" t="s">
        <v>17</v>
      </c>
      <c r="G1894" t="s">
        <v>32</v>
      </c>
      <c r="H1894" t="s">
        <v>19</v>
      </c>
      <c r="I1894" t="s">
        <v>20</v>
      </c>
      <c r="J1894">
        <v>300</v>
      </c>
      <c r="S1894">
        <v>36</v>
      </c>
      <c r="T1894">
        <v>0</v>
      </c>
      <c r="U1894">
        <v>1</v>
      </c>
      <c r="V1894">
        <v>0</v>
      </c>
    </row>
    <row r="1895" spans="1:22">
      <c r="A1895" t="s">
        <v>1975</v>
      </c>
      <c r="B1895" s="3">
        <v>46200</v>
      </c>
      <c r="C1895" t="s">
        <v>78</v>
      </c>
      <c r="D1895" t="s">
        <v>83</v>
      </c>
      <c r="E1895" t="s">
        <v>16</v>
      </c>
      <c r="F1895" t="s">
        <v>17</v>
      </c>
      <c r="G1895" t="s">
        <v>18</v>
      </c>
      <c r="H1895" t="s">
        <v>19</v>
      </c>
      <c r="I1895" t="s">
        <v>20</v>
      </c>
      <c r="J1895">
        <v>200</v>
      </c>
      <c r="S1895">
        <v>20</v>
      </c>
      <c r="T1895">
        <v>0</v>
      </c>
      <c r="U1895">
        <v>1</v>
      </c>
      <c r="V1895">
        <v>0</v>
      </c>
    </row>
    <row r="1896" spans="1:22">
      <c r="A1896" t="s">
        <v>1976</v>
      </c>
      <c r="B1896" s="3">
        <v>46200</v>
      </c>
      <c r="C1896" t="s">
        <v>78</v>
      </c>
      <c r="D1896" t="s">
        <v>102</v>
      </c>
      <c r="E1896" t="s">
        <v>16</v>
      </c>
      <c r="F1896" t="s">
        <v>17</v>
      </c>
      <c r="G1896" t="s">
        <v>18</v>
      </c>
      <c r="H1896" t="s">
        <v>24</v>
      </c>
      <c r="I1896" t="s">
        <v>20</v>
      </c>
      <c r="J1896">
        <v>200</v>
      </c>
      <c r="S1896">
        <v>0</v>
      </c>
      <c r="T1896">
        <v>0</v>
      </c>
      <c r="U1896">
        <v>0</v>
      </c>
      <c r="V1896">
        <v>0</v>
      </c>
    </row>
    <row r="1897" spans="1:22">
      <c r="A1897" t="s">
        <v>1977</v>
      </c>
      <c r="B1897" s="3">
        <v>46200</v>
      </c>
      <c r="C1897" t="s">
        <v>78</v>
      </c>
      <c r="D1897" t="s">
        <v>97</v>
      </c>
      <c r="E1897" t="s">
        <v>16</v>
      </c>
      <c r="F1897" t="s">
        <v>17</v>
      </c>
      <c r="G1897" t="s">
        <v>18</v>
      </c>
      <c r="H1897" t="s">
        <v>24</v>
      </c>
      <c r="I1897" t="s">
        <v>20</v>
      </c>
      <c r="J1897">
        <v>150</v>
      </c>
      <c r="L1897" t="s">
        <v>29</v>
      </c>
      <c r="S1897">
        <v>0</v>
      </c>
      <c r="T1897">
        <v>0</v>
      </c>
      <c r="U1897">
        <v>0</v>
      </c>
      <c r="V1897">
        <v>0</v>
      </c>
    </row>
    <row r="1898" spans="1:22">
      <c r="A1898" t="s">
        <v>1978</v>
      </c>
      <c r="B1898" s="3">
        <v>46200</v>
      </c>
      <c r="C1898" t="s">
        <v>78</v>
      </c>
      <c r="D1898" t="s">
        <v>89</v>
      </c>
      <c r="E1898" t="s">
        <v>16</v>
      </c>
      <c r="F1898" t="s">
        <v>17</v>
      </c>
      <c r="G1898" t="s">
        <v>32</v>
      </c>
      <c r="H1898" t="s">
        <v>19</v>
      </c>
      <c r="I1898" t="s">
        <v>20</v>
      </c>
      <c r="J1898">
        <v>300</v>
      </c>
      <c r="S1898">
        <v>36</v>
      </c>
      <c r="T1898">
        <v>0</v>
      </c>
      <c r="U1898">
        <v>1</v>
      </c>
      <c r="V1898">
        <v>0</v>
      </c>
    </row>
    <row r="1899" spans="1:22">
      <c r="A1899" t="s">
        <v>1979</v>
      </c>
      <c r="B1899" s="3">
        <v>46200</v>
      </c>
      <c r="C1899" t="s">
        <v>78</v>
      </c>
      <c r="D1899" t="s">
        <v>85</v>
      </c>
      <c r="E1899" t="s">
        <v>16</v>
      </c>
      <c r="F1899" t="s">
        <v>17</v>
      </c>
      <c r="G1899" t="s">
        <v>32</v>
      </c>
      <c r="H1899" t="s">
        <v>19</v>
      </c>
      <c r="I1899" t="s">
        <v>20</v>
      </c>
      <c r="J1899">
        <v>300</v>
      </c>
      <c r="S1899">
        <v>36</v>
      </c>
      <c r="T1899">
        <v>0</v>
      </c>
      <c r="U1899">
        <v>1</v>
      </c>
      <c r="V1899">
        <v>0</v>
      </c>
    </row>
    <row r="1900" spans="1:22">
      <c r="A1900" t="s">
        <v>1980</v>
      </c>
      <c r="B1900" s="3">
        <v>46200</v>
      </c>
      <c r="C1900" t="s">
        <v>78</v>
      </c>
      <c r="D1900" t="s">
        <v>102</v>
      </c>
      <c r="E1900" t="s">
        <v>16</v>
      </c>
      <c r="F1900" t="s">
        <v>35</v>
      </c>
      <c r="G1900" t="s">
        <v>23</v>
      </c>
      <c r="H1900" t="s">
        <v>19</v>
      </c>
      <c r="I1900" t="s">
        <v>20</v>
      </c>
      <c r="J1900">
        <v>120</v>
      </c>
      <c r="S1900">
        <v>3.6</v>
      </c>
      <c r="T1900">
        <v>0</v>
      </c>
      <c r="U1900">
        <v>0</v>
      </c>
      <c r="V1900">
        <v>0</v>
      </c>
    </row>
    <row r="1901" spans="1:22">
      <c r="A1901" t="s">
        <v>1981</v>
      </c>
      <c r="B1901" s="3">
        <v>46200</v>
      </c>
      <c r="C1901" t="s">
        <v>78</v>
      </c>
      <c r="D1901" t="s">
        <v>102</v>
      </c>
      <c r="E1901" t="s">
        <v>16</v>
      </c>
      <c r="F1901" t="s">
        <v>17</v>
      </c>
      <c r="G1901" t="s">
        <v>23</v>
      </c>
      <c r="H1901" t="s">
        <v>19</v>
      </c>
      <c r="I1901" t="s">
        <v>20</v>
      </c>
      <c r="J1901">
        <v>120</v>
      </c>
      <c r="S1901">
        <v>9.6</v>
      </c>
      <c r="T1901">
        <v>0</v>
      </c>
      <c r="U1901">
        <v>1</v>
      </c>
      <c r="V1901">
        <v>0</v>
      </c>
    </row>
    <row r="1902" spans="1:22">
      <c r="A1902" t="s">
        <v>1982</v>
      </c>
      <c r="B1902" s="3">
        <v>46200</v>
      </c>
      <c r="C1902" t="s">
        <v>78</v>
      </c>
      <c r="D1902" t="s">
        <v>85</v>
      </c>
      <c r="E1902" t="s">
        <v>16</v>
      </c>
      <c r="F1902" t="s">
        <v>17</v>
      </c>
      <c r="G1902" t="s">
        <v>32</v>
      </c>
      <c r="H1902" t="s">
        <v>19</v>
      </c>
      <c r="I1902" t="s">
        <v>20</v>
      </c>
      <c r="J1902">
        <v>300</v>
      </c>
      <c r="S1902">
        <v>36</v>
      </c>
      <c r="T1902">
        <v>0</v>
      </c>
      <c r="U1902">
        <v>1</v>
      </c>
      <c r="V1902">
        <v>0</v>
      </c>
    </row>
    <row r="1903" spans="1:22">
      <c r="A1903" t="s">
        <v>1983</v>
      </c>
      <c r="B1903" s="3">
        <v>46200</v>
      </c>
      <c r="C1903" t="s">
        <v>78</v>
      </c>
      <c r="D1903" t="s">
        <v>79</v>
      </c>
      <c r="E1903" t="s">
        <v>16</v>
      </c>
      <c r="F1903" t="s">
        <v>17</v>
      </c>
      <c r="G1903" t="s">
        <v>32</v>
      </c>
      <c r="H1903" t="s">
        <v>24</v>
      </c>
      <c r="I1903" t="s">
        <v>20</v>
      </c>
      <c r="J1903">
        <v>300</v>
      </c>
      <c r="S1903">
        <v>0</v>
      </c>
      <c r="T1903">
        <v>0</v>
      </c>
      <c r="U1903">
        <v>0</v>
      </c>
      <c r="V1903">
        <v>0</v>
      </c>
    </row>
    <row r="1904" spans="1:22">
      <c r="A1904" t="s">
        <v>1984</v>
      </c>
      <c r="B1904" s="3">
        <v>46200</v>
      </c>
      <c r="C1904" t="s">
        <v>78</v>
      </c>
      <c r="D1904" t="s">
        <v>81</v>
      </c>
      <c r="E1904" t="s">
        <v>16</v>
      </c>
      <c r="F1904" t="s">
        <v>17</v>
      </c>
      <c r="G1904" t="s">
        <v>32</v>
      </c>
      <c r="H1904" t="s">
        <v>19</v>
      </c>
      <c r="I1904" t="s">
        <v>20</v>
      </c>
      <c r="J1904">
        <v>300</v>
      </c>
      <c r="S1904">
        <v>36</v>
      </c>
      <c r="T1904">
        <v>0</v>
      </c>
      <c r="U1904">
        <v>1</v>
      </c>
      <c r="V1904">
        <v>0</v>
      </c>
    </row>
    <row r="1905" spans="1:22">
      <c r="A1905" t="s">
        <v>1985</v>
      </c>
      <c r="B1905" s="3">
        <v>46200</v>
      </c>
      <c r="C1905" t="s">
        <v>78</v>
      </c>
      <c r="D1905" t="s">
        <v>81</v>
      </c>
      <c r="E1905" t="s">
        <v>16</v>
      </c>
      <c r="F1905" t="s">
        <v>17</v>
      </c>
      <c r="G1905" t="s">
        <v>23</v>
      </c>
      <c r="H1905" t="s">
        <v>19</v>
      </c>
      <c r="I1905" t="s">
        <v>20</v>
      </c>
      <c r="J1905">
        <v>120</v>
      </c>
      <c r="S1905">
        <v>9.6</v>
      </c>
      <c r="T1905">
        <v>0</v>
      </c>
      <c r="U1905">
        <v>1</v>
      </c>
      <c r="V1905">
        <v>0</v>
      </c>
    </row>
    <row r="1906" spans="1:22">
      <c r="A1906" t="s">
        <v>1986</v>
      </c>
      <c r="B1906" s="3">
        <v>46200</v>
      </c>
      <c r="C1906" t="s">
        <v>78</v>
      </c>
      <c r="D1906" t="s">
        <v>83</v>
      </c>
      <c r="E1906" t="s">
        <v>16</v>
      </c>
      <c r="F1906" t="s">
        <v>17</v>
      </c>
      <c r="G1906" t="s">
        <v>32</v>
      </c>
      <c r="H1906" t="s">
        <v>19</v>
      </c>
      <c r="I1906" t="s">
        <v>20</v>
      </c>
      <c r="J1906">
        <v>300</v>
      </c>
      <c r="S1906">
        <v>36</v>
      </c>
      <c r="T1906">
        <v>0</v>
      </c>
      <c r="U1906">
        <v>1</v>
      </c>
      <c r="V1906">
        <v>0</v>
      </c>
    </row>
    <row r="1907" spans="1:22">
      <c r="A1907" t="s">
        <v>1987</v>
      </c>
      <c r="B1907" s="3">
        <v>46200</v>
      </c>
      <c r="C1907" t="s">
        <v>78</v>
      </c>
      <c r="D1907" t="s">
        <v>79</v>
      </c>
      <c r="E1907" t="s">
        <v>16</v>
      </c>
      <c r="F1907" t="s">
        <v>17</v>
      </c>
      <c r="G1907" t="s">
        <v>32</v>
      </c>
      <c r="H1907" t="s">
        <v>19</v>
      </c>
      <c r="I1907" t="s">
        <v>20</v>
      </c>
      <c r="J1907">
        <v>300</v>
      </c>
      <c r="S1907">
        <v>36</v>
      </c>
      <c r="T1907">
        <v>0</v>
      </c>
      <c r="U1907">
        <v>1</v>
      </c>
      <c r="V1907">
        <v>0</v>
      </c>
    </row>
    <row r="1908" spans="1:22">
      <c r="A1908" t="s">
        <v>1988</v>
      </c>
      <c r="B1908" s="3">
        <v>46200</v>
      </c>
      <c r="C1908" t="s">
        <v>78</v>
      </c>
      <c r="D1908" t="s">
        <v>79</v>
      </c>
      <c r="E1908" t="s">
        <v>16</v>
      </c>
      <c r="F1908" t="s">
        <v>17</v>
      </c>
      <c r="G1908" t="s">
        <v>18</v>
      </c>
      <c r="H1908" t="s">
        <v>19</v>
      </c>
      <c r="I1908" t="s">
        <v>20</v>
      </c>
      <c r="J1908">
        <v>170</v>
      </c>
      <c r="L1908" t="s">
        <v>29</v>
      </c>
      <c r="S1908">
        <v>17</v>
      </c>
      <c r="T1908">
        <v>0</v>
      </c>
      <c r="U1908">
        <v>1</v>
      </c>
      <c r="V1908">
        <v>0</v>
      </c>
    </row>
    <row r="1909" spans="1:22">
      <c r="A1909" t="s">
        <v>1989</v>
      </c>
      <c r="B1909" s="3">
        <v>46200</v>
      </c>
      <c r="C1909" t="s">
        <v>78</v>
      </c>
      <c r="D1909" t="s">
        <v>93</v>
      </c>
      <c r="E1909" t="s">
        <v>16</v>
      </c>
      <c r="F1909" t="s">
        <v>17</v>
      </c>
      <c r="G1909" t="s">
        <v>23</v>
      </c>
      <c r="H1909" t="s">
        <v>19</v>
      </c>
      <c r="I1909" t="s">
        <v>20</v>
      </c>
      <c r="J1909">
        <v>120</v>
      </c>
      <c r="S1909">
        <v>9.6</v>
      </c>
      <c r="T1909">
        <v>0</v>
      </c>
      <c r="U1909">
        <v>1</v>
      </c>
      <c r="V1909">
        <v>0</v>
      </c>
    </row>
    <row r="1910" spans="1:22">
      <c r="A1910" t="s">
        <v>1990</v>
      </c>
      <c r="B1910" s="3">
        <v>46200</v>
      </c>
      <c r="C1910" t="s">
        <v>78</v>
      </c>
      <c r="D1910" t="s">
        <v>161</v>
      </c>
      <c r="E1910" t="s">
        <v>16</v>
      </c>
      <c r="F1910" t="s">
        <v>17</v>
      </c>
      <c r="G1910" t="s">
        <v>23</v>
      </c>
      <c r="H1910" t="s">
        <v>24</v>
      </c>
      <c r="I1910" t="s">
        <v>20</v>
      </c>
      <c r="J1910">
        <v>120</v>
      </c>
      <c r="S1910">
        <v>0</v>
      </c>
      <c r="T1910">
        <v>0</v>
      </c>
      <c r="U1910">
        <v>0</v>
      </c>
      <c r="V1910">
        <v>0</v>
      </c>
    </row>
    <row r="1911" spans="1:22">
      <c r="A1911" t="s">
        <v>1991</v>
      </c>
      <c r="B1911" s="3">
        <v>46200</v>
      </c>
      <c r="C1911" t="s">
        <v>78</v>
      </c>
      <c r="D1911" t="s">
        <v>83</v>
      </c>
      <c r="E1911" t="s">
        <v>16</v>
      </c>
      <c r="F1911" t="s">
        <v>17</v>
      </c>
      <c r="G1911" t="s">
        <v>23</v>
      </c>
      <c r="H1911" t="s">
        <v>19</v>
      </c>
      <c r="I1911" t="s">
        <v>20</v>
      </c>
      <c r="J1911">
        <v>90</v>
      </c>
      <c r="L1911" t="s">
        <v>29</v>
      </c>
      <c r="S1911">
        <v>7.2</v>
      </c>
      <c r="T1911">
        <v>0</v>
      </c>
      <c r="U1911">
        <v>1</v>
      </c>
      <c r="V1911">
        <v>0</v>
      </c>
    </row>
    <row r="1912" spans="1:22">
      <c r="A1912" t="s">
        <v>1992</v>
      </c>
      <c r="B1912" s="3">
        <v>46200</v>
      </c>
      <c r="C1912" t="s">
        <v>78</v>
      </c>
      <c r="D1912" t="s">
        <v>83</v>
      </c>
      <c r="E1912" t="s">
        <v>16</v>
      </c>
      <c r="F1912" t="s">
        <v>17</v>
      </c>
      <c r="G1912" t="s">
        <v>18</v>
      </c>
      <c r="H1912" t="s">
        <v>24</v>
      </c>
      <c r="I1912" t="s">
        <v>20</v>
      </c>
      <c r="J1912">
        <v>200</v>
      </c>
      <c r="S1912">
        <v>0</v>
      </c>
      <c r="T1912">
        <v>0</v>
      </c>
      <c r="U1912">
        <v>0</v>
      </c>
      <c r="V1912">
        <v>0</v>
      </c>
    </row>
    <row r="1913" spans="1:22">
      <c r="A1913" t="s">
        <v>1993</v>
      </c>
      <c r="B1913" s="3">
        <v>46200</v>
      </c>
      <c r="C1913" t="s">
        <v>105</v>
      </c>
      <c r="D1913" t="s">
        <v>194</v>
      </c>
      <c r="E1913" t="s">
        <v>16</v>
      </c>
      <c r="F1913" t="s">
        <v>17</v>
      </c>
      <c r="G1913" t="s">
        <v>23</v>
      </c>
      <c r="H1913" t="s">
        <v>19</v>
      </c>
      <c r="I1913" t="s">
        <v>20</v>
      </c>
      <c r="J1913">
        <v>120</v>
      </c>
      <c r="S1913">
        <v>9.6</v>
      </c>
      <c r="T1913">
        <v>0</v>
      </c>
      <c r="U1913">
        <v>1</v>
      </c>
      <c r="V1913">
        <v>0</v>
      </c>
    </row>
    <row r="1914" spans="1:22">
      <c r="A1914" t="s">
        <v>1994</v>
      </c>
      <c r="B1914" s="3">
        <v>46200</v>
      </c>
      <c r="C1914" t="s">
        <v>105</v>
      </c>
      <c r="D1914" t="s">
        <v>187</v>
      </c>
      <c r="E1914" t="s">
        <v>16</v>
      </c>
      <c r="F1914" t="s">
        <v>17</v>
      </c>
      <c r="G1914" t="s">
        <v>23</v>
      </c>
      <c r="H1914" t="s">
        <v>24</v>
      </c>
      <c r="I1914" t="s">
        <v>20</v>
      </c>
      <c r="J1914">
        <v>120</v>
      </c>
      <c r="S1914">
        <v>0</v>
      </c>
      <c r="T1914">
        <v>0</v>
      </c>
      <c r="U1914">
        <v>0</v>
      </c>
      <c r="V1914">
        <v>0</v>
      </c>
    </row>
    <row r="1915" spans="1:22">
      <c r="A1915" t="s">
        <v>1995</v>
      </c>
      <c r="B1915" s="3">
        <v>46200</v>
      </c>
      <c r="C1915" t="s">
        <v>105</v>
      </c>
      <c r="D1915" t="s">
        <v>265</v>
      </c>
      <c r="E1915" t="s">
        <v>16</v>
      </c>
      <c r="F1915" t="s">
        <v>17</v>
      </c>
      <c r="G1915" t="s">
        <v>32</v>
      </c>
      <c r="H1915" t="s">
        <v>19</v>
      </c>
      <c r="I1915" t="s">
        <v>20</v>
      </c>
      <c r="J1915">
        <v>300</v>
      </c>
      <c r="S1915">
        <v>36</v>
      </c>
      <c r="T1915">
        <v>0</v>
      </c>
      <c r="U1915">
        <v>1</v>
      </c>
      <c r="V1915">
        <v>0</v>
      </c>
    </row>
    <row r="1916" spans="1:22">
      <c r="A1916" t="s">
        <v>1996</v>
      </c>
      <c r="B1916" s="3">
        <v>46200</v>
      </c>
      <c r="C1916" t="s">
        <v>105</v>
      </c>
      <c r="D1916" t="s">
        <v>112</v>
      </c>
      <c r="E1916" t="s">
        <v>16</v>
      </c>
      <c r="F1916" t="s">
        <v>17</v>
      </c>
      <c r="G1916" t="s">
        <v>18</v>
      </c>
      <c r="H1916" t="s">
        <v>19</v>
      </c>
      <c r="I1916" t="s">
        <v>20</v>
      </c>
      <c r="J1916">
        <v>200</v>
      </c>
      <c r="S1916">
        <v>20</v>
      </c>
      <c r="T1916">
        <v>0</v>
      </c>
      <c r="U1916">
        <v>1</v>
      </c>
      <c r="V1916">
        <v>0</v>
      </c>
    </row>
    <row r="1917" spans="1:22">
      <c r="A1917" t="s">
        <v>1997</v>
      </c>
      <c r="B1917" s="3">
        <v>46200</v>
      </c>
      <c r="C1917" t="s">
        <v>105</v>
      </c>
      <c r="D1917" t="s">
        <v>116</v>
      </c>
      <c r="E1917" t="s">
        <v>16</v>
      </c>
      <c r="F1917" t="s">
        <v>35</v>
      </c>
      <c r="G1917" t="s">
        <v>32</v>
      </c>
      <c r="H1917" t="s">
        <v>19</v>
      </c>
      <c r="I1917" t="s">
        <v>20</v>
      </c>
      <c r="J1917">
        <v>300</v>
      </c>
      <c r="S1917">
        <v>9</v>
      </c>
      <c r="T1917">
        <v>0</v>
      </c>
      <c r="U1917">
        <v>0</v>
      </c>
      <c r="V1917">
        <v>0</v>
      </c>
    </row>
    <row r="1918" spans="1:22">
      <c r="A1918" t="s">
        <v>1998</v>
      </c>
      <c r="B1918" s="3">
        <v>46200</v>
      </c>
      <c r="C1918" t="s">
        <v>105</v>
      </c>
      <c r="D1918" t="s">
        <v>191</v>
      </c>
      <c r="E1918" t="s">
        <v>16</v>
      </c>
      <c r="F1918" t="s">
        <v>17</v>
      </c>
      <c r="G1918" t="s">
        <v>23</v>
      </c>
      <c r="H1918" t="s">
        <v>19</v>
      </c>
      <c r="I1918" t="s">
        <v>20</v>
      </c>
      <c r="J1918">
        <v>120</v>
      </c>
      <c r="S1918">
        <v>9.6</v>
      </c>
      <c r="T1918">
        <v>0</v>
      </c>
      <c r="U1918">
        <v>1</v>
      </c>
      <c r="V1918">
        <v>0</v>
      </c>
    </row>
    <row r="1919" spans="1:22">
      <c r="A1919" t="s">
        <v>1999</v>
      </c>
      <c r="B1919" s="3">
        <v>46200</v>
      </c>
      <c r="C1919" t="s">
        <v>105</v>
      </c>
      <c r="D1919" t="s">
        <v>116</v>
      </c>
      <c r="E1919" t="s">
        <v>16</v>
      </c>
      <c r="F1919" t="s">
        <v>17</v>
      </c>
      <c r="G1919" t="s">
        <v>23</v>
      </c>
      <c r="H1919" t="s">
        <v>24</v>
      </c>
      <c r="I1919" t="s">
        <v>20</v>
      </c>
      <c r="J1919">
        <v>120</v>
      </c>
      <c r="S1919">
        <v>0</v>
      </c>
      <c r="T1919">
        <v>0</v>
      </c>
      <c r="U1919">
        <v>0</v>
      </c>
      <c r="V1919">
        <v>0</v>
      </c>
    </row>
    <row r="1920" spans="1:22">
      <c r="A1920" t="s">
        <v>2000</v>
      </c>
      <c r="B1920" s="3">
        <v>46200</v>
      </c>
      <c r="C1920" t="s">
        <v>105</v>
      </c>
      <c r="D1920" t="s">
        <v>182</v>
      </c>
      <c r="E1920" t="s">
        <v>16</v>
      </c>
      <c r="F1920" t="s">
        <v>17</v>
      </c>
      <c r="G1920" t="s">
        <v>23</v>
      </c>
      <c r="H1920" t="s">
        <v>19</v>
      </c>
      <c r="I1920" t="s">
        <v>20</v>
      </c>
      <c r="J1920">
        <v>102</v>
      </c>
      <c r="L1920" t="s">
        <v>29</v>
      </c>
      <c r="S1920">
        <v>8.16</v>
      </c>
      <c r="T1920">
        <v>0</v>
      </c>
      <c r="U1920">
        <v>1</v>
      </c>
      <c r="V1920">
        <v>0</v>
      </c>
    </row>
    <row r="1921" spans="1:22">
      <c r="A1921" t="s">
        <v>2001</v>
      </c>
      <c r="B1921" s="3">
        <v>46200</v>
      </c>
      <c r="C1921" t="s">
        <v>105</v>
      </c>
      <c r="D1921" t="s">
        <v>116</v>
      </c>
      <c r="E1921" t="s">
        <v>16</v>
      </c>
      <c r="F1921" t="s">
        <v>35</v>
      </c>
      <c r="G1921" t="s">
        <v>32</v>
      </c>
      <c r="H1921" t="s">
        <v>19</v>
      </c>
      <c r="I1921" t="s">
        <v>20</v>
      </c>
      <c r="J1921">
        <v>225</v>
      </c>
      <c r="L1921" t="s">
        <v>29</v>
      </c>
      <c r="S1921">
        <v>6.75</v>
      </c>
      <c r="T1921">
        <v>0</v>
      </c>
      <c r="U1921">
        <v>0</v>
      </c>
      <c r="V1921">
        <v>0</v>
      </c>
    </row>
    <row r="1922" spans="1:22">
      <c r="A1922" t="s">
        <v>2002</v>
      </c>
      <c r="B1922" s="3">
        <v>46200</v>
      </c>
      <c r="C1922" t="s">
        <v>105</v>
      </c>
      <c r="D1922" t="s">
        <v>191</v>
      </c>
      <c r="E1922" t="s">
        <v>16</v>
      </c>
      <c r="F1922" t="s">
        <v>17</v>
      </c>
      <c r="G1922" t="s">
        <v>18</v>
      </c>
      <c r="H1922" t="s">
        <v>19</v>
      </c>
      <c r="I1922" t="s">
        <v>20</v>
      </c>
      <c r="J1922">
        <v>200</v>
      </c>
      <c r="S1922">
        <v>20</v>
      </c>
      <c r="T1922">
        <v>0</v>
      </c>
      <c r="U1922">
        <v>1</v>
      </c>
      <c r="V1922">
        <v>0</v>
      </c>
    </row>
    <row r="1923" spans="1:22">
      <c r="A1923" t="s">
        <v>2003</v>
      </c>
      <c r="B1923" s="3">
        <v>46200</v>
      </c>
      <c r="C1923" t="s">
        <v>105</v>
      </c>
      <c r="D1923" t="s">
        <v>106</v>
      </c>
      <c r="E1923" t="s">
        <v>16</v>
      </c>
      <c r="F1923" t="s">
        <v>17</v>
      </c>
      <c r="G1923" t="s">
        <v>32</v>
      </c>
      <c r="H1923" t="s">
        <v>19</v>
      </c>
      <c r="I1923" t="s">
        <v>20</v>
      </c>
      <c r="J1923">
        <v>300</v>
      </c>
      <c r="S1923">
        <v>36</v>
      </c>
      <c r="T1923">
        <v>0</v>
      </c>
      <c r="U1923">
        <v>1</v>
      </c>
      <c r="V1923">
        <v>0</v>
      </c>
    </row>
    <row r="1924" spans="1:22">
      <c r="A1924" t="s">
        <v>2004</v>
      </c>
      <c r="B1924" s="3">
        <v>46200</v>
      </c>
      <c r="C1924" t="s">
        <v>105</v>
      </c>
      <c r="D1924" t="s">
        <v>108</v>
      </c>
      <c r="E1924" t="s">
        <v>16</v>
      </c>
      <c r="F1924" t="s">
        <v>17</v>
      </c>
      <c r="G1924" t="s">
        <v>23</v>
      </c>
      <c r="H1924" t="s">
        <v>19</v>
      </c>
      <c r="I1924" t="s">
        <v>20</v>
      </c>
      <c r="J1924">
        <v>120</v>
      </c>
      <c r="S1924">
        <v>9.6</v>
      </c>
      <c r="T1924">
        <v>0</v>
      </c>
      <c r="U1924">
        <v>1</v>
      </c>
      <c r="V1924">
        <v>0</v>
      </c>
    </row>
    <row r="1925" spans="1:22">
      <c r="A1925" t="s">
        <v>2005</v>
      </c>
      <c r="B1925" s="3">
        <v>46200</v>
      </c>
      <c r="C1925" t="s">
        <v>105</v>
      </c>
      <c r="D1925" t="s">
        <v>191</v>
      </c>
      <c r="E1925" t="s">
        <v>16</v>
      </c>
      <c r="F1925" t="s">
        <v>17</v>
      </c>
      <c r="G1925" t="s">
        <v>18</v>
      </c>
      <c r="H1925" t="s">
        <v>24</v>
      </c>
      <c r="I1925" t="s">
        <v>20</v>
      </c>
      <c r="J1925">
        <v>200</v>
      </c>
      <c r="S1925">
        <v>0</v>
      </c>
      <c r="T1925">
        <v>0</v>
      </c>
      <c r="U1925">
        <v>0</v>
      </c>
      <c r="V1925">
        <v>0</v>
      </c>
    </row>
    <row r="1926" spans="1:22">
      <c r="A1926" t="s">
        <v>2006</v>
      </c>
      <c r="B1926" s="3">
        <v>46200</v>
      </c>
      <c r="C1926" t="s">
        <v>105</v>
      </c>
      <c r="D1926" t="s">
        <v>120</v>
      </c>
      <c r="E1926" t="s">
        <v>16</v>
      </c>
      <c r="F1926" t="s">
        <v>17</v>
      </c>
      <c r="G1926" t="s">
        <v>23</v>
      </c>
      <c r="H1926" t="s">
        <v>19</v>
      </c>
      <c r="I1926" t="s">
        <v>20</v>
      </c>
      <c r="J1926">
        <v>90</v>
      </c>
      <c r="L1926" t="s">
        <v>29</v>
      </c>
      <c r="S1926">
        <v>7.2</v>
      </c>
      <c r="T1926">
        <v>0</v>
      </c>
      <c r="U1926">
        <v>1</v>
      </c>
      <c r="V1926">
        <v>0</v>
      </c>
    </row>
    <row r="1927" spans="1:22">
      <c r="A1927" t="s">
        <v>2007</v>
      </c>
      <c r="B1927" s="3">
        <v>46200</v>
      </c>
      <c r="C1927" t="s">
        <v>105</v>
      </c>
      <c r="D1927" t="s">
        <v>112</v>
      </c>
      <c r="E1927" t="s">
        <v>16</v>
      </c>
      <c r="F1927" t="s">
        <v>17</v>
      </c>
      <c r="G1927" t="s">
        <v>18</v>
      </c>
      <c r="H1927" t="s">
        <v>24</v>
      </c>
      <c r="I1927" t="s">
        <v>20</v>
      </c>
      <c r="J1927">
        <v>200</v>
      </c>
      <c r="S1927">
        <v>0</v>
      </c>
      <c r="T1927">
        <v>0</v>
      </c>
      <c r="U1927">
        <v>0</v>
      </c>
      <c r="V1927">
        <v>0</v>
      </c>
    </row>
    <row r="1928" spans="1:22">
      <c r="A1928" t="s">
        <v>2008</v>
      </c>
      <c r="B1928" s="3">
        <v>46200</v>
      </c>
      <c r="C1928" t="s">
        <v>105</v>
      </c>
      <c r="D1928" t="s">
        <v>194</v>
      </c>
      <c r="E1928" t="s">
        <v>16</v>
      </c>
      <c r="F1928" t="s">
        <v>17</v>
      </c>
      <c r="G1928" t="s">
        <v>32</v>
      </c>
      <c r="H1928" t="s">
        <v>24</v>
      </c>
      <c r="I1928" t="s">
        <v>20</v>
      </c>
      <c r="J1928">
        <v>300</v>
      </c>
      <c r="S1928">
        <v>0</v>
      </c>
      <c r="T1928">
        <v>0</v>
      </c>
      <c r="U1928">
        <v>0</v>
      </c>
      <c r="V1928">
        <v>0</v>
      </c>
    </row>
    <row r="1929" spans="1:22">
      <c r="A1929" t="s">
        <v>2009</v>
      </c>
      <c r="B1929" s="3">
        <v>46200</v>
      </c>
      <c r="C1929" t="s">
        <v>105</v>
      </c>
      <c r="D1929" t="s">
        <v>187</v>
      </c>
      <c r="E1929" t="s">
        <v>16</v>
      </c>
      <c r="F1929" t="s">
        <v>35</v>
      </c>
      <c r="G1929" t="s">
        <v>32</v>
      </c>
      <c r="H1929" t="s">
        <v>19</v>
      </c>
      <c r="I1929" t="s">
        <v>20</v>
      </c>
      <c r="J1929">
        <v>300</v>
      </c>
      <c r="S1929">
        <v>9</v>
      </c>
      <c r="T1929">
        <v>0</v>
      </c>
      <c r="U1929">
        <v>0</v>
      </c>
      <c r="V1929">
        <v>0</v>
      </c>
    </row>
    <row r="1930" spans="1:22">
      <c r="A1930" t="s">
        <v>2010</v>
      </c>
      <c r="B1930" s="3">
        <v>46200</v>
      </c>
      <c r="C1930" t="s">
        <v>105</v>
      </c>
      <c r="D1930" t="s">
        <v>106</v>
      </c>
      <c r="E1930" t="s">
        <v>16</v>
      </c>
      <c r="F1930" t="s">
        <v>17</v>
      </c>
      <c r="G1930" t="s">
        <v>32</v>
      </c>
      <c r="H1930" t="s">
        <v>19</v>
      </c>
      <c r="I1930" t="s">
        <v>20</v>
      </c>
      <c r="J1930">
        <v>300</v>
      </c>
      <c r="S1930">
        <v>36</v>
      </c>
      <c r="T1930">
        <v>0</v>
      </c>
      <c r="U1930">
        <v>1</v>
      </c>
      <c r="V1930">
        <v>0</v>
      </c>
    </row>
    <row r="1931" spans="1:22">
      <c r="A1931" t="s">
        <v>2011</v>
      </c>
      <c r="B1931" s="3">
        <v>46200</v>
      </c>
      <c r="C1931" t="s">
        <v>105</v>
      </c>
      <c r="D1931" t="s">
        <v>110</v>
      </c>
      <c r="E1931" t="s">
        <v>16</v>
      </c>
      <c r="F1931" t="s">
        <v>17</v>
      </c>
      <c r="G1931" t="s">
        <v>18</v>
      </c>
      <c r="H1931" t="s">
        <v>19</v>
      </c>
      <c r="I1931" t="s">
        <v>20</v>
      </c>
      <c r="J1931">
        <v>200</v>
      </c>
      <c r="S1931">
        <v>20</v>
      </c>
      <c r="T1931">
        <v>0</v>
      </c>
      <c r="U1931">
        <v>1</v>
      </c>
      <c r="V1931">
        <v>0</v>
      </c>
    </row>
    <row r="1932" spans="1:22">
      <c r="A1932" t="s">
        <v>2025</v>
      </c>
      <c r="B1932" s="3">
        <v>46201</v>
      </c>
      <c r="C1932" t="s">
        <v>14</v>
      </c>
      <c r="D1932" t="s">
        <v>131</v>
      </c>
      <c r="E1932" t="s">
        <v>16</v>
      </c>
      <c r="F1932" t="s">
        <v>35</v>
      </c>
      <c r="G1932" t="s">
        <v>32</v>
      </c>
      <c r="H1932" t="s">
        <v>19</v>
      </c>
      <c r="I1932" t="s">
        <v>20</v>
      </c>
      <c r="J1932">
        <v>300</v>
      </c>
      <c r="S1932">
        <v>9</v>
      </c>
      <c r="T1932">
        <v>0</v>
      </c>
      <c r="U1932">
        <v>0</v>
      </c>
      <c r="V1932">
        <v>0</v>
      </c>
    </row>
    <row r="1933" spans="1:22">
      <c r="A1933" t="s">
        <v>2027</v>
      </c>
      <c r="B1933" s="3">
        <v>46201</v>
      </c>
      <c r="C1933" t="s">
        <v>14</v>
      </c>
      <c r="D1933" t="s">
        <v>131</v>
      </c>
      <c r="E1933" t="s">
        <v>16</v>
      </c>
      <c r="F1933" t="s">
        <v>17</v>
      </c>
      <c r="G1933" t="s">
        <v>32</v>
      </c>
      <c r="H1933" t="s">
        <v>19</v>
      </c>
      <c r="I1933" t="s">
        <v>20</v>
      </c>
      <c r="J1933">
        <v>300</v>
      </c>
      <c r="S1933">
        <v>36</v>
      </c>
      <c r="T1933">
        <v>0</v>
      </c>
      <c r="U1933">
        <v>1</v>
      </c>
      <c r="V1933">
        <v>0</v>
      </c>
    </row>
    <row r="1934" spans="1:22">
      <c r="A1934" t="s">
        <v>2028</v>
      </c>
      <c r="B1934" s="3">
        <v>46201</v>
      </c>
      <c r="C1934" t="s">
        <v>14</v>
      </c>
      <c r="D1934" t="s">
        <v>37</v>
      </c>
      <c r="E1934" t="s">
        <v>16</v>
      </c>
      <c r="F1934" t="s">
        <v>17</v>
      </c>
      <c r="G1934" t="s">
        <v>18</v>
      </c>
      <c r="H1934" t="s">
        <v>19</v>
      </c>
      <c r="I1934" t="s">
        <v>20</v>
      </c>
      <c r="J1934">
        <v>200</v>
      </c>
      <c r="S1934">
        <v>20</v>
      </c>
      <c r="T1934">
        <v>0</v>
      </c>
      <c r="U1934">
        <v>1</v>
      </c>
      <c r="V1934">
        <v>0</v>
      </c>
    </row>
    <row r="1935" spans="1:22">
      <c r="A1935" t="s">
        <v>2029</v>
      </c>
      <c r="B1935" s="3">
        <v>46201</v>
      </c>
      <c r="C1935" t="s">
        <v>14</v>
      </c>
      <c r="D1935" t="s">
        <v>37</v>
      </c>
      <c r="E1935" t="s">
        <v>16</v>
      </c>
      <c r="F1935" t="s">
        <v>35</v>
      </c>
      <c r="G1935" t="s">
        <v>32</v>
      </c>
      <c r="H1935" t="s">
        <v>19</v>
      </c>
      <c r="I1935" t="s">
        <v>20</v>
      </c>
      <c r="J1935">
        <v>300</v>
      </c>
      <c r="S1935">
        <v>9</v>
      </c>
      <c r="T1935">
        <v>0</v>
      </c>
      <c r="U1935">
        <v>0</v>
      </c>
      <c r="V1935">
        <v>0</v>
      </c>
    </row>
    <row r="1936" spans="1:22">
      <c r="A1936" t="s">
        <v>2030</v>
      </c>
      <c r="B1936" s="3">
        <v>46201</v>
      </c>
      <c r="C1936" t="s">
        <v>14</v>
      </c>
      <c r="D1936" t="s">
        <v>210</v>
      </c>
      <c r="E1936" t="s">
        <v>16</v>
      </c>
      <c r="F1936" t="s">
        <v>17</v>
      </c>
      <c r="G1936" t="s">
        <v>23</v>
      </c>
      <c r="H1936" t="s">
        <v>19</v>
      </c>
      <c r="I1936" t="s">
        <v>20</v>
      </c>
      <c r="J1936">
        <v>120</v>
      </c>
      <c r="S1936">
        <v>9.6</v>
      </c>
      <c r="T1936">
        <v>0</v>
      </c>
      <c r="U1936">
        <v>1</v>
      </c>
      <c r="V1936">
        <v>0</v>
      </c>
    </row>
    <row r="1937" spans="1:22">
      <c r="A1937" t="s">
        <v>2031</v>
      </c>
      <c r="B1937" s="3">
        <v>46201</v>
      </c>
      <c r="C1937" t="s">
        <v>14</v>
      </c>
      <c r="D1937" t="s">
        <v>37</v>
      </c>
      <c r="E1937" t="s">
        <v>16</v>
      </c>
      <c r="F1937" t="s">
        <v>17</v>
      </c>
      <c r="G1937" t="s">
        <v>23</v>
      </c>
      <c r="H1937" t="s">
        <v>19</v>
      </c>
      <c r="I1937" t="s">
        <v>20</v>
      </c>
      <c r="J1937">
        <v>120</v>
      </c>
      <c r="S1937">
        <v>9.6</v>
      </c>
      <c r="T1937">
        <v>0</v>
      </c>
      <c r="U1937">
        <v>1</v>
      </c>
      <c r="V1937">
        <v>0</v>
      </c>
    </row>
    <row r="1938" spans="1:22">
      <c r="A1938" t="s">
        <v>2032</v>
      </c>
      <c r="B1938" s="3">
        <v>46201</v>
      </c>
      <c r="C1938" t="s">
        <v>14</v>
      </c>
      <c r="D1938" t="s">
        <v>28</v>
      </c>
      <c r="E1938" t="s">
        <v>16</v>
      </c>
      <c r="F1938" t="s">
        <v>17</v>
      </c>
      <c r="G1938" t="s">
        <v>23</v>
      </c>
      <c r="H1938" t="s">
        <v>19</v>
      </c>
      <c r="I1938" t="s">
        <v>20</v>
      </c>
      <c r="J1938">
        <v>120</v>
      </c>
      <c r="S1938">
        <v>9.6</v>
      </c>
      <c r="T1938">
        <v>0</v>
      </c>
      <c r="U1938">
        <v>1</v>
      </c>
      <c r="V1938">
        <v>0</v>
      </c>
    </row>
    <row r="1939" spans="1:22">
      <c r="A1939" t="s">
        <v>2033</v>
      </c>
      <c r="B1939" s="3">
        <v>46201</v>
      </c>
      <c r="C1939" t="s">
        <v>14</v>
      </c>
      <c r="D1939" t="s">
        <v>131</v>
      </c>
      <c r="E1939" t="s">
        <v>16</v>
      </c>
      <c r="F1939" t="s">
        <v>17</v>
      </c>
      <c r="G1939" t="s">
        <v>32</v>
      </c>
      <c r="H1939" t="s">
        <v>19</v>
      </c>
      <c r="I1939" t="s">
        <v>20</v>
      </c>
      <c r="J1939">
        <v>300</v>
      </c>
      <c r="S1939">
        <v>36</v>
      </c>
      <c r="T1939">
        <v>0</v>
      </c>
      <c r="U1939">
        <v>1</v>
      </c>
      <c r="V1939">
        <v>0</v>
      </c>
    </row>
    <row r="1940" spans="1:22">
      <c r="A1940" t="s">
        <v>2034</v>
      </c>
      <c r="B1940" s="3">
        <v>46201</v>
      </c>
      <c r="C1940" t="s">
        <v>14</v>
      </c>
      <c r="D1940" t="s">
        <v>31</v>
      </c>
      <c r="E1940" t="s">
        <v>16</v>
      </c>
      <c r="F1940" t="s">
        <v>17</v>
      </c>
      <c r="G1940" t="s">
        <v>32</v>
      </c>
      <c r="H1940" t="s">
        <v>19</v>
      </c>
      <c r="I1940" t="s">
        <v>20</v>
      </c>
      <c r="J1940">
        <v>255</v>
      </c>
      <c r="L1940" t="s">
        <v>29</v>
      </c>
      <c r="S1940">
        <v>30.6</v>
      </c>
      <c r="T1940">
        <v>0</v>
      </c>
      <c r="U1940">
        <v>1</v>
      </c>
      <c r="V1940">
        <v>0</v>
      </c>
    </row>
    <row r="1941" spans="1:22">
      <c r="A1941" t="s">
        <v>2035</v>
      </c>
      <c r="B1941" s="3">
        <v>46201</v>
      </c>
      <c r="C1941" t="s">
        <v>14</v>
      </c>
      <c r="D1941" t="s">
        <v>28</v>
      </c>
      <c r="E1941" t="s">
        <v>16</v>
      </c>
      <c r="F1941" t="s">
        <v>35</v>
      </c>
      <c r="G1941" t="s">
        <v>23</v>
      </c>
      <c r="H1941" t="s">
        <v>19</v>
      </c>
      <c r="I1941" t="s">
        <v>20</v>
      </c>
      <c r="J1941">
        <v>102</v>
      </c>
      <c r="L1941" t="s">
        <v>29</v>
      </c>
      <c r="S1941">
        <v>3.06</v>
      </c>
      <c r="T1941">
        <v>0</v>
      </c>
      <c r="U1941">
        <v>0</v>
      </c>
      <c r="V1941">
        <v>0</v>
      </c>
    </row>
    <row r="1942" spans="1:22">
      <c r="A1942" t="s">
        <v>2036</v>
      </c>
      <c r="B1942" s="3">
        <v>46201</v>
      </c>
      <c r="C1942" t="s">
        <v>14</v>
      </c>
      <c r="D1942" t="s">
        <v>28</v>
      </c>
      <c r="E1942" t="s">
        <v>16</v>
      </c>
      <c r="F1942" t="s">
        <v>35</v>
      </c>
      <c r="G1942" t="s">
        <v>32</v>
      </c>
      <c r="H1942" t="s">
        <v>19</v>
      </c>
      <c r="I1942" t="s">
        <v>20</v>
      </c>
      <c r="J1942">
        <v>300</v>
      </c>
      <c r="S1942">
        <v>9</v>
      </c>
      <c r="T1942">
        <v>0</v>
      </c>
      <c r="U1942">
        <v>0</v>
      </c>
      <c r="V1942">
        <v>0</v>
      </c>
    </row>
    <row r="1943" spans="1:22">
      <c r="A1943" t="s">
        <v>2037</v>
      </c>
      <c r="B1943" s="3">
        <v>46201</v>
      </c>
      <c r="C1943" t="s">
        <v>14</v>
      </c>
      <c r="D1943" t="s">
        <v>137</v>
      </c>
      <c r="E1943" t="s">
        <v>16</v>
      </c>
      <c r="F1943" t="s">
        <v>17</v>
      </c>
      <c r="G1943" t="s">
        <v>32</v>
      </c>
      <c r="H1943" t="s">
        <v>19</v>
      </c>
      <c r="I1943" t="s">
        <v>20</v>
      </c>
      <c r="J1943">
        <v>300</v>
      </c>
      <c r="S1943">
        <v>36</v>
      </c>
      <c r="T1943">
        <v>0</v>
      </c>
      <c r="U1943">
        <v>1</v>
      </c>
      <c r="V1943">
        <v>0</v>
      </c>
    </row>
    <row r="1944" spans="1:22">
      <c r="A1944" t="s">
        <v>2038</v>
      </c>
      <c r="B1944" s="3">
        <v>46201</v>
      </c>
      <c r="C1944" t="s">
        <v>14</v>
      </c>
      <c r="D1944" t="s">
        <v>42</v>
      </c>
      <c r="E1944" t="s">
        <v>16</v>
      </c>
      <c r="F1944" t="s">
        <v>17</v>
      </c>
      <c r="G1944" t="s">
        <v>32</v>
      </c>
      <c r="H1944" t="s">
        <v>19</v>
      </c>
      <c r="I1944" t="s">
        <v>20</v>
      </c>
      <c r="J1944">
        <v>300</v>
      </c>
      <c r="S1944">
        <v>36</v>
      </c>
      <c r="T1944">
        <v>0</v>
      </c>
      <c r="U1944">
        <v>1</v>
      </c>
      <c r="V1944">
        <v>0</v>
      </c>
    </row>
    <row r="1945" spans="1:22">
      <c r="A1945" t="s">
        <v>2039</v>
      </c>
      <c r="B1945" s="3">
        <v>46201</v>
      </c>
      <c r="C1945" t="s">
        <v>14</v>
      </c>
      <c r="D1945" t="s">
        <v>28</v>
      </c>
      <c r="E1945" t="s">
        <v>16</v>
      </c>
      <c r="F1945" t="s">
        <v>17</v>
      </c>
      <c r="G1945" t="s">
        <v>23</v>
      </c>
      <c r="H1945" t="s">
        <v>19</v>
      </c>
      <c r="I1945" t="s">
        <v>20</v>
      </c>
      <c r="J1945">
        <v>120</v>
      </c>
      <c r="S1945">
        <v>9.6</v>
      </c>
      <c r="T1945">
        <v>0</v>
      </c>
      <c r="U1945">
        <v>1</v>
      </c>
      <c r="V1945">
        <v>0</v>
      </c>
    </row>
    <row r="1946" spans="1:22">
      <c r="A1946" t="s">
        <v>2040</v>
      </c>
      <c r="B1946" s="3">
        <v>46201</v>
      </c>
      <c r="C1946" t="s">
        <v>14</v>
      </c>
      <c r="D1946" t="s">
        <v>34</v>
      </c>
      <c r="E1946" t="s">
        <v>16</v>
      </c>
      <c r="F1946" t="s">
        <v>17</v>
      </c>
      <c r="G1946" t="s">
        <v>18</v>
      </c>
      <c r="H1946" t="s">
        <v>24</v>
      </c>
      <c r="I1946" t="s">
        <v>20</v>
      </c>
      <c r="J1946">
        <v>170</v>
      </c>
      <c r="L1946" t="s">
        <v>29</v>
      </c>
      <c r="S1946">
        <v>0</v>
      </c>
      <c r="T1946">
        <v>0</v>
      </c>
      <c r="U1946">
        <v>0</v>
      </c>
      <c r="V1946">
        <v>0</v>
      </c>
    </row>
    <row r="1947" spans="1:22">
      <c r="A1947" t="s">
        <v>2041</v>
      </c>
      <c r="B1947" s="3">
        <v>46201</v>
      </c>
      <c r="C1947" t="s">
        <v>14</v>
      </c>
      <c r="D1947" t="s">
        <v>131</v>
      </c>
      <c r="E1947" t="s">
        <v>16</v>
      </c>
      <c r="F1947" t="s">
        <v>35</v>
      </c>
      <c r="G1947" t="s">
        <v>18</v>
      </c>
      <c r="H1947" t="s">
        <v>19</v>
      </c>
      <c r="I1947" t="s">
        <v>20</v>
      </c>
      <c r="J1947">
        <v>200</v>
      </c>
      <c r="S1947">
        <v>6</v>
      </c>
      <c r="T1947">
        <v>0</v>
      </c>
      <c r="U1947">
        <v>0</v>
      </c>
      <c r="V1947">
        <v>0</v>
      </c>
    </row>
    <row r="1948" spans="1:22">
      <c r="A1948" t="s">
        <v>2042</v>
      </c>
      <c r="B1948" s="3">
        <v>46201</v>
      </c>
      <c r="C1948" t="s">
        <v>14</v>
      </c>
      <c r="D1948" t="s">
        <v>26</v>
      </c>
      <c r="E1948" t="s">
        <v>16</v>
      </c>
      <c r="F1948" t="s">
        <v>17</v>
      </c>
      <c r="G1948" t="s">
        <v>23</v>
      </c>
      <c r="H1948" t="s">
        <v>19</v>
      </c>
      <c r="I1948" t="s">
        <v>20</v>
      </c>
      <c r="J1948">
        <v>120</v>
      </c>
      <c r="S1948">
        <v>9.6</v>
      </c>
      <c r="T1948">
        <v>0</v>
      </c>
      <c r="U1948">
        <v>1</v>
      </c>
      <c r="V1948">
        <v>0</v>
      </c>
    </row>
    <row r="1949" spans="1:22">
      <c r="A1949" t="s">
        <v>2043</v>
      </c>
      <c r="B1949" s="3">
        <v>46201</v>
      </c>
      <c r="C1949" t="s">
        <v>47</v>
      </c>
      <c r="D1949" t="s">
        <v>66</v>
      </c>
      <c r="E1949" t="s">
        <v>16</v>
      </c>
      <c r="F1949" t="s">
        <v>17</v>
      </c>
      <c r="G1949" t="s">
        <v>18</v>
      </c>
      <c r="H1949" t="s">
        <v>19</v>
      </c>
      <c r="I1949" t="s">
        <v>20</v>
      </c>
      <c r="J1949">
        <v>200</v>
      </c>
      <c r="S1949">
        <v>20</v>
      </c>
      <c r="T1949">
        <v>0</v>
      </c>
      <c r="U1949">
        <v>1</v>
      </c>
      <c r="V1949">
        <v>0</v>
      </c>
    </row>
    <row r="1950" spans="1:22">
      <c r="A1950" t="s">
        <v>2044</v>
      </c>
      <c r="B1950" s="3">
        <v>46201</v>
      </c>
      <c r="C1950" t="s">
        <v>47</v>
      </c>
      <c r="D1950" t="s">
        <v>50</v>
      </c>
      <c r="E1950" t="s">
        <v>16</v>
      </c>
      <c r="F1950" t="s">
        <v>17</v>
      </c>
      <c r="G1950" t="s">
        <v>23</v>
      </c>
      <c r="H1950" t="s">
        <v>19</v>
      </c>
      <c r="I1950" t="s">
        <v>20</v>
      </c>
      <c r="J1950">
        <v>102</v>
      </c>
      <c r="L1950" t="s">
        <v>29</v>
      </c>
      <c r="S1950">
        <v>8.16</v>
      </c>
      <c r="T1950">
        <v>0</v>
      </c>
      <c r="U1950">
        <v>1</v>
      </c>
      <c r="V1950">
        <v>0</v>
      </c>
    </row>
    <row r="1951" spans="1:22">
      <c r="A1951" t="s">
        <v>2045</v>
      </c>
      <c r="B1951" s="3">
        <v>46201</v>
      </c>
      <c r="C1951" t="s">
        <v>47</v>
      </c>
      <c r="D1951" t="s">
        <v>71</v>
      </c>
      <c r="E1951" t="s">
        <v>16</v>
      </c>
      <c r="F1951" t="s">
        <v>17</v>
      </c>
      <c r="G1951" t="s">
        <v>18</v>
      </c>
      <c r="H1951" t="s">
        <v>19</v>
      </c>
      <c r="I1951" t="s">
        <v>20</v>
      </c>
      <c r="J1951">
        <v>200</v>
      </c>
      <c r="S1951">
        <v>20</v>
      </c>
      <c r="T1951">
        <v>0</v>
      </c>
      <c r="U1951">
        <v>1</v>
      </c>
      <c r="V1951">
        <v>0</v>
      </c>
    </row>
    <row r="1952" spans="1:22">
      <c r="A1952" t="s">
        <v>2046</v>
      </c>
      <c r="B1952" s="3">
        <v>46201</v>
      </c>
      <c r="C1952" t="s">
        <v>47</v>
      </c>
      <c r="D1952" t="s">
        <v>71</v>
      </c>
      <c r="E1952" t="s">
        <v>16</v>
      </c>
      <c r="F1952" t="s">
        <v>17</v>
      </c>
      <c r="G1952" t="s">
        <v>23</v>
      </c>
      <c r="H1952" t="s">
        <v>19</v>
      </c>
      <c r="I1952" t="s">
        <v>53</v>
      </c>
      <c r="J1952">
        <v>120</v>
      </c>
      <c r="S1952">
        <v>0</v>
      </c>
      <c r="T1952">
        <v>0</v>
      </c>
      <c r="U1952">
        <v>0</v>
      </c>
      <c r="V1952">
        <v>0</v>
      </c>
    </row>
    <row r="1953" spans="1:22">
      <c r="A1953" t="s">
        <v>2047</v>
      </c>
      <c r="B1953" s="3">
        <v>46201</v>
      </c>
      <c r="C1953" t="s">
        <v>47</v>
      </c>
      <c r="D1953" t="s">
        <v>52</v>
      </c>
      <c r="E1953" t="s">
        <v>16</v>
      </c>
      <c r="F1953" t="s">
        <v>17</v>
      </c>
      <c r="G1953" t="s">
        <v>32</v>
      </c>
      <c r="H1953" t="s">
        <v>19</v>
      </c>
      <c r="I1953" t="s">
        <v>20</v>
      </c>
      <c r="J1953">
        <v>300</v>
      </c>
      <c r="S1953">
        <v>36</v>
      </c>
      <c r="T1953">
        <v>0</v>
      </c>
      <c r="U1953">
        <v>1</v>
      </c>
      <c r="V1953">
        <v>0</v>
      </c>
    </row>
    <row r="1954" spans="1:22">
      <c r="A1954" t="s">
        <v>2048</v>
      </c>
      <c r="B1954" s="3">
        <v>46201</v>
      </c>
      <c r="C1954" t="s">
        <v>47</v>
      </c>
      <c r="D1954" t="s">
        <v>148</v>
      </c>
      <c r="E1954" t="s">
        <v>16</v>
      </c>
      <c r="F1954" t="s">
        <v>17</v>
      </c>
      <c r="G1954" t="s">
        <v>23</v>
      </c>
      <c r="H1954" t="s">
        <v>19</v>
      </c>
      <c r="I1954" t="s">
        <v>20</v>
      </c>
      <c r="J1954">
        <v>120</v>
      </c>
      <c r="S1954">
        <v>9.6</v>
      </c>
      <c r="T1954">
        <v>0</v>
      </c>
      <c r="U1954">
        <v>1</v>
      </c>
      <c r="V1954">
        <v>0</v>
      </c>
    </row>
    <row r="1955" spans="1:22">
      <c r="A1955" t="s">
        <v>2049</v>
      </c>
      <c r="B1955" s="3">
        <v>46201</v>
      </c>
      <c r="C1955" t="s">
        <v>47</v>
      </c>
      <c r="D1955" t="s">
        <v>66</v>
      </c>
      <c r="E1955" t="s">
        <v>16</v>
      </c>
      <c r="F1955" t="s">
        <v>17</v>
      </c>
      <c r="G1955" t="s">
        <v>32</v>
      </c>
      <c r="H1955" t="s">
        <v>19</v>
      </c>
      <c r="I1955" t="s">
        <v>20</v>
      </c>
      <c r="J1955">
        <v>300</v>
      </c>
      <c r="S1955">
        <v>36</v>
      </c>
      <c r="T1955">
        <v>0</v>
      </c>
      <c r="U1955">
        <v>1</v>
      </c>
      <c r="V1955">
        <v>0</v>
      </c>
    </row>
    <row r="1956" spans="1:22">
      <c r="A1956" t="s">
        <v>2050</v>
      </c>
      <c r="B1956" s="3">
        <v>46201</v>
      </c>
      <c r="C1956" t="s">
        <v>47</v>
      </c>
      <c r="D1956" t="s">
        <v>59</v>
      </c>
      <c r="E1956" t="s">
        <v>16</v>
      </c>
      <c r="F1956" t="s">
        <v>17</v>
      </c>
      <c r="G1956" t="s">
        <v>23</v>
      </c>
      <c r="H1956" t="s">
        <v>19</v>
      </c>
      <c r="I1956" t="s">
        <v>74</v>
      </c>
      <c r="J1956">
        <v>120</v>
      </c>
      <c r="S1956">
        <v>0</v>
      </c>
      <c r="T1956">
        <v>0</v>
      </c>
      <c r="U1956">
        <v>0</v>
      </c>
      <c r="V1956">
        <v>0</v>
      </c>
    </row>
    <row r="1957" spans="1:22">
      <c r="A1957" t="s">
        <v>2051</v>
      </c>
      <c r="B1957" s="3">
        <v>46201</v>
      </c>
      <c r="C1957" t="s">
        <v>47</v>
      </c>
      <c r="D1957" t="s">
        <v>59</v>
      </c>
      <c r="E1957" t="s">
        <v>16</v>
      </c>
      <c r="F1957" t="s">
        <v>17</v>
      </c>
      <c r="G1957" t="s">
        <v>23</v>
      </c>
      <c r="H1957" t="s">
        <v>19</v>
      </c>
      <c r="I1957" t="s">
        <v>20</v>
      </c>
      <c r="J1957">
        <v>120</v>
      </c>
      <c r="S1957">
        <v>9.6</v>
      </c>
      <c r="T1957">
        <v>0</v>
      </c>
      <c r="U1957">
        <v>1</v>
      </c>
      <c r="V1957">
        <v>0</v>
      </c>
    </row>
    <row r="1958" spans="1:22">
      <c r="A1958" t="s">
        <v>2052</v>
      </c>
      <c r="B1958" s="3">
        <v>46201</v>
      </c>
      <c r="C1958" t="s">
        <v>47</v>
      </c>
      <c r="D1958" t="s">
        <v>59</v>
      </c>
      <c r="E1958" t="s">
        <v>16</v>
      </c>
      <c r="F1958" t="s">
        <v>17</v>
      </c>
      <c r="G1958" t="s">
        <v>23</v>
      </c>
      <c r="H1958" t="s">
        <v>19</v>
      </c>
      <c r="I1958" t="s">
        <v>20</v>
      </c>
      <c r="J1958">
        <v>120</v>
      </c>
      <c r="S1958">
        <v>9.6</v>
      </c>
      <c r="T1958">
        <v>0</v>
      </c>
      <c r="U1958">
        <v>1</v>
      </c>
      <c r="V1958">
        <v>0</v>
      </c>
    </row>
    <row r="1959" spans="1:22">
      <c r="A1959" t="s">
        <v>2053</v>
      </c>
      <c r="B1959" s="3">
        <v>46201</v>
      </c>
      <c r="C1959" t="s">
        <v>47</v>
      </c>
      <c r="D1959" t="s">
        <v>50</v>
      </c>
      <c r="E1959" t="s">
        <v>16</v>
      </c>
      <c r="F1959" t="s">
        <v>17</v>
      </c>
      <c r="G1959" t="s">
        <v>18</v>
      </c>
      <c r="H1959" t="s">
        <v>19</v>
      </c>
      <c r="I1959" t="s">
        <v>20</v>
      </c>
      <c r="J1959">
        <v>170</v>
      </c>
      <c r="L1959" t="s">
        <v>29</v>
      </c>
      <c r="S1959">
        <v>17</v>
      </c>
      <c r="T1959">
        <v>0</v>
      </c>
      <c r="U1959">
        <v>1</v>
      </c>
      <c r="V1959">
        <v>0</v>
      </c>
    </row>
    <row r="1960" spans="1:22">
      <c r="A1960" t="s">
        <v>2054</v>
      </c>
      <c r="B1960" s="3">
        <v>46201</v>
      </c>
      <c r="C1960" t="s">
        <v>47</v>
      </c>
      <c r="D1960" t="s">
        <v>64</v>
      </c>
      <c r="E1960" t="s">
        <v>16</v>
      </c>
      <c r="F1960" t="s">
        <v>17</v>
      </c>
      <c r="G1960" t="s">
        <v>18</v>
      </c>
      <c r="H1960" t="s">
        <v>19</v>
      </c>
      <c r="I1960" t="s">
        <v>20</v>
      </c>
      <c r="J1960">
        <v>200</v>
      </c>
      <c r="S1960">
        <v>20</v>
      </c>
      <c r="T1960">
        <v>0</v>
      </c>
      <c r="U1960">
        <v>1</v>
      </c>
      <c r="V1960">
        <v>0</v>
      </c>
    </row>
    <row r="1961" spans="1:22">
      <c r="A1961" t="s">
        <v>2055</v>
      </c>
      <c r="B1961" s="3">
        <v>46201</v>
      </c>
      <c r="C1961" t="s">
        <v>47</v>
      </c>
      <c r="D1961" t="s">
        <v>71</v>
      </c>
      <c r="E1961" t="s">
        <v>16</v>
      </c>
      <c r="F1961" t="s">
        <v>17</v>
      </c>
      <c r="G1961" t="s">
        <v>32</v>
      </c>
      <c r="H1961" t="s">
        <v>24</v>
      </c>
      <c r="I1961" t="s">
        <v>20</v>
      </c>
      <c r="J1961">
        <v>300</v>
      </c>
      <c r="S1961">
        <v>0</v>
      </c>
      <c r="T1961">
        <v>0</v>
      </c>
      <c r="U1961">
        <v>0</v>
      </c>
      <c r="V1961">
        <v>0</v>
      </c>
    </row>
    <row r="1962" spans="1:22">
      <c r="A1962" t="s">
        <v>2056</v>
      </c>
      <c r="B1962" s="3">
        <v>46201</v>
      </c>
      <c r="C1962" t="s">
        <v>47</v>
      </c>
      <c r="D1962" t="s">
        <v>148</v>
      </c>
      <c r="E1962" t="s">
        <v>16</v>
      </c>
      <c r="F1962" t="s">
        <v>17</v>
      </c>
      <c r="G1962" t="s">
        <v>23</v>
      </c>
      <c r="H1962" t="s">
        <v>19</v>
      </c>
      <c r="I1962" t="s">
        <v>20</v>
      </c>
      <c r="J1962">
        <v>120</v>
      </c>
      <c r="S1962">
        <v>9.6</v>
      </c>
      <c r="T1962">
        <v>0</v>
      </c>
      <c r="U1962">
        <v>1</v>
      </c>
      <c r="V1962">
        <v>0</v>
      </c>
    </row>
    <row r="1963" spans="1:22">
      <c r="A1963" t="s">
        <v>2057</v>
      </c>
      <c r="B1963" s="3">
        <v>46201</v>
      </c>
      <c r="C1963" t="s">
        <v>47</v>
      </c>
      <c r="D1963" t="s">
        <v>50</v>
      </c>
      <c r="E1963" t="s">
        <v>16</v>
      </c>
      <c r="F1963" t="s">
        <v>35</v>
      </c>
      <c r="G1963" t="s">
        <v>23</v>
      </c>
      <c r="H1963" t="s">
        <v>19</v>
      </c>
      <c r="I1963" t="s">
        <v>20</v>
      </c>
      <c r="J1963">
        <v>102</v>
      </c>
      <c r="L1963" t="s">
        <v>29</v>
      </c>
      <c r="S1963">
        <v>3.06</v>
      </c>
      <c r="T1963">
        <v>0</v>
      </c>
      <c r="U1963">
        <v>0</v>
      </c>
      <c r="V1963">
        <v>0</v>
      </c>
    </row>
    <row r="1964" spans="1:22">
      <c r="A1964" t="s">
        <v>2058</v>
      </c>
      <c r="B1964" s="3">
        <v>46201</v>
      </c>
      <c r="C1964" t="s">
        <v>47</v>
      </c>
      <c r="D1964" t="s">
        <v>52</v>
      </c>
      <c r="E1964" t="s">
        <v>16</v>
      </c>
      <c r="F1964" t="s">
        <v>35</v>
      </c>
      <c r="G1964" t="s">
        <v>18</v>
      </c>
      <c r="H1964" t="s">
        <v>19</v>
      </c>
      <c r="I1964" t="s">
        <v>20</v>
      </c>
      <c r="J1964">
        <v>200</v>
      </c>
      <c r="S1964">
        <v>6</v>
      </c>
      <c r="T1964">
        <v>0</v>
      </c>
      <c r="U1964">
        <v>0</v>
      </c>
      <c r="V1964">
        <v>0</v>
      </c>
    </row>
    <row r="1965" spans="1:22">
      <c r="A1965" t="s">
        <v>2059</v>
      </c>
      <c r="B1965" s="3">
        <v>46201</v>
      </c>
      <c r="C1965" t="s">
        <v>47</v>
      </c>
      <c r="D1965" t="s">
        <v>64</v>
      </c>
      <c r="E1965" t="s">
        <v>16</v>
      </c>
      <c r="F1965" t="s">
        <v>17</v>
      </c>
      <c r="G1965" t="s">
        <v>18</v>
      </c>
      <c r="H1965" t="s">
        <v>19</v>
      </c>
      <c r="I1965" t="s">
        <v>20</v>
      </c>
      <c r="J1965">
        <v>150</v>
      </c>
      <c r="L1965" t="s">
        <v>29</v>
      </c>
      <c r="S1965">
        <v>15</v>
      </c>
      <c r="T1965">
        <v>0</v>
      </c>
      <c r="U1965">
        <v>1</v>
      </c>
      <c r="V1965">
        <v>0</v>
      </c>
    </row>
    <row r="1966" spans="1:22">
      <c r="A1966" t="s">
        <v>2060</v>
      </c>
      <c r="B1966" s="3">
        <v>46201</v>
      </c>
      <c r="C1966" t="s">
        <v>78</v>
      </c>
      <c r="D1966" t="s">
        <v>93</v>
      </c>
      <c r="E1966" t="s">
        <v>16</v>
      </c>
      <c r="F1966" t="s">
        <v>17</v>
      </c>
      <c r="G1966" t="s">
        <v>32</v>
      </c>
      <c r="H1966" t="s">
        <v>19</v>
      </c>
      <c r="I1966" t="s">
        <v>74</v>
      </c>
      <c r="J1966">
        <v>225</v>
      </c>
      <c r="L1966" t="s">
        <v>29</v>
      </c>
      <c r="S1966">
        <v>0</v>
      </c>
      <c r="T1966">
        <v>0</v>
      </c>
      <c r="U1966">
        <v>0</v>
      </c>
      <c r="V1966">
        <v>0</v>
      </c>
    </row>
    <row r="1967" spans="1:22">
      <c r="A1967" t="s">
        <v>2061</v>
      </c>
      <c r="B1967" s="3">
        <v>46201</v>
      </c>
      <c r="C1967" t="s">
        <v>78</v>
      </c>
      <c r="D1967" t="s">
        <v>83</v>
      </c>
      <c r="E1967" t="s">
        <v>16</v>
      </c>
      <c r="F1967" t="s">
        <v>17</v>
      </c>
      <c r="G1967" t="s">
        <v>18</v>
      </c>
      <c r="H1967" t="s">
        <v>24</v>
      </c>
      <c r="I1967" t="s">
        <v>20</v>
      </c>
      <c r="J1967">
        <v>200</v>
      </c>
      <c r="S1967">
        <v>0</v>
      </c>
      <c r="T1967">
        <v>0</v>
      </c>
      <c r="U1967">
        <v>0</v>
      </c>
      <c r="V1967">
        <v>0</v>
      </c>
    </row>
    <row r="1968" spans="1:22">
      <c r="A1968" t="s">
        <v>2062</v>
      </c>
      <c r="B1968" s="3">
        <v>46201</v>
      </c>
      <c r="C1968" t="s">
        <v>78</v>
      </c>
      <c r="D1968" t="s">
        <v>93</v>
      </c>
      <c r="E1968" t="s">
        <v>16</v>
      </c>
      <c r="F1968" t="s">
        <v>17</v>
      </c>
      <c r="G1968" t="s">
        <v>32</v>
      </c>
      <c r="H1968" t="s">
        <v>19</v>
      </c>
      <c r="I1968" t="s">
        <v>20</v>
      </c>
      <c r="J1968">
        <v>300</v>
      </c>
      <c r="S1968">
        <v>36</v>
      </c>
      <c r="T1968">
        <v>0</v>
      </c>
      <c r="U1968">
        <v>1</v>
      </c>
      <c r="V1968">
        <v>0</v>
      </c>
    </row>
    <row r="1969" spans="1:22">
      <c r="A1969" t="s">
        <v>2063</v>
      </c>
      <c r="B1969" s="3">
        <v>46201</v>
      </c>
      <c r="C1969" t="s">
        <v>78</v>
      </c>
      <c r="D1969" t="s">
        <v>102</v>
      </c>
      <c r="E1969" t="s">
        <v>16</v>
      </c>
      <c r="F1969" t="s">
        <v>17</v>
      </c>
      <c r="G1969" t="s">
        <v>32</v>
      </c>
      <c r="H1969" t="s">
        <v>19</v>
      </c>
      <c r="I1969" t="s">
        <v>20</v>
      </c>
      <c r="J1969">
        <v>225</v>
      </c>
      <c r="L1969" t="s">
        <v>29</v>
      </c>
      <c r="S1969">
        <v>27</v>
      </c>
      <c r="T1969">
        <v>0</v>
      </c>
      <c r="U1969">
        <v>1</v>
      </c>
      <c r="V1969">
        <v>0</v>
      </c>
    </row>
    <row r="1970" spans="1:22">
      <c r="A1970" t="s">
        <v>2064</v>
      </c>
      <c r="B1970" s="3">
        <v>46201</v>
      </c>
      <c r="C1970" t="s">
        <v>78</v>
      </c>
      <c r="D1970" t="s">
        <v>89</v>
      </c>
      <c r="E1970" t="s">
        <v>16</v>
      </c>
      <c r="F1970" t="s">
        <v>35</v>
      </c>
      <c r="G1970" t="s">
        <v>18</v>
      </c>
      <c r="H1970" t="s">
        <v>19</v>
      </c>
      <c r="I1970" t="s">
        <v>20</v>
      </c>
      <c r="J1970">
        <v>200</v>
      </c>
      <c r="S1970">
        <v>6</v>
      </c>
      <c r="T1970">
        <v>0</v>
      </c>
      <c r="U1970">
        <v>0</v>
      </c>
      <c r="V1970">
        <v>0</v>
      </c>
    </row>
    <row r="1971" spans="1:22">
      <c r="A1971" t="s">
        <v>2065</v>
      </c>
      <c r="B1971" s="3">
        <v>46201</v>
      </c>
      <c r="C1971" t="s">
        <v>78</v>
      </c>
      <c r="D1971" t="s">
        <v>81</v>
      </c>
      <c r="E1971" t="s">
        <v>16</v>
      </c>
      <c r="F1971" t="s">
        <v>17</v>
      </c>
      <c r="G1971" t="s">
        <v>32</v>
      </c>
      <c r="H1971" t="s">
        <v>19</v>
      </c>
      <c r="I1971" t="s">
        <v>20</v>
      </c>
      <c r="J1971">
        <v>300</v>
      </c>
      <c r="S1971">
        <v>36</v>
      </c>
      <c r="T1971">
        <v>0</v>
      </c>
      <c r="U1971">
        <v>1</v>
      </c>
      <c r="V1971">
        <v>0</v>
      </c>
    </row>
    <row r="1972" spans="1:22">
      <c r="A1972" t="s">
        <v>2066</v>
      </c>
      <c r="B1972" s="3">
        <v>46201</v>
      </c>
      <c r="C1972" t="s">
        <v>78</v>
      </c>
      <c r="D1972" t="s">
        <v>161</v>
      </c>
      <c r="E1972" t="s">
        <v>16</v>
      </c>
      <c r="F1972" t="s">
        <v>17</v>
      </c>
      <c r="G1972" t="s">
        <v>23</v>
      </c>
      <c r="H1972" t="s">
        <v>19</v>
      </c>
      <c r="I1972" t="s">
        <v>20</v>
      </c>
      <c r="J1972">
        <v>120</v>
      </c>
      <c r="S1972">
        <v>9.6</v>
      </c>
      <c r="T1972">
        <v>0</v>
      </c>
      <c r="U1972">
        <v>1</v>
      </c>
      <c r="V1972">
        <v>0</v>
      </c>
    </row>
    <row r="1973" spans="1:22">
      <c r="A1973" t="s">
        <v>2067</v>
      </c>
      <c r="B1973" s="3">
        <v>46201</v>
      </c>
      <c r="C1973" t="s">
        <v>78</v>
      </c>
      <c r="D1973" t="s">
        <v>79</v>
      </c>
      <c r="E1973" t="s">
        <v>16</v>
      </c>
      <c r="F1973" t="s">
        <v>17</v>
      </c>
      <c r="G1973" t="s">
        <v>18</v>
      </c>
      <c r="H1973" t="s">
        <v>19</v>
      </c>
      <c r="I1973" t="s">
        <v>20</v>
      </c>
      <c r="J1973">
        <v>200</v>
      </c>
      <c r="S1973">
        <v>20</v>
      </c>
      <c r="T1973">
        <v>0</v>
      </c>
      <c r="U1973">
        <v>1</v>
      </c>
      <c r="V1973">
        <v>0</v>
      </c>
    </row>
    <row r="1974" spans="1:22">
      <c r="A1974" t="s">
        <v>2068</v>
      </c>
      <c r="B1974" s="3">
        <v>46201</v>
      </c>
      <c r="C1974" t="s">
        <v>78</v>
      </c>
      <c r="D1974" t="s">
        <v>83</v>
      </c>
      <c r="E1974" t="s">
        <v>16</v>
      </c>
      <c r="F1974" t="s">
        <v>17</v>
      </c>
      <c r="G1974" t="s">
        <v>18</v>
      </c>
      <c r="H1974" t="s">
        <v>19</v>
      </c>
      <c r="I1974" t="s">
        <v>20</v>
      </c>
      <c r="J1974">
        <v>170</v>
      </c>
      <c r="L1974" t="s">
        <v>29</v>
      </c>
      <c r="S1974">
        <v>17</v>
      </c>
      <c r="T1974">
        <v>0</v>
      </c>
      <c r="U1974">
        <v>1</v>
      </c>
      <c r="V1974">
        <v>0</v>
      </c>
    </row>
    <row r="1975" spans="1:22">
      <c r="A1975" t="s">
        <v>2069</v>
      </c>
      <c r="B1975" s="3">
        <v>46201</v>
      </c>
      <c r="C1975" t="s">
        <v>78</v>
      </c>
      <c r="D1975" t="s">
        <v>85</v>
      </c>
      <c r="E1975" t="s">
        <v>16</v>
      </c>
      <c r="F1975" t="s">
        <v>35</v>
      </c>
      <c r="G1975" t="s">
        <v>23</v>
      </c>
      <c r="H1975" t="s">
        <v>19</v>
      </c>
      <c r="I1975" t="s">
        <v>20</v>
      </c>
      <c r="J1975">
        <v>120</v>
      </c>
      <c r="S1975">
        <v>3.6</v>
      </c>
      <c r="T1975">
        <v>0</v>
      </c>
      <c r="U1975">
        <v>0</v>
      </c>
      <c r="V1975">
        <v>0</v>
      </c>
    </row>
    <row r="1976" spans="1:22">
      <c r="A1976" t="s">
        <v>2070</v>
      </c>
      <c r="B1976" s="3">
        <v>46201</v>
      </c>
      <c r="C1976" t="s">
        <v>78</v>
      </c>
      <c r="D1976" t="s">
        <v>87</v>
      </c>
      <c r="E1976" t="s">
        <v>16</v>
      </c>
      <c r="F1976" t="s">
        <v>17</v>
      </c>
      <c r="G1976" t="s">
        <v>32</v>
      </c>
      <c r="H1976" t="s">
        <v>19</v>
      </c>
      <c r="I1976" t="s">
        <v>20</v>
      </c>
      <c r="J1976">
        <v>300</v>
      </c>
      <c r="S1976">
        <v>36</v>
      </c>
      <c r="T1976">
        <v>0</v>
      </c>
      <c r="U1976">
        <v>1</v>
      </c>
      <c r="V1976">
        <v>0</v>
      </c>
    </row>
    <row r="1977" spans="1:22">
      <c r="A1977" t="s">
        <v>2071</v>
      </c>
      <c r="B1977" s="3">
        <v>46201</v>
      </c>
      <c r="C1977" t="s">
        <v>78</v>
      </c>
      <c r="D1977" t="s">
        <v>79</v>
      </c>
      <c r="E1977" t="s">
        <v>16</v>
      </c>
      <c r="F1977" t="s">
        <v>35</v>
      </c>
      <c r="G1977" t="s">
        <v>23</v>
      </c>
      <c r="H1977" t="s">
        <v>24</v>
      </c>
      <c r="I1977" t="s">
        <v>20</v>
      </c>
      <c r="J1977">
        <v>120</v>
      </c>
      <c r="S1977">
        <v>0</v>
      </c>
      <c r="T1977">
        <v>0</v>
      </c>
      <c r="U1977">
        <v>0</v>
      </c>
      <c r="V1977">
        <v>0</v>
      </c>
    </row>
    <row r="1978" spans="1:22">
      <c r="A1978" t="s">
        <v>2072</v>
      </c>
      <c r="B1978" s="3">
        <v>46201</v>
      </c>
      <c r="C1978" t="s">
        <v>78</v>
      </c>
      <c r="D1978" t="s">
        <v>85</v>
      </c>
      <c r="E1978" t="s">
        <v>16</v>
      </c>
      <c r="F1978" t="s">
        <v>35</v>
      </c>
      <c r="G1978" t="s">
        <v>23</v>
      </c>
      <c r="H1978" t="s">
        <v>19</v>
      </c>
      <c r="I1978" t="s">
        <v>53</v>
      </c>
      <c r="J1978">
        <v>120</v>
      </c>
      <c r="S1978">
        <v>0</v>
      </c>
      <c r="T1978">
        <v>0</v>
      </c>
      <c r="U1978">
        <v>0</v>
      </c>
      <c r="V1978">
        <v>0</v>
      </c>
    </row>
    <row r="1979" spans="1:22">
      <c r="A1979" t="s">
        <v>2073</v>
      </c>
      <c r="B1979" s="3">
        <v>46201</v>
      </c>
      <c r="C1979" t="s">
        <v>78</v>
      </c>
      <c r="D1979" t="s">
        <v>85</v>
      </c>
      <c r="E1979" t="s">
        <v>16</v>
      </c>
      <c r="F1979" t="s">
        <v>17</v>
      </c>
      <c r="G1979" t="s">
        <v>23</v>
      </c>
      <c r="H1979" t="s">
        <v>19</v>
      </c>
      <c r="I1979" t="s">
        <v>20</v>
      </c>
      <c r="J1979">
        <v>120</v>
      </c>
      <c r="S1979">
        <v>9.6</v>
      </c>
      <c r="T1979">
        <v>0</v>
      </c>
      <c r="U1979">
        <v>1</v>
      </c>
      <c r="V1979">
        <v>0</v>
      </c>
    </row>
    <row r="1980" spans="1:22">
      <c r="A1980" t="s">
        <v>2074</v>
      </c>
      <c r="B1980" s="3">
        <v>46201</v>
      </c>
      <c r="C1980" t="s">
        <v>78</v>
      </c>
      <c r="D1980" t="s">
        <v>87</v>
      </c>
      <c r="E1980" t="s">
        <v>16</v>
      </c>
      <c r="F1980" t="s">
        <v>17</v>
      </c>
      <c r="G1980" t="s">
        <v>23</v>
      </c>
      <c r="H1980" t="s">
        <v>24</v>
      </c>
      <c r="I1980" t="s">
        <v>20</v>
      </c>
      <c r="J1980">
        <v>90</v>
      </c>
      <c r="L1980" t="s">
        <v>29</v>
      </c>
      <c r="S1980">
        <v>0</v>
      </c>
      <c r="T1980">
        <v>0</v>
      </c>
      <c r="U1980">
        <v>0</v>
      </c>
      <c r="V1980">
        <v>0</v>
      </c>
    </row>
    <row r="1981" spans="1:22">
      <c r="A1981" t="s">
        <v>2075</v>
      </c>
      <c r="B1981" s="3">
        <v>46201</v>
      </c>
      <c r="C1981" t="s">
        <v>105</v>
      </c>
      <c r="D1981" t="s">
        <v>120</v>
      </c>
      <c r="E1981" t="s">
        <v>16</v>
      </c>
      <c r="F1981" t="s">
        <v>17</v>
      </c>
      <c r="G1981" t="s">
        <v>32</v>
      </c>
      <c r="H1981" t="s">
        <v>19</v>
      </c>
      <c r="I1981" t="s">
        <v>20</v>
      </c>
      <c r="J1981">
        <v>300</v>
      </c>
      <c r="S1981">
        <v>36</v>
      </c>
      <c r="T1981">
        <v>0</v>
      </c>
      <c r="U1981">
        <v>1</v>
      </c>
      <c r="V1981">
        <v>0</v>
      </c>
    </row>
    <row r="1982" spans="1:22">
      <c r="A1982" t="s">
        <v>2076</v>
      </c>
      <c r="B1982" s="3">
        <v>46201</v>
      </c>
      <c r="C1982" t="s">
        <v>105</v>
      </c>
      <c r="D1982" t="s">
        <v>187</v>
      </c>
      <c r="E1982" t="s">
        <v>16</v>
      </c>
      <c r="F1982" t="s">
        <v>17</v>
      </c>
      <c r="G1982" t="s">
        <v>23</v>
      </c>
      <c r="H1982" t="s">
        <v>24</v>
      </c>
      <c r="I1982" t="s">
        <v>20</v>
      </c>
      <c r="J1982">
        <v>120</v>
      </c>
      <c r="S1982">
        <v>0</v>
      </c>
      <c r="T1982">
        <v>0</v>
      </c>
      <c r="U1982">
        <v>0</v>
      </c>
      <c r="V1982">
        <v>0</v>
      </c>
    </row>
    <row r="1983" spans="1:22">
      <c r="A1983" t="s">
        <v>2077</v>
      </c>
      <c r="B1983" s="3">
        <v>46201</v>
      </c>
      <c r="C1983" t="s">
        <v>105</v>
      </c>
      <c r="D1983" t="s">
        <v>265</v>
      </c>
      <c r="E1983" t="s">
        <v>16</v>
      </c>
      <c r="F1983" t="s">
        <v>17</v>
      </c>
      <c r="G1983" t="s">
        <v>32</v>
      </c>
      <c r="H1983" t="s">
        <v>19</v>
      </c>
      <c r="I1983" t="s">
        <v>20</v>
      </c>
      <c r="J1983">
        <v>300</v>
      </c>
      <c r="S1983">
        <v>36</v>
      </c>
      <c r="T1983">
        <v>0</v>
      </c>
      <c r="U1983">
        <v>1</v>
      </c>
      <c r="V1983">
        <v>0</v>
      </c>
    </row>
    <row r="1984" spans="1:22">
      <c r="A1984" t="s">
        <v>2078</v>
      </c>
      <c r="B1984" s="3">
        <v>46201</v>
      </c>
      <c r="C1984" t="s">
        <v>105</v>
      </c>
      <c r="D1984" t="s">
        <v>112</v>
      </c>
      <c r="E1984" t="s">
        <v>16</v>
      </c>
      <c r="F1984" t="s">
        <v>17</v>
      </c>
      <c r="G1984" t="s">
        <v>23</v>
      </c>
      <c r="H1984" t="s">
        <v>19</v>
      </c>
      <c r="I1984" t="s">
        <v>20</v>
      </c>
      <c r="J1984">
        <v>120</v>
      </c>
      <c r="S1984">
        <v>9.6</v>
      </c>
      <c r="T1984">
        <v>0</v>
      </c>
      <c r="U1984">
        <v>1</v>
      </c>
      <c r="V1984">
        <v>0</v>
      </c>
    </row>
    <row r="1985" spans="1:22">
      <c r="A1985" t="s">
        <v>2079</v>
      </c>
      <c r="B1985" s="3">
        <v>46201</v>
      </c>
      <c r="C1985" t="s">
        <v>105</v>
      </c>
      <c r="D1985" t="s">
        <v>108</v>
      </c>
      <c r="E1985" t="s">
        <v>16</v>
      </c>
      <c r="F1985" t="s">
        <v>35</v>
      </c>
      <c r="G1985" t="s">
        <v>18</v>
      </c>
      <c r="H1985" t="s">
        <v>19</v>
      </c>
      <c r="I1985" t="s">
        <v>20</v>
      </c>
      <c r="J1985">
        <v>200</v>
      </c>
      <c r="S1985">
        <v>6</v>
      </c>
      <c r="T1985">
        <v>0</v>
      </c>
      <c r="U1985">
        <v>0</v>
      </c>
      <c r="V1985">
        <v>0</v>
      </c>
    </row>
    <row r="1986" spans="1:22">
      <c r="A1986" t="s">
        <v>2080</v>
      </c>
      <c r="B1986" s="3">
        <v>46201</v>
      </c>
      <c r="C1986" t="s">
        <v>105</v>
      </c>
      <c r="D1986" t="s">
        <v>194</v>
      </c>
      <c r="E1986" t="s">
        <v>16</v>
      </c>
      <c r="F1986" t="s">
        <v>17</v>
      </c>
      <c r="G1986" t="s">
        <v>32</v>
      </c>
      <c r="H1986" t="s">
        <v>19</v>
      </c>
      <c r="I1986" t="s">
        <v>20</v>
      </c>
      <c r="J1986">
        <v>300</v>
      </c>
      <c r="S1986">
        <v>36</v>
      </c>
      <c r="T1986">
        <v>0</v>
      </c>
      <c r="U1986">
        <v>1</v>
      </c>
      <c r="V1986">
        <v>0</v>
      </c>
    </row>
    <row r="1987" spans="1:22">
      <c r="A1987" t="s">
        <v>2081</v>
      </c>
      <c r="B1987" s="3">
        <v>46201</v>
      </c>
      <c r="C1987" t="s">
        <v>105</v>
      </c>
      <c r="D1987" t="s">
        <v>110</v>
      </c>
      <c r="E1987" t="s">
        <v>16</v>
      </c>
      <c r="F1987" t="s">
        <v>17</v>
      </c>
      <c r="G1987" t="s">
        <v>23</v>
      </c>
      <c r="H1987" t="s">
        <v>19</v>
      </c>
      <c r="I1987" t="s">
        <v>20</v>
      </c>
      <c r="J1987">
        <v>102</v>
      </c>
      <c r="L1987" t="s">
        <v>29</v>
      </c>
      <c r="S1987">
        <v>8.16</v>
      </c>
      <c r="T1987">
        <v>0</v>
      </c>
      <c r="U1987">
        <v>1</v>
      </c>
      <c r="V1987">
        <v>0</v>
      </c>
    </row>
    <row r="1988" spans="1:22">
      <c r="A1988" t="s">
        <v>2082</v>
      </c>
      <c r="B1988" s="3">
        <v>46201</v>
      </c>
      <c r="C1988" t="s">
        <v>105</v>
      </c>
      <c r="D1988" t="s">
        <v>182</v>
      </c>
      <c r="E1988" t="s">
        <v>16</v>
      </c>
      <c r="F1988" t="s">
        <v>17</v>
      </c>
      <c r="G1988" t="s">
        <v>32</v>
      </c>
      <c r="H1988" t="s">
        <v>24</v>
      </c>
      <c r="I1988" t="s">
        <v>20</v>
      </c>
      <c r="J1988">
        <v>300</v>
      </c>
      <c r="S1988">
        <v>0</v>
      </c>
      <c r="T1988">
        <v>0</v>
      </c>
      <c r="U1988">
        <v>0</v>
      </c>
      <c r="V1988">
        <v>0</v>
      </c>
    </row>
    <row r="1989" spans="1:22">
      <c r="A1989" t="s">
        <v>2083</v>
      </c>
      <c r="B1989" s="3">
        <v>46201</v>
      </c>
      <c r="C1989" t="s">
        <v>105</v>
      </c>
      <c r="D1989" t="s">
        <v>265</v>
      </c>
      <c r="E1989" t="s">
        <v>16</v>
      </c>
      <c r="F1989" t="s">
        <v>35</v>
      </c>
      <c r="G1989" t="s">
        <v>23</v>
      </c>
      <c r="H1989" t="s">
        <v>19</v>
      </c>
      <c r="I1989" t="s">
        <v>20</v>
      </c>
      <c r="J1989">
        <v>120</v>
      </c>
      <c r="S1989">
        <v>3.6</v>
      </c>
      <c r="T1989">
        <v>0</v>
      </c>
      <c r="U1989">
        <v>0</v>
      </c>
      <c r="V1989">
        <v>0</v>
      </c>
    </row>
    <row r="1990" spans="1:22">
      <c r="A1990" t="s">
        <v>2084</v>
      </c>
      <c r="B1990" s="3">
        <v>46201</v>
      </c>
      <c r="C1990" t="s">
        <v>105</v>
      </c>
      <c r="D1990" t="s">
        <v>116</v>
      </c>
      <c r="E1990" t="s">
        <v>16</v>
      </c>
      <c r="F1990" t="s">
        <v>35</v>
      </c>
      <c r="G1990" t="s">
        <v>32</v>
      </c>
      <c r="H1990" t="s">
        <v>19</v>
      </c>
      <c r="I1990" t="s">
        <v>74</v>
      </c>
      <c r="J1990">
        <v>300</v>
      </c>
      <c r="S1990">
        <v>0</v>
      </c>
      <c r="T1990">
        <v>0</v>
      </c>
      <c r="U1990">
        <v>0</v>
      </c>
      <c r="V1990">
        <v>0</v>
      </c>
    </row>
    <row r="1991" spans="1:22">
      <c r="A1991" t="s">
        <v>2085</v>
      </c>
      <c r="B1991" s="3">
        <v>46201</v>
      </c>
      <c r="C1991" t="s">
        <v>105</v>
      </c>
      <c r="D1991" t="s">
        <v>182</v>
      </c>
      <c r="E1991" t="s">
        <v>16</v>
      </c>
      <c r="F1991" t="s">
        <v>17</v>
      </c>
      <c r="G1991" t="s">
        <v>32</v>
      </c>
      <c r="H1991" t="s">
        <v>24</v>
      </c>
      <c r="I1991" t="s">
        <v>20</v>
      </c>
      <c r="J1991">
        <v>300</v>
      </c>
      <c r="S1991">
        <v>0</v>
      </c>
      <c r="T1991">
        <v>0</v>
      </c>
      <c r="U1991">
        <v>0</v>
      </c>
      <c r="V1991">
        <v>0</v>
      </c>
    </row>
    <row r="1992" spans="1:22">
      <c r="A1992" t="s">
        <v>2086</v>
      </c>
      <c r="B1992" s="3">
        <v>46201</v>
      </c>
      <c r="C1992" t="s">
        <v>105</v>
      </c>
      <c r="D1992" t="s">
        <v>108</v>
      </c>
      <c r="E1992" t="s">
        <v>16</v>
      </c>
      <c r="F1992" t="s">
        <v>17</v>
      </c>
      <c r="G1992" t="s">
        <v>18</v>
      </c>
      <c r="H1992" t="s">
        <v>24</v>
      </c>
      <c r="I1992" t="s">
        <v>20</v>
      </c>
      <c r="J1992">
        <v>200</v>
      </c>
      <c r="S1992">
        <v>0</v>
      </c>
      <c r="T1992">
        <v>0</v>
      </c>
      <c r="U1992">
        <v>0</v>
      </c>
      <c r="V1992">
        <v>0</v>
      </c>
    </row>
    <row r="1993" spans="1:22">
      <c r="A1993" t="s">
        <v>2087</v>
      </c>
      <c r="B1993" s="3">
        <v>46201</v>
      </c>
      <c r="C1993" t="s">
        <v>105</v>
      </c>
      <c r="D1993" t="s">
        <v>106</v>
      </c>
      <c r="E1993" t="s">
        <v>16</v>
      </c>
      <c r="F1993" t="s">
        <v>35</v>
      </c>
      <c r="G1993" t="s">
        <v>18</v>
      </c>
      <c r="H1993" t="s">
        <v>19</v>
      </c>
      <c r="I1993" t="s">
        <v>20</v>
      </c>
      <c r="J1993">
        <v>200</v>
      </c>
      <c r="S1993">
        <v>6</v>
      </c>
      <c r="T1993">
        <v>0</v>
      </c>
      <c r="U1993">
        <v>0</v>
      </c>
      <c r="V1993">
        <v>0</v>
      </c>
    </row>
    <row r="1994" spans="1:22">
      <c r="A1994" t="s">
        <v>2088</v>
      </c>
      <c r="B1994" s="3">
        <v>46201</v>
      </c>
      <c r="C1994" t="s">
        <v>105</v>
      </c>
      <c r="D1994" t="s">
        <v>118</v>
      </c>
      <c r="E1994" t="s">
        <v>16</v>
      </c>
      <c r="F1994" t="s">
        <v>17</v>
      </c>
      <c r="G1994" t="s">
        <v>32</v>
      </c>
      <c r="H1994" t="s">
        <v>19</v>
      </c>
      <c r="I1994" t="s">
        <v>20</v>
      </c>
      <c r="J1994">
        <v>225</v>
      </c>
      <c r="L1994" t="s">
        <v>29</v>
      </c>
      <c r="S1994">
        <v>27</v>
      </c>
      <c r="T1994">
        <v>0</v>
      </c>
      <c r="U1994">
        <v>1</v>
      </c>
      <c r="V1994">
        <v>0</v>
      </c>
    </row>
    <row r="1995" spans="1:22">
      <c r="A1995" t="s">
        <v>2098</v>
      </c>
      <c r="B1995" s="3">
        <v>46202</v>
      </c>
      <c r="C1995" t="s">
        <v>14</v>
      </c>
      <c r="D1995" t="s">
        <v>137</v>
      </c>
      <c r="E1995" t="s">
        <v>16</v>
      </c>
      <c r="F1995" t="s">
        <v>17</v>
      </c>
      <c r="G1995" t="s">
        <v>32</v>
      </c>
      <c r="H1995" t="s">
        <v>19</v>
      </c>
      <c r="I1995" t="s">
        <v>20</v>
      </c>
      <c r="J1995">
        <v>225</v>
      </c>
      <c r="L1995" t="s">
        <v>29</v>
      </c>
      <c r="S1995">
        <v>27</v>
      </c>
      <c r="T1995">
        <v>0</v>
      </c>
      <c r="U1995">
        <v>1</v>
      </c>
      <c r="V1995">
        <v>0</v>
      </c>
    </row>
    <row r="1996" spans="1:22">
      <c r="A1996" t="s">
        <v>2100</v>
      </c>
      <c r="B1996" s="3">
        <v>46202</v>
      </c>
      <c r="C1996" t="s">
        <v>14</v>
      </c>
      <c r="D1996" t="s">
        <v>137</v>
      </c>
      <c r="E1996" t="s">
        <v>16</v>
      </c>
      <c r="F1996" t="s">
        <v>17</v>
      </c>
      <c r="G1996" t="s">
        <v>32</v>
      </c>
      <c r="H1996" t="s">
        <v>19</v>
      </c>
      <c r="I1996" t="s">
        <v>20</v>
      </c>
      <c r="J1996">
        <v>300</v>
      </c>
      <c r="S1996">
        <v>36</v>
      </c>
      <c r="T1996">
        <v>0</v>
      </c>
      <c r="U1996">
        <v>1</v>
      </c>
      <c r="V1996">
        <v>0</v>
      </c>
    </row>
    <row r="1997" spans="1:22">
      <c r="A1997" t="s">
        <v>2101</v>
      </c>
      <c r="B1997" s="3">
        <v>46202</v>
      </c>
      <c r="C1997" t="s">
        <v>14</v>
      </c>
      <c r="D1997" t="s">
        <v>31</v>
      </c>
      <c r="E1997" t="s">
        <v>16</v>
      </c>
      <c r="F1997" t="s">
        <v>17</v>
      </c>
      <c r="G1997" t="s">
        <v>32</v>
      </c>
      <c r="H1997" t="s">
        <v>19</v>
      </c>
      <c r="I1997" t="s">
        <v>20</v>
      </c>
      <c r="J1997">
        <v>300</v>
      </c>
      <c r="S1997">
        <v>36</v>
      </c>
      <c r="T1997">
        <v>0</v>
      </c>
      <c r="U1997">
        <v>1</v>
      </c>
      <c r="V1997">
        <v>0</v>
      </c>
    </row>
    <row r="1998" spans="1:22">
      <c r="A1998" t="s">
        <v>2102</v>
      </c>
      <c r="B1998" s="3">
        <v>46202</v>
      </c>
      <c r="C1998" t="s">
        <v>14</v>
      </c>
      <c r="D1998" t="s">
        <v>37</v>
      </c>
      <c r="E1998" t="s">
        <v>16</v>
      </c>
      <c r="F1998" t="s">
        <v>17</v>
      </c>
      <c r="G1998" t="s">
        <v>18</v>
      </c>
      <c r="H1998" t="s">
        <v>19</v>
      </c>
      <c r="I1998" t="s">
        <v>20</v>
      </c>
      <c r="J1998">
        <v>200</v>
      </c>
      <c r="S1998">
        <v>20</v>
      </c>
      <c r="T1998">
        <v>0</v>
      </c>
      <c r="U1998">
        <v>1</v>
      </c>
      <c r="V1998">
        <v>0</v>
      </c>
    </row>
    <row r="1999" spans="1:22">
      <c r="A1999" t="s">
        <v>2103</v>
      </c>
      <c r="B1999" s="3">
        <v>46202</v>
      </c>
      <c r="C1999" t="s">
        <v>14</v>
      </c>
      <c r="D1999" t="s">
        <v>31</v>
      </c>
      <c r="E1999" t="s">
        <v>16</v>
      </c>
      <c r="F1999" t="s">
        <v>17</v>
      </c>
      <c r="G1999" t="s">
        <v>23</v>
      </c>
      <c r="H1999" t="s">
        <v>19</v>
      </c>
      <c r="I1999" t="s">
        <v>20</v>
      </c>
      <c r="J1999">
        <v>120</v>
      </c>
      <c r="S1999">
        <v>9.6</v>
      </c>
      <c r="T1999">
        <v>0</v>
      </c>
      <c r="U1999">
        <v>1</v>
      </c>
      <c r="V1999">
        <v>0</v>
      </c>
    </row>
    <row r="2000" spans="1:22">
      <c r="A2000" t="s">
        <v>2104</v>
      </c>
      <c r="B2000" s="3">
        <v>46202</v>
      </c>
      <c r="C2000" t="s">
        <v>14</v>
      </c>
      <c r="D2000" t="s">
        <v>37</v>
      </c>
      <c r="E2000" t="s">
        <v>16</v>
      </c>
      <c r="F2000" t="s">
        <v>17</v>
      </c>
      <c r="G2000" t="s">
        <v>18</v>
      </c>
      <c r="H2000" t="s">
        <v>24</v>
      </c>
      <c r="I2000" t="s">
        <v>20</v>
      </c>
      <c r="J2000">
        <v>170</v>
      </c>
      <c r="L2000" t="s">
        <v>29</v>
      </c>
      <c r="S2000">
        <v>0</v>
      </c>
      <c r="T2000">
        <v>0</v>
      </c>
      <c r="U2000">
        <v>0</v>
      </c>
      <c r="V2000">
        <v>0</v>
      </c>
    </row>
    <row r="2001" spans="1:22">
      <c r="A2001" t="s">
        <v>2105</v>
      </c>
      <c r="B2001" s="3">
        <v>46202</v>
      </c>
      <c r="C2001" t="s">
        <v>14</v>
      </c>
      <c r="D2001" t="s">
        <v>210</v>
      </c>
      <c r="E2001" t="s">
        <v>16</v>
      </c>
      <c r="F2001" t="s">
        <v>17</v>
      </c>
      <c r="G2001" t="s">
        <v>18</v>
      </c>
      <c r="H2001" t="s">
        <v>24</v>
      </c>
      <c r="I2001" t="s">
        <v>20</v>
      </c>
      <c r="J2001">
        <v>200</v>
      </c>
      <c r="S2001">
        <v>0</v>
      </c>
      <c r="T2001">
        <v>0</v>
      </c>
      <c r="U2001">
        <v>0</v>
      </c>
      <c r="V2001">
        <v>0</v>
      </c>
    </row>
    <row r="2002" spans="1:22">
      <c r="A2002" t="s">
        <v>2106</v>
      </c>
      <c r="B2002" s="3">
        <v>46202</v>
      </c>
      <c r="C2002" t="s">
        <v>14</v>
      </c>
      <c r="D2002" t="s">
        <v>40</v>
      </c>
      <c r="E2002" t="s">
        <v>16</v>
      </c>
      <c r="F2002" t="s">
        <v>17</v>
      </c>
      <c r="G2002" t="s">
        <v>32</v>
      </c>
      <c r="H2002" t="s">
        <v>19</v>
      </c>
      <c r="I2002" t="s">
        <v>20</v>
      </c>
      <c r="J2002">
        <v>225</v>
      </c>
      <c r="L2002" t="s">
        <v>29</v>
      </c>
      <c r="S2002">
        <v>27</v>
      </c>
      <c r="T2002">
        <v>0</v>
      </c>
      <c r="U2002">
        <v>1</v>
      </c>
      <c r="V2002">
        <v>0</v>
      </c>
    </row>
    <row r="2003" spans="1:22">
      <c r="A2003" t="s">
        <v>2107</v>
      </c>
      <c r="B2003" s="3">
        <v>46202</v>
      </c>
      <c r="C2003" t="s">
        <v>14</v>
      </c>
      <c r="D2003" t="s">
        <v>15</v>
      </c>
      <c r="E2003" t="s">
        <v>16</v>
      </c>
      <c r="F2003" t="s">
        <v>17</v>
      </c>
      <c r="G2003" t="s">
        <v>23</v>
      </c>
      <c r="H2003" t="s">
        <v>19</v>
      </c>
      <c r="I2003" t="s">
        <v>20</v>
      </c>
      <c r="J2003">
        <v>90</v>
      </c>
      <c r="L2003" t="s">
        <v>29</v>
      </c>
      <c r="S2003">
        <v>7.2</v>
      </c>
      <c r="T2003">
        <v>0</v>
      </c>
      <c r="U2003">
        <v>1</v>
      </c>
      <c r="V2003">
        <v>0</v>
      </c>
    </row>
    <row r="2004" spans="1:22">
      <c r="A2004" t="s">
        <v>2108</v>
      </c>
      <c r="B2004" s="3">
        <v>46202</v>
      </c>
      <c r="C2004" t="s">
        <v>14</v>
      </c>
      <c r="D2004" t="s">
        <v>26</v>
      </c>
      <c r="E2004" t="s">
        <v>16</v>
      </c>
      <c r="F2004" t="s">
        <v>17</v>
      </c>
      <c r="G2004" t="s">
        <v>18</v>
      </c>
      <c r="H2004" t="s">
        <v>19</v>
      </c>
      <c r="I2004" t="s">
        <v>20</v>
      </c>
      <c r="J2004">
        <v>200</v>
      </c>
      <c r="S2004">
        <v>20</v>
      </c>
      <c r="T2004">
        <v>0</v>
      </c>
      <c r="U2004">
        <v>1</v>
      </c>
      <c r="V2004">
        <v>0</v>
      </c>
    </row>
    <row r="2005" spans="1:22">
      <c r="A2005" t="s">
        <v>2109</v>
      </c>
      <c r="B2005" s="3">
        <v>46202</v>
      </c>
      <c r="C2005" t="s">
        <v>14</v>
      </c>
      <c r="D2005" t="s">
        <v>28</v>
      </c>
      <c r="E2005" t="s">
        <v>16</v>
      </c>
      <c r="F2005" t="s">
        <v>17</v>
      </c>
      <c r="G2005" t="s">
        <v>23</v>
      </c>
      <c r="H2005" t="s">
        <v>19</v>
      </c>
      <c r="I2005" t="s">
        <v>20</v>
      </c>
      <c r="J2005">
        <v>120</v>
      </c>
      <c r="S2005">
        <v>9.6</v>
      </c>
      <c r="T2005">
        <v>0</v>
      </c>
      <c r="U2005">
        <v>1</v>
      </c>
      <c r="V2005">
        <v>0</v>
      </c>
    </row>
    <row r="2006" spans="1:22">
      <c r="A2006" t="s">
        <v>2110</v>
      </c>
      <c r="B2006" s="3">
        <v>46202</v>
      </c>
      <c r="C2006" t="s">
        <v>14</v>
      </c>
      <c r="D2006" t="s">
        <v>37</v>
      </c>
      <c r="E2006" t="s">
        <v>16</v>
      </c>
      <c r="F2006" t="s">
        <v>17</v>
      </c>
      <c r="G2006" t="s">
        <v>32</v>
      </c>
      <c r="H2006" t="s">
        <v>19</v>
      </c>
      <c r="I2006" t="s">
        <v>20</v>
      </c>
      <c r="J2006">
        <v>300</v>
      </c>
      <c r="S2006">
        <v>36</v>
      </c>
      <c r="T2006">
        <v>0</v>
      </c>
      <c r="U2006">
        <v>1</v>
      </c>
      <c r="V2006">
        <v>0</v>
      </c>
    </row>
    <row r="2007" spans="1:22">
      <c r="A2007" t="s">
        <v>2111</v>
      </c>
      <c r="B2007" s="3">
        <v>46202</v>
      </c>
      <c r="C2007" t="s">
        <v>14</v>
      </c>
      <c r="D2007" t="s">
        <v>210</v>
      </c>
      <c r="E2007" t="s">
        <v>16</v>
      </c>
      <c r="F2007" t="s">
        <v>17</v>
      </c>
      <c r="G2007" t="s">
        <v>23</v>
      </c>
      <c r="H2007" t="s">
        <v>19</v>
      </c>
      <c r="I2007" t="s">
        <v>20</v>
      </c>
      <c r="J2007">
        <v>102</v>
      </c>
      <c r="L2007" t="s">
        <v>29</v>
      </c>
      <c r="S2007">
        <v>8.16</v>
      </c>
      <c r="T2007">
        <v>0</v>
      </c>
      <c r="U2007">
        <v>1</v>
      </c>
      <c r="V2007">
        <v>0</v>
      </c>
    </row>
    <row r="2008" spans="1:22">
      <c r="A2008" t="s">
        <v>2112</v>
      </c>
      <c r="B2008" s="3">
        <v>46202</v>
      </c>
      <c r="C2008" t="s">
        <v>14</v>
      </c>
      <c r="D2008" t="s">
        <v>210</v>
      </c>
      <c r="E2008" t="s">
        <v>16</v>
      </c>
      <c r="F2008" t="s">
        <v>17</v>
      </c>
      <c r="G2008" t="s">
        <v>23</v>
      </c>
      <c r="H2008" t="s">
        <v>19</v>
      </c>
      <c r="I2008" t="s">
        <v>20</v>
      </c>
      <c r="J2008">
        <v>120</v>
      </c>
      <c r="S2008">
        <v>9.6</v>
      </c>
      <c r="T2008">
        <v>0</v>
      </c>
      <c r="U2008">
        <v>1</v>
      </c>
      <c r="V2008">
        <v>0</v>
      </c>
    </row>
    <row r="2009" spans="1:22">
      <c r="A2009" t="s">
        <v>2113</v>
      </c>
      <c r="B2009" s="3">
        <v>46202</v>
      </c>
      <c r="C2009" t="s">
        <v>47</v>
      </c>
      <c r="D2009" t="s">
        <v>66</v>
      </c>
      <c r="E2009" t="s">
        <v>16</v>
      </c>
      <c r="F2009" t="s">
        <v>17</v>
      </c>
      <c r="G2009" t="s">
        <v>23</v>
      </c>
      <c r="H2009" t="s">
        <v>19</v>
      </c>
      <c r="I2009" t="s">
        <v>20</v>
      </c>
      <c r="J2009">
        <v>120</v>
      </c>
      <c r="S2009">
        <v>9.6</v>
      </c>
      <c r="T2009">
        <v>0</v>
      </c>
      <c r="U2009">
        <v>1</v>
      </c>
      <c r="V2009">
        <v>0</v>
      </c>
    </row>
    <row r="2010" spans="1:22">
      <c r="A2010" t="s">
        <v>2114</v>
      </c>
      <c r="B2010" s="3">
        <v>46202</v>
      </c>
      <c r="C2010" t="s">
        <v>47</v>
      </c>
      <c r="D2010" t="s">
        <v>152</v>
      </c>
      <c r="E2010" t="s">
        <v>16</v>
      </c>
      <c r="F2010" t="s">
        <v>17</v>
      </c>
      <c r="G2010" t="s">
        <v>32</v>
      </c>
      <c r="H2010" t="s">
        <v>19</v>
      </c>
      <c r="I2010" t="s">
        <v>20</v>
      </c>
      <c r="J2010">
        <v>300</v>
      </c>
      <c r="S2010">
        <v>36</v>
      </c>
      <c r="T2010">
        <v>0</v>
      </c>
      <c r="U2010">
        <v>1</v>
      </c>
      <c r="V2010">
        <v>0</v>
      </c>
    </row>
    <row r="2011" spans="1:22">
      <c r="A2011" t="s">
        <v>2115</v>
      </c>
      <c r="B2011" s="3">
        <v>46202</v>
      </c>
      <c r="C2011" t="s">
        <v>47</v>
      </c>
      <c r="D2011" t="s">
        <v>64</v>
      </c>
      <c r="E2011" t="s">
        <v>16</v>
      </c>
      <c r="F2011" t="s">
        <v>17</v>
      </c>
      <c r="G2011" t="s">
        <v>32</v>
      </c>
      <c r="H2011" t="s">
        <v>19</v>
      </c>
      <c r="I2011" t="s">
        <v>20</v>
      </c>
      <c r="J2011">
        <v>300</v>
      </c>
      <c r="S2011">
        <v>36</v>
      </c>
      <c r="T2011">
        <v>0</v>
      </c>
      <c r="U2011">
        <v>1</v>
      </c>
      <c r="V2011">
        <v>0</v>
      </c>
    </row>
    <row r="2012" spans="1:22">
      <c r="A2012" t="s">
        <v>2116</v>
      </c>
      <c r="B2012" s="3">
        <v>46202</v>
      </c>
      <c r="C2012" t="s">
        <v>47</v>
      </c>
      <c r="D2012" t="s">
        <v>64</v>
      </c>
      <c r="E2012" t="s">
        <v>16</v>
      </c>
      <c r="F2012" t="s">
        <v>35</v>
      </c>
      <c r="G2012" t="s">
        <v>18</v>
      </c>
      <c r="H2012" t="s">
        <v>19</v>
      </c>
      <c r="I2012" t="s">
        <v>20</v>
      </c>
      <c r="J2012">
        <v>200</v>
      </c>
      <c r="S2012">
        <v>6</v>
      </c>
      <c r="T2012">
        <v>0</v>
      </c>
      <c r="U2012">
        <v>0</v>
      </c>
      <c r="V2012">
        <v>0</v>
      </c>
    </row>
    <row r="2013" spans="1:22">
      <c r="A2013" t="s">
        <v>2117</v>
      </c>
      <c r="B2013" s="3">
        <v>46202</v>
      </c>
      <c r="C2013" t="s">
        <v>47</v>
      </c>
      <c r="D2013" t="s">
        <v>71</v>
      </c>
      <c r="E2013" t="s">
        <v>16</v>
      </c>
      <c r="F2013" t="s">
        <v>17</v>
      </c>
      <c r="G2013" t="s">
        <v>32</v>
      </c>
      <c r="H2013" t="s">
        <v>19</v>
      </c>
      <c r="I2013" t="s">
        <v>20</v>
      </c>
      <c r="J2013">
        <v>300</v>
      </c>
      <c r="S2013">
        <v>36</v>
      </c>
      <c r="T2013">
        <v>0</v>
      </c>
      <c r="U2013">
        <v>1</v>
      </c>
      <c r="V2013">
        <v>0</v>
      </c>
    </row>
    <row r="2014" spans="1:22">
      <c r="A2014" t="s">
        <v>2118</v>
      </c>
      <c r="B2014" s="3">
        <v>46202</v>
      </c>
      <c r="C2014" t="s">
        <v>47</v>
      </c>
      <c r="D2014" t="s">
        <v>52</v>
      </c>
      <c r="E2014" t="s">
        <v>16</v>
      </c>
      <c r="F2014" t="s">
        <v>17</v>
      </c>
      <c r="G2014" t="s">
        <v>32</v>
      </c>
      <c r="H2014" t="s">
        <v>19</v>
      </c>
      <c r="I2014" t="s">
        <v>20</v>
      </c>
      <c r="J2014">
        <v>300</v>
      </c>
      <c r="S2014">
        <v>36</v>
      </c>
      <c r="T2014">
        <v>0</v>
      </c>
      <c r="U2014">
        <v>1</v>
      </c>
      <c r="V2014">
        <v>0</v>
      </c>
    </row>
    <row r="2015" spans="1:22">
      <c r="A2015" t="s">
        <v>2119</v>
      </c>
      <c r="B2015" s="3">
        <v>46202</v>
      </c>
      <c r="C2015" t="s">
        <v>47</v>
      </c>
      <c r="D2015" t="s">
        <v>152</v>
      </c>
      <c r="E2015" t="s">
        <v>16</v>
      </c>
      <c r="F2015" t="s">
        <v>35</v>
      </c>
      <c r="G2015" t="s">
        <v>32</v>
      </c>
      <c r="H2015" t="s">
        <v>19</v>
      </c>
      <c r="I2015" t="s">
        <v>20</v>
      </c>
      <c r="J2015">
        <v>300</v>
      </c>
      <c r="S2015">
        <v>9</v>
      </c>
      <c r="T2015">
        <v>0</v>
      </c>
      <c r="U2015">
        <v>0</v>
      </c>
      <c r="V2015">
        <v>0</v>
      </c>
    </row>
    <row r="2016" spans="1:22">
      <c r="A2016" t="s">
        <v>2120</v>
      </c>
      <c r="B2016" s="3">
        <v>46202</v>
      </c>
      <c r="C2016" t="s">
        <v>47</v>
      </c>
      <c r="D2016" t="s">
        <v>71</v>
      </c>
      <c r="E2016" t="s">
        <v>16</v>
      </c>
      <c r="F2016" t="s">
        <v>17</v>
      </c>
      <c r="G2016" t="s">
        <v>32</v>
      </c>
      <c r="H2016" t="s">
        <v>19</v>
      </c>
      <c r="I2016" t="s">
        <v>20</v>
      </c>
      <c r="J2016">
        <v>300</v>
      </c>
      <c r="S2016">
        <v>36</v>
      </c>
      <c r="T2016">
        <v>0</v>
      </c>
      <c r="U2016">
        <v>1</v>
      </c>
      <c r="V2016">
        <v>0</v>
      </c>
    </row>
    <row r="2017" spans="1:22">
      <c r="A2017" t="s">
        <v>2121</v>
      </c>
      <c r="B2017" s="3">
        <v>46202</v>
      </c>
      <c r="C2017" t="s">
        <v>47</v>
      </c>
      <c r="D2017" t="s">
        <v>152</v>
      </c>
      <c r="E2017" t="s">
        <v>16</v>
      </c>
      <c r="F2017" t="s">
        <v>17</v>
      </c>
      <c r="G2017" t="s">
        <v>32</v>
      </c>
      <c r="H2017" t="s">
        <v>19</v>
      </c>
      <c r="I2017" t="s">
        <v>20</v>
      </c>
      <c r="J2017">
        <v>300</v>
      </c>
      <c r="S2017">
        <v>36</v>
      </c>
      <c r="T2017">
        <v>0</v>
      </c>
      <c r="U2017">
        <v>1</v>
      </c>
      <c r="V2017">
        <v>0</v>
      </c>
    </row>
    <row r="2018" spans="1:22">
      <c r="A2018" t="s">
        <v>2122</v>
      </c>
      <c r="B2018" s="3">
        <v>46202</v>
      </c>
      <c r="C2018" t="s">
        <v>47</v>
      </c>
      <c r="D2018" t="s">
        <v>52</v>
      </c>
      <c r="E2018" t="s">
        <v>16</v>
      </c>
      <c r="F2018" t="s">
        <v>17</v>
      </c>
      <c r="G2018" t="s">
        <v>18</v>
      </c>
      <c r="H2018" t="s">
        <v>19</v>
      </c>
      <c r="I2018" t="s">
        <v>20</v>
      </c>
      <c r="J2018">
        <v>200</v>
      </c>
      <c r="S2018">
        <v>20</v>
      </c>
      <c r="T2018">
        <v>0</v>
      </c>
      <c r="U2018">
        <v>1</v>
      </c>
      <c r="V2018">
        <v>0</v>
      </c>
    </row>
    <row r="2019" spans="1:22">
      <c r="A2019" t="s">
        <v>2123</v>
      </c>
      <c r="B2019" s="3">
        <v>46202</v>
      </c>
      <c r="C2019" t="s">
        <v>47</v>
      </c>
      <c r="D2019" t="s">
        <v>64</v>
      </c>
      <c r="E2019" t="s">
        <v>16</v>
      </c>
      <c r="F2019" t="s">
        <v>17</v>
      </c>
      <c r="G2019" t="s">
        <v>23</v>
      </c>
      <c r="H2019" t="s">
        <v>19</v>
      </c>
      <c r="I2019" t="s">
        <v>20</v>
      </c>
      <c r="J2019">
        <v>120</v>
      </c>
      <c r="S2019">
        <v>9.6</v>
      </c>
      <c r="T2019">
        <v>0</v>
      </c>
      <c r="U2019">
        <v>1</v>
      </c>
      <c r="V2019">
        <v>0</v>
      </c>
    </row>
    <row r="2020" spans="1:22">
      <c r="A2020" t="s">
        <v>2124</v>
      </c>
      <c r="B2020" s="3">
        <v>46202</v>
      </c>
      <c r="C2020" t="s">
        <v>47</v>
      </c>
      <c r="D2020" t="s">
        <v>66</v>
      </c>
      <c r="E2020" t="s">
        <v>16</v>
      </c>
      <c r="F2020" t="s">
        <v>17</v>
      </c>
      <c r="G2020" t="s">
        <v>18</v>
      </c>
      <c r="H2020" t="s">
        <v>19</v>
      </c>
      <c r="I2020" t="s">
        <v>20</v>
      </c>
      <c r="J2020">
        <v>200</v>
      </c>
      <c r="S2020">
        <v>20</v>
      </c>
      <c r="T2020">
        <v>0</v>
      </c>
      <c r="U2020">
        <v>1</v>
      </c>
      <c r="V2020">
        <v>0</v>
      </c>
    </row>
    <row r="2021" spans="1:22">
      <c r="A2021" t="s">
        <v>2125</v>
      </c>
      <c r="B2021" s="3">
        <v>46202</v>
      </c>
      <c r="C2021" t="s">
        <v>47</v>
      </c>
      <c r="D2021" t="s">
        <v>73</v>
      </c>
      <c r="E2021" t="s">
        <v>16</v>
      </c>
      <c r="F2021" t="s">
        <v>35</v>
      </c>
      <c r="G2021" t="s">
        <v>32</v>
      </c>
      <c r="H2021" t="s">
        <v>19</v>
      </c>
      <c r="I2021" t="s">
        <v>53</v>
      </c>
      <c r="J2021">
        <v>300</v>
      </c>
      <c r="S2021">
        <v>0</v>
      </c>
      <c r="T2021">
        <v>0</v>
      </c>
      <c r="U2021">
        <v>0</v>
      </c>
      <c r="V2021">
        <v>0</v>
      </c>
    </row>
    <row r="2022" spans="1:22">
      <c r="A2022" t="s">
        <v>2126</v>
      </c>
      <c r="B2022" s="3">
        <v>46202</v>
      </c>
      <c r="C2022" t="s">
        <v>47</v>
      </c>
      <c r="D2022" t="s">
        <v>73</v>
      </c>
      <c r="E2022" t="s">
        <v>16</v>
      </c>
      <c r="F2022" t="s">
        <v>17</v>
      </c>
      <c r="G2022" t="s">
        <v>23</v>
      </c>
      <c r="H2022" t="s">
        <v>19</v>
      </c>
      <c r="I2022" t="s">
        <v>20</v>
      </c>
      <c r="J2022">
        <v>120</v>
      </c>
      <c r="S2022">
        <v>9.6</v>
      </c>
      <c r="T2022">
        <v>0</v>
      </c>
      <c r="U2022">
        <v>1</v>
      </c>
      <c r="V2022">
        <v>0</v>
      </c>
    </row>
    <row r="2023" spans="1:22">
      <c r="A2023" t="s">
        <v>2127</v>
      </c>
      <c r="B2023" s="3">
        <v>46202</v>
      </c>
      <c r="C2023" t="s">
        <v>47</v>
      </c>
      <c r="D2023" t="s">
        <v>148</v>
      </c>
      <c r="E2023" t="s">
        <v>16</v>
      </c>
      <c r="F2023" t="s">
        <v>35</v>
      </c>
      <c r="G2023" t="s">
        <v>32</v>
      </c>
      <c r="H2023" t="s">
        <v>19</v>
      </c>
      <c r="I2023" t="s">
        <v>53</v>
      </c>
      <c r="J2023">
        <v>255</v>
      </c>
      <c r="L2023" t="s">
        <v>29</v>
      </c>
      <c r="S2023">
        <v>0</v>
      </c>
      <c r="T2023">
        <v>0</v>
      </c>
      <c r="U2023">
        <v>0</v>
      </c>
      <c r="V2023">
        <v>0</v>
      </c>
    </row>
    <row r="2024" spans="1:22">
      <c r="A2024" t="s">
        <v>2128</v>
      </c>
      <c r="B2024" s="3">
        <v>46202</v>
      </c>
      <c r="C2024" t="s">
        <v>47</v>
      </c>
      <c r="D2024" t="s">
        <v>152</v>
      </c>
      <c r="E2024" t="s">
        <v>16</v>
      </c>
      <c r="F2024" t="s">
        <v>17</v>
      </c>
      <c r="G2024" t="s">
        <v>32</v>
      </c>
      <c r="H2024" t="s">
        <v>19</v>
      </c>
      <c r="I2024" t="s">
        <v>20</v>
      </c>
      <c r="J2024">
        <v>255</v>
      </c>
      <c r="L2024" t="s">
        <v>29</v>
      </c>
      <c r="S2024">
        <v>30.6</v>
      </c>
      <c r="T2024">
        <v>0</v>
      </c>
      <c r="U2024">
        <v>1</v>
      </c>
      <c r="V2024">
        <v>0</v>
      </c>
    </row>
    <row r="2025" spans="1:22">
      <c r="A2025" t="s">
        <v>2129</v>
      </c>
      <c r="B2025" s="3">
        <v>46202</v>
      </c>
      <c r="C2025" t="s">
        <v>47</v>
      </c>
      <c r="D2025" t="s">
        <v>62</v>
      </c>
      <c r="E2025" t="s">
        <v>16</v>
      </c>
      <c r="F2025" t="s">
        <v>17</v>
      </c>
      <c r="G2025" t="s">
        <v>18</v>
      </c>
      <c r="H2025" t="s">
        <v>19</v>
      </c>
      <c r="I2025" t="s">
        <v>20</v>
      </c>
      <c r="J2025">
        <v>200</v>
      </c>
      <c r="S2025">
        <v>20</v>
      </c>
      <c r="T2025">
        <v>0</v>
      </c>
      <c r="U2025">
        <v>1</v>
      </c>
      <c r="V2025">
        <v>0</v>
      </c>
    </row>
    <row r="2026" spans="1:22">
      <c r="A2026" t="s">
        <v>2130</v>
      </c>
      <c r="B2026" s="3">
        <v>46202</v>
      </c>
      <c r="C2026" t="s">
        <v>47</v>
      </c>
      <c r="D2026" t="s">
        <v>64</v>
      </c>
      <c r="E2026" t="s">
        <v>16</v>
      </c>
      <c r="F2026" t="s">
        <v>17</v>
      </c>
      <c r="G2026" t="s">
        <v>32</v>
      </c>
      <c r="H2026" t="s">
        <v>19</v>
      </c>
      <c r="I2026" t="s">
        <v>20</v>
      </c>
      <c r="J2026">
        <v>300</v>
      </c>
      <c r="S2026">
        <v>36</v>
      </c>
      <c r="T2026">
        <v>0</v>
      </c>
      <c r="U2026">
        <v>1</v>
      </c>
      <c r="V2026">
        <v>0</v>
      </c>
    </row>
    <row r="2027" spans="1:22">
      <c r="A2027" t="s">
        <v>2131</v>
      </c>
      <c r="B2027" s="3">
        <v>46202</v>
      </c>
      <c r="C2027" t="s">
        <v>78</v>
      </c>
      <c r="D2027" t="s">
        <v>83</v>
      </c>
      <c r="E2027" t="s">
        <v>16</v>
      </c>
      <c r="F2027" t="s">
        <v>17</v>
      </c>
      <c r="G2027" t="s">
        <v>18</v>
      </c>
      <c r="H2027" t="s">
        <v>24</v>
      </c>
      <c r="I2027" t="s">
        <v>20</v>
      </c>
      <c r="J2027">
        <v>200</v>
      </c>
      <c r="S2027">
        <v>0</v>
      </c>
      <c r="T2027">
        <v>0</v>
      </c>
      <c r="U2027">
        <v>0</v>
      </c>
      <c r="V2027">
        <v>0</v>
      </c>
    </row>
    <row r="2028" spans="1:22">
      <c r="A2028" t="s">
        <v>2132</v>
      </c>
      <c r="B2028" s="3">
        <v>46202</v>
      </c>
      <c r="C2028" t="s">
        <v>78</v>
      </c>
      <c r="D2028" t="s">
        <v>79</v>
      </c>
      <c r="E2028" t="s">
        <v>16</v>
      </c>
      <c r="F2028" t="s">
        <v>17</v>
      </c>
      <c r="G2028" t="s">
        <v>32</v>
      </c>
      <c r="H2028" t="s">
        <v>19</v>
      </c>
      <c r="I2028" t="s">
        <v>20</v>
      </c>
      <c r="J2028">
        <v>300</v>
      </c>
      <c r="S2028">
        <v>36</v>
      </c>
      <c r="T2028">
        <v>0</v>
      </c>
      <c r="U2028">
        <v>1</v>
      </c>
      <c r="V2028">
        <v>0</v>
      </c>
    </row>
    <row r="2029" spans="1:22">
      <c r="A2029" t="s">
        <v>2133</v>
      </c>
      <c r="B2029" s="3">
        <v>46202</v>
      </c>
      <c r="C2029" t="s">
        <v>78</v>
      </c>
      <c r="D2029" t="s">
        <v>163</v>
      </c>
      <c r="E2029" t="s">
        <v>16</v>
      </c>
      <c r="F2029" t="s">
        <v>17</v>
      </c>
      <c r="G2029" t="s">
        <v>32</v>
      </c>
      <c r="H2029" t="s">
        <v>24</v>
      </c>
      <c r="I2029" t="s">
        <v>20</v>
      </c>
      <c r="J2029">
        <v>255</v>
      </c>
      <c r="L2029" t="s">
        <v>29</v>
      </c>
      <c r="S2029">
        <v>0</v>
      </c>
      <c r="T2029">
        <v>0</v>
      </c>
      <c r="U2029">
        <v>0</v>
      </c>
      <c r="V2029">
        <v>0</v>
      </c>
    </row>
    <row r="2030" spans="1:22">
      <c r="A2030" t="s">
        <v>2134</v>
      </c>
      <c r="B2030" s="3">
        <v>46202</v>
      </c>
      <c r="C2030" t="s">
        <v>78</v>
      </c>
      <c r="D2030" t="s">
        <v>97</v>
      </c>
      <c r="E2030" t="s">
        <v>16</v>
      </c>
      <c r="F2030" t="s">
        <v>35</v>
      </c>
      <c r="G2030" t="s">
        <v>32</v>
      </c>
      <c r="H2030" t="s">
        <v>19</v>
      </c>
      <c r="I2030" t="s">
        <v>20</v>
      </c>
      <c r="J2030">
        <v>300</v>
      </c>
      <c r="S2030">
        <v>9</v>
      </c>
      <c r="T2030">
        <v>0</v>
      </c>
      <c r="U2030">
        <v>0</v>
      </c>
      <c r="V2030">
        <v>0</v>
      </c>
    </row>
    <row r="2031" spans="1:22">
      <c r="A2031" t="s">
        <v>2135</v>
      </c>
      <c r="B2031" s="3">
        <v>46202</v>
      </c>
      <c r="C2031" t="s">
        <v>78</v>
      </c>
      <c r="D2031" t="s">
        <v>87</v>
      </c>
      <c r="E2031" t="s">
        <v>16</v>
      </c>
      <c r="F2031" t="s">
        <v>17</v>
      </c>
      <c r="G2031" t="s">
        <v>23</v>
      </c>
      <c r="H2031" t="s">
        <v>19</v>
      </c>
      <c r="I2031" t="s">
        <v>20</v>
      </c>
      <c r="J2031">
        <v>120</v>
      </c>
      <c r="S2031">
        <v>9.6</v>
      </c>
      <c r="T2031">
        <v>0</v>
      </c>
      <c r="U2031">
        <v>1</v>
      </c>
      <c r="V2031">
        <v>0</v>
      </c>
    </row>
    <row r="2032" spans="1:22">
      <c r="A2032" t="s">
        <v>2136</v>
      </c>
      <c r="B2032" s="3">
        <v>46202</v>
      </c>
      <c r="C2032" t="s">
        <v>78</v>
      </c>
      <c r="D2032" t="s">
        <v>83</v>
      </c>
      <c r="E2032" t="s">
        <v>16</v>
      </c>
      <c r="F2032" t="s">
        <v>17</v>
      </c>
      <c r="G2032" t="s">
        <v>23</v>
      </c>
      <c r="H2032" t="s">
        <v>19</v>
      </c>
      <c r="I2032" t="s">
        <v>20</v>
      </c>
      <c r="J2032">
        <v>90</v>
      </c>
      <c r="L2032" t="s">
        <v>29</v>
      </c>
      <c r="S2032">
        <v>7.2</v>
      </c>
      <c r="T2032">
        <v>0</v>
      </c>
      <c r="U2032">
        <v>1</v>
      </c>
      <c r="V2032">
        <v>0</v>
      </c>
    </row>
    <row r="2033" spans="1:22">
      <c r="A2033" t="s">
        <v>2137</v>
      </c>
      <c r="B2033" s="3">
        <v>46202</v>
      </c>
      <c r="C2033" t="s">
        <v>78</v>
      </c>
      <c r="D2033" t="s">
        <v>242</v>
      </c>
      <c r="E2033" t="s">
        <v>16</v>
      </c>
      <c r="F2033" t="s">
        <v>35</v>
      </c>
      <c r="G2033" t="s">
        <v>18</v>
      </c>
      <c r="H2033" t="s">
        <v>19</v>
      </c>
      <c r="I2033" t="s">
        <v>20</v>
      </c>
      <c r="J2033">
        <v>200</v>
      </c>
      <c r="S2033">
        <v>6</v>
      </c>
      <c r="T2033">
        <v>0</v>
      </c>
      <c r="U2033">
        <v>0</v>
      </c>
      <c r="V2033">
        <v>0</v>
      </c>
    </row>
    <row r="2034" spans="1:22">
      <c r="A2034" t="s">
        <v>2138</v>
      </c>
      <c r="B2034" s="3">
        <v>46202</v>
      </c>
      <c r="C2034" t="s">
        <v>78</v>
      </c>
      <c r="D2034" t="s">
        <v>102</v>
      </c>
      <c r="E2034" t="s">
        <v>16</v>
      </c>
      <c r="F2034" t="s">
        <v>35</v>
      </c>
      <c r="G2034" t="s">
        <v>32</v>
      </c>
      <c r="H2034" t="s">
        <v>19</v>
      </c>
      <c r="I2034" t="s">
        <v>53</v>
      </c>
      <c r="J2034">
        <v>225</v>
      </c>
      <c r="L2034" t="s">
        <v>29</v>
      </c>
      <c r="S2034">
        <v>0</v>
      </c>
      <c r="T2034">
        <v>0</v>
      </c>
      <c r="U2034">
        <v>0</v>
      </c>
      <c r="V2034">
        <v>0</v>
      </c>
    </row>
    <row r="2035" spans="1:22">
      <c r="A2035" t="s">
        <v>2139</v>
      </c>
      <c r="B2035" s="3">
        <v>46202</v>
      </c>
      <c r="C2035" t="s">
        <v>78</v>
      </c>
      <c r="D2035" t="s">
        <v>163</v>
      </c>
      <c r="E2035" t="s">
        <v>16</v>
      </c>
      <c r="F2035" t="s">
        <v>17</v>
      </c>
      <c r="G2035" t="s">
        <v>32</v>
      </c>
      <c r="H2035" t="s">
        <v>19</v>
      </c>
      <c r="I2035" t="s">
        <v>20</v>
      </c>
      <c r="J2035">
        <v>300</v>
      </c>
      <c r="S2035">
        <v>36</v>
      </c>
      <c r="T2035">
        <v>0</v>
      </c>
      <c r="U2035">
        <v>1</v>
      </c>
      <c r="V2035">
        <v>0</v>
      </c>
    </row>
    <row r="2036" spans="1:22">
      <c r="A2036" t="s">
        <v>2140</v>
      </c>
      <c r="B2036" s="3">
        <v>46202</v>
      </c>
      <c r="C2036" t="s">
        <v>78</v>
      </c>
      <c r="D2036" t="s">
        <v>93</v>
      </c>
      <c r="E2036" t="s">
        <v>16</v>
      </c>
      <c r="F2036" t="s">
        <v>17</v>
      </c>
      <c r="G2036" t="s">
        <v>23</v>
      </c>
      <c r="H2036" t="s">
        <v>19</v>
      </c>
      <c r="I2036" t="s">
        <v>20</v>
      </c>
      <c r="J2036">
        <v>90</v>
      </c>
      <c r="L2036" t="s">
        <v>29</v>
      </c>
      <c r="S2036">
        <v>7.2</v>
      </c>
      <c r="T2036">
        <v>0</v>
      </c>
      <c r="U2036">
        <v>1</v>
      </c>
      <c r="V2036">
        <v>0</v>
      </c>
    </row>
    <row r="2037" spans="1:22">
      <c r="A2037" t="s">
        <v>2141</v>
      </c>
      <c r="B2037" s="3">
        <v>46202</v>
      </c>
      <c r="C2037" t="s">
        <v>78</v>
      </c>
      <c r="D2037" t="s">
        <v>79</v>
      </c>
      <c r="E2037" t="s">
        <v>16</v>
      </c>
      <c r="F2037" t="s">
        <v>35</v>
      </c>
      <c r="G2037" t="s">
        <v>32</v>
      </c>
      <c r="H2037" t="s">
        <v>19</v>
      </c>
      <c r="I2037" t="s">
        <v>20</v>
      </c>
      <c r="J2037">
        <v>300</v>
      </c>
      <c r="S2037">
        <v>9</v>
      </c>
      <c r="T2037">
        <v>0</v>
      </c>
      <c r="U2037">
        <v>0</v>
      </c>
      <c r="V2037">
        <v>0</v>
      </c>
    </row>
    <row r="2038" spans="1:22">
      <c r="A2038" t="s">
        <v>2142</v>
      </c>
      <c r="B2038" s="3">
        <v>46202</v>
      </c>
      <c r="C2038" t="s">
        <v>78</v>
      </c>
      <c r="D2038" t="s">
        <v>85</v>
      </c>
      <c r="E2038" t="s">
        <v>16</v>
      </c>
      <c r="F2038" t="s">
        <v>17</v>
      </c>
      <c r="G2038" t="s">
        <v>18</v>
      </c>
      <c r="H2038" t="s">
        <v>24</v>
      </c>
      <c r="I2038" t="s">
        <v>74</v>
      </c>
      <c r="J2038">
        <v>200</v>
      </c>
      <c r="S2038">
        <v>0</v>
      </c>
      <c r="T2038">
        <v>0</v>
      </c>
      <c r="U2038">
        <v>0</v>
      </c>
      <c r="V2038">
        <v>0</v>
      </c>
    </row>
    <row r="2039" spans="1:22">
      <c r="A2039" t="s">
        <v>2143</v>
      </c>
      <c r="B2039" s="3">
        <v>46202</v>
      </c>
      <c r="C2039" t="s">
        <v>78</v>
      </c>
      <c r="D2039" t="s">
        <v>81</v>
      </c>
      <c r="E2039" t="s">
        <v>16</v>
      </c>
      <c r="F2039" t="s">
        <v>17</v>
      </c>
      <c r="G2039" t="s">
        <v>23</v>
      </c>
      <c r="H2039" t="s">
        <v>19</v>
      </c>
      <c r="I2039" t="s">
        <v>20</v>
      </c>
      <c r="J2039">
        <v>102</v>
      </c>
      <c r="L2039" t="s">
        <v>29</v>
      </c>
      <c r="S2039">
        <v>8.16</v>
      </c>
      <c r="T2039">
        <v>0</v>
      </c>
      <c r="U2039">
        <v>1</v>
      </c>
      <c r="V2039">
        <v>0</v>
      </c>
    </row>
    <row r="2040" spans="1:22">
      <c r="A2040" t="s">
        <v>2144</v>
      </c>
      <c r="B2040" s="3">
        <v>46202</v>
      </c>
      <c r="C2040" t="s">
        <v>78</v>
      </c>
      <c r="D2040" t="s">
        <v>163</v>
      </c>
      <c r="E2040" t="s">
        <v>16</v>
      </c>
      <c r="F2040" t="s">
        <v>35</v>
      </c>
      <c r="G2040" t="s">
        <v>18</v>
      </c>
      <c r="H2040" t="s">
        <v>19</v>
      </c>
      <c r="I2040" t="s">
        <v>20</v>
      </c>
      <c r="J2040">
        <v>200</v>
      </c>
      <c r="S2040">
        <v>6</v>
      </c>
      <c r="T2040">
        <v>0</v>
      </c>
      <c r="U2040">
        <v>0</v>
      </c>
      <c r="V2040">
        <v>0</v>
      </c>
    </row>
    <row r="2041" spans="1:22">
      <c r="A2041" t="s">
        <v>2145</v>
      </c>
      <c r="B2041" s="3">
        <v>46202</v>
      </c>
      <c r="C2041" t="s">
        <v>105</v>
      </c>
      <c r="D2041" t="s">
        <v>116</v>
      </c>
      <c r="E2041" t="s">
        <v>16</v>
      </c>
      <c r="F2041" t="s">
        <v>17</v>
      </c>
      <c r="G2041" t="s">
        <v>23</v>
      </c>
      <c r="H2041" t="s">
        <v>19</v>
      </c>
      <c r="I2041" t="s">
        <v>20</v>
      </c>
      <c r="J2041">
        <v>120</v>
      </c>
      <c r="S2041">
        <v>9.6</v>
      </c>
      <c r="T2041">
        <v>0</v>
      </c>
      <c r="U2041">
        <v>1</v>
      </c>
      <c r="V2041">
        <v>0</v>
      </c>
    </row>
    <row r="2042" spans="1:22">
      <c r="A2042" t="s">
        <v>2146</v>
      </c>
      <c r="B2042" s="3">
        <v>46202</v>
      </c>
      <c r="C2042" t="s">
        <v>105</v>
      </c>
      <c r="D2042" t="s">
        <v>120</v>
      </c>
      <c r="E2042" t="s">
        <v>16</v>
      </c>
      <c r="F2042" t="s">
        <v>17</v>
      </c>
      <c r="G2042" t="s">
        <v>18</v>
      </c>
      <c r="H2042" t="s">
        <v>24</v>
      </c>
      <c r="I2042" t="s">
        <v>20</v>
      </c>
      <c r="J2042">
        <v>200</v>
      </c>
      <c r="S2042">
        <v>0</v>
      </c>
      <c r="T2042">
        <v>0</v>
      </c>
      <c r="U2042">
        <v>0</v>
      </c>
      <c r="V2042">
        <v>0</v>
      </c>
    </row>
    <row r="2043" spans="1:22">
      <c r="A2043" t="s">
        <v>2147</v>
      </c>
      <c r="B2043" s="3">
        <v>46202</v>
      </c>
      <c r="C2043" t="s">
        <v>105</v>
      </c>
      <c r="D2043" t="s">
        <v>182</v>
      </c>
      <c r="E2043" t="s">
        <v>16</v>
      </c>
      <c r="F2043" t="s">
        <v>35</v>
      </c>
      <c r="G2043" t="s">
        <v>23</v>
      </c>
      <c r="H2043" t="s">
        <v>19</v>
      </c>
      <c r="I2043" t="s">
        <v>20</v>
      </c>
      <c r="J2043">
        <v>120</v>
      </c>
      <c r="S2043">
        <v>3.6</v>
      </c>
      <c r="T2043">
        <v>0</v>
      </c>
      <c r="U2043">
        <v>0</v>
      </c>
      <c r="V2043">
        <v>0</v>
      </c>
    </row>
    <row r="2044" spans="1:22">
      <c r="A2044" t="s">
        <v>2148</v>
      </c>
      <c r="B2044" s="3">
        <v>46202</v>
      </c>
      <c r="C2044" t="s">
        <v>105</v>
      </c>
      <c r="D2044" t="s">
        <v>118</v>
      </c>
      <c r="E2044" t="s">
        <v>16</v>
      </c>
      <c r="F2044" t="s">
        <v>17</v>
      </c>
      <c r="G2044" t="s">
        <v>23</v>
      </c>
      <c r="H2044" t="s">
        <v>19</v>
      </c>
      <c r="I2044" t="s">
        <v>20</v>
      </c>
      <c r="J2044">
        <v>120</v>
      </c>
      <c r="S2044">
        <v>9.6</v>
      </c>
      <c r="T2044">
        <v>0</v>
      </c>
      <c r="U2044">
        <v>1</v>
      </c>
      <c r="V2044">
        <v>0</v>
      </c>
    </row>
    <row r="2045" spans="1:22">
      <c r="A2045" t="s">
        <v>2149</v>
      </c>
      <c r="B2045" s="3">
        <v>46202</v>
      </c>
      <c r="C2045" t="s">
        <v>105</v>
      </c>
      <c r="D2045" t="s">
        <v>265</v>
      </c>
      <c r="E2045" t="s">
        <v>16</v>
      </c>
      <c r="F2045" t="s">
        <v>17</v>
      </c>
      <c r="G2045" t="s">
        <v>18</v>
      </c>
      <c r="H2045" t="s">
        <v>19</v>
      </c>
      <c r="I2045" t="s">
        <v>20</v>
      </c>
      <c r="J2045">
        <v>200</v>
      </c>
      <c r="S2045">
        <v>20</v>
      </c>
      <c r="T2045">
        <v>0</v>
      </c>
      <c r="U2045">
        <v>1</v>
      </c>
      <c r="V2045">
        <v>0</v>
      </c>
    </row>
    <row r="2046" spans="1:22">
      <c r="A2046" t="s">
        <v>2150</v>
      </c>
      <c r="B2046" s="3">
        <v>46202</v>
      </c>
      <c r="C2046" t="s">
        <v>105</v>
      </c>
      <c r="D2046" t="s">
        <v>194</v>
      </c>
      <c r="E2046" t="s">
        <v>16</v>
      </c>
      <c r="F2046" t="s">
        <v>17</v>
      </c>
      <c r="G2046" t="s">
        <v>18</v>
      </c>
      <c r="H2046" t="s">
        <v>24</v>
      </c>
      <c r="I2046" t="s">
        <v>20</v>
      </c>
      <c r="J2046">
        <v>150</v>
      </c>
      <c r="L2046" t="s">
        <v>29</v>
      </c>
      <c r="S2046">
        <v>0</v>
      </c>
      <c r="T2046">
        <v>0</v>
      </c>
      <c r="U2046">
        <v>0</v>
      </c>
      <c r="V2046">
        <v>0</v>
      </c>
    </row>
    <row r="2047" spans="1:22">
      <c r="A2047" t="s">
        <v>2151</v>
      </c>
      <c r="B2047" s="3">
        <v>46202</v>
      </c>
      <c r="C2047" t="s">
        <v>105</v>
      </c>
      <c r="D2047" t="s">
        <v>187</v>
      </c>
      <c r="E2047" t="s">
        <v>16</v>
      </c>
      <c r="F2047" t="s">
        <v>17</v>
      </c>
      <c r="G2047" t="s">
        <v>32</v>
      </c>
      <c r="H2047" t="s">
        <v>19</v>
      </c>
      <c r="I2047" t="s">
        <v>74</v>
      </c>
      <c r="J2047">
        <v>300</v>
      </c>
      <c r="S2047">
        <v>0</v>
      </c>
      <c r="T2047">
        <v>0</v>
      </c>
      <c r="U2047">
        <v>0</v>
      </c>
      <c r="V2047">
        <v>0</v>
      </c>
    </row>
    <row r="2048" spans="1:22">
      <c r="A2048" t="s">
        <v>2152</v>
      </c>
      <c r="B2048" s="3">
        <v>46202</v>
      </c>
      <c r="C2048" t="s">
        <v>105</v>
      </c>
      <c r="D2048" t="s">
        <v>265</v>
      </c>
      <c r="E2048" t="s">
        <v>16</v>
      </c>
      <c r="F2048" t="s">
        <v>17</v>
      </c>
      <c r="G2048" t="s">
        <v>32</v>
      </c>
      <c r="H2048" t="s">
        <v>24</v>
      </c>
      <c r="I2048" t="s">
        <v>20</v>
      </c>
      <c r="J2048">
        <v>300</v>
      </c>
      <c r="S2048">
        <v>0</v>
      </c>
      <c r="T2048">
        <v>0</v>
      </c>
      <c r="U2048">
        <v>0</v>
      </c>
      <c r="V2048">
        <v>0</v>
      </c>
    </row>
    <row r="2049" spans="1:22">
      <c r="A2049" t="s">
        <v>2153</v>
      </c>
      <c r="B2049" s="3">
        <v>46202</v>
      </c>
      <c r="C2049" t="s">
        <v>105</v>
      </c>
      <c r="D2049" t="s">
        <v>118</v>
      </c>
      <c r="E2049" t="s">
        <v>16</v>
      </c>
      <c r="F2049" t="s">
        <v>17</v>
      </c>
      <c r="G2049" t="s">
        <v>18</v>
      </c>
      <c r="H2049" t="s">
        <v>19</v>
      </c>
      <c r="I2049" t="s">
        <v>20</v>
      </c>
      <c r="J2049">
        <v>200</v>
      </c>
      <c r="S2049">
        <v>20</v>
      </c>
      <c r="T2049">
        <v>0</v>
      </c>
      <c r="U2049">
        <v>1</v>
      </c>
      <c r="V2049">
        <v>0</v>
      </c>
    </row>
    <row r="2050" spans="1:22">
      <c r="A2050" t="s">
        <v>2154</v>
      </c>
      <c r="B2050" s="3">
        <v>46202</v>
      </c>
      <c r="C2050" t="s">
        <v>105</v>
      </c>
      <c r="D2050" t="s">
        <v>116</v>
      </c>
      <c r="E2050" t="s">
        <v>16</v>
      </c>
      <c r="F2050" t="s">
        <v>17</v>
      </c>
      <c r="G2050" t="s">
        <v>18</v>
      </c>
      <c r="H2050" t="s">
        <v>19</v>
      </c>
      <c r="I2050" t="s">
        <v>20</v>
      </c>
      <c r="J2050">
        <v>200</v>
      </c>
      <c r="S2050">
        <v>20</v>
      </c>
      <c r="T2050">
        <v>0</v>
      </c>
      <c r="U2050">
        <v>1</v>
      </c>
      <c r="V2050">
        <v>0</v>
      </c>
    </row>
    <row r="2051" spans="1:22">
      <c r="A2051" t="s">
        <v>2155</v>
      </c>
      <c r="B2051" s="3">
        <v>46202</v>
      </c>
      <c r="C2051" t="s">
        <v>105</v>
      </c>
      <c r="D2051" t="s">
        <v>116</v>
      </c>
      <c r="E2051" t="s">
        <v>16</v>
      </c>
      <c r="F2051" t="s">
        <v>17</v>
      </c>
      <c r="G2051" t="s">
        <v>32</v>
      </c>
      <c r="H2051" t="s">
        <v>19</v>
      </c>
      <c r="I2051" t="s">
        <v>20</v>
      </c>
      <c r="J2051">
        <v>255</v>
      </c>
      <c r="L2051" t="s">
        <v>29</v>
      </c>
      <c r="S2051">
        <v>30.6</v>
      </c>
      <c r="T2051">
        <v>0</v>
      </c>
      <c r="U2051">
        <v>1</v>
      </c>
      <c r="V2051">
        <v>0</v>
      </c>
    </row>
    <row r="2052" spans="1:22">
      <c r="A2052" t="s">
        <v>2156</v>
      </c>
      <c r="B2052" s="3">
        <v>46202</v>
      </c>
      <c r="C2052" t="s">
        <v>105</v>
      </c>
      <c r="D2052" t="s">
        <v>120</v>
      </c>
      <c r="E2052" t="s">
        <v>16</v>
      </c>
      <c r="F2052" t="s">
        <v>17</v>
      </c>
      <c r="G2052" t="s">
        <v>18</v>
      </c>
      <c r="H2052" t="s">
        <v>19</v>
      </c>
      <c r="I2052" t="s">
        <v>20</v>
      </c>
      <c r="J2052">
        <v>200</v>
      </c>
      <c r="S2052">
        <v>20</v>
      </c>
      <c r="T2052">
        <v>0</v>
      </c>
      <c r="U2052">
        <v>1</v>
      </c>
      <c r="V2052">
        <v>0</v>
      </c>
    </row>
    <row r="2053" spans="1:22">
      <c r="A2053" t="s">
        <v>2157</v>
      </c>
      <c r="B2053" s="3">
        <v>46202</v>
      </c>
      <c r="C2053" t="s">
        <v>105</v>
      </c>
      <c r="D2053" t="s">
        <v>110</v>
      </c>
      <c r="E2053" t="s">
        <v>16</v>
      </c>
      <c r="F2053" t="s">
        <v>17</v>
      </c>
      <c r="G2053" t="s">
        <v>23</v>
      </c>
      <c r="H2053" t="s">
        <v>24</v>
      </c>
      <c r="I2053" t="s">
        <v>20</v>
      </c>
      <c r="J2053">
        <v>120</v>
      </c>
      <c r="S2053">
        <v>0</v>
      </c>
      <c r="T2053">
        <v>0</v>
      </c>
      <c r="U2053">
        <v>0</v>
      </c>
      <c r="V2053">
        <v>0</v>
      </c>
    </row>
    <row r="2054" spans="1:22">
      <c r="A2054" t="s">
        <v>2161</v>
      </c>
      <c r="B2054" s="3">
        <v>46203</v>
      </c>
      <c r="C2054" t="s">
        <v>14</v>
      </c>
      <c r="D2054" t="s">
        <v>15</v>
      </c>
      <c r="E2054" t="s">
        <v>16</v>
      </c>
      <c r="F2054" t="s">
        <v>35</v>
      </c>
      <c r="G2054" t="s">
        <v>18</v>
      </c>
      <c r="H2054" t="s">
        <v>19</v>
      </c>
      <c r="I2054" t="s">
        <v>20</v>
      </c>
      <c r="J2054">
        <v>200</v>
      </c>
      <c r="S2054">
        <v>6</v>
      </c>
      <c r="T2054">
        <v>0</v>
      </c>
      <c r="U2054">
        <v>0</v>
      </c>
      <c r="V2054">
        <v>0</v>
      </c>
    </row>
    <row r="2055" spans="1:22">
      <c r="A2055" t="s">
        <v>2163</v>
      </c>
      <c r="B2055" s="3">
        <v>46203</v>
      </c>
      <c r="C2055" t="s">
        <v>14</v>
      </c>
      <c r="D2055" t="s">
        <v>34</v>
      </c>
      <c r="E2055" t="s">
        <v>16</v>
      </c>
      <c r="F2055" t="s">
        <v>17</v>
      </c>
      <c r="G2055" t="s">
        <v>18</v>
      </c>
      <c r="H2055" t="s">
        <v>19</v>
      </c>
      <c r="I2055" t="s">
        <v>20</v>
      </c>
      <c r="J2055">
        <v>170</v>
      </c>
      <c r="L2055" t="s">
        <v>29</v>
      </c>
      <c r="S2055">
        <v>17</v>
      </c>
      <c r="T2055">
        <v>0</v>
      </c>
      <c r="U2055">
        <v>1</v>
      </c>
      <c r="V2055">
        <v>0</v>
      </c>
    </row>
    <row r="2056" spans="1:22">
      <c r="A2056" t="s">
        <v>2164</v>
      </c>
      <c r="B2056" s="3">
        <v>46203</v>
      </c>
      <c r="C2056" t="s">
        <v>14</v>
      </c>
      <c r="D2056" t="s">
        <v>131</v>
      </c>
      <c r="E2056" t="s">
        <v>16</v>
      </c>
      <c r="F2056" t="s">
        <v>17</v>
      </c>
      <c r="G2056" t="s">
        <v>32</v>
      </c>
      <c r="H2056" t="s">
        <v>19</v>
      </c>
      <c r="I2056" t="s">
        <v>20</v>
      </c>
      <c r="J2056">
        <v>255</v>
      </c>
      <c r="L2056" t="s">
        <v>29</v>
      </c>
      <c r="S2056">
        <v>30.6</v>
      </c>
      <c r="T2056">
        <v>0</v>
      </c>
      <c r="U2056">
        <v>1</v>
      </c>
      <c r="V2056">
        <v>0</v>
      </c>
    </row>
    <row r="2057" spans="1:22">
      <c r="A2057" t="s">
        <v>2165</v>
      </c>
      <c r="B2057" s="3">
        <v>46203</v>
      </c>
      <c r="C2057" t="s">
        <v>14</v>
      </c>
      <c r="D2057" t="s">
        <v>22</v>
      </c>
      <c r="E2057" t="s">
        <v>16</v>
      </c>
      <c r="F2057" t="s">
        <v>17</v>
      </c>
      <c r="G2057" t="s">
        <v>18</v>
      </c>
      <c r="H2057" t="s">
        <v>24</v>
      </c>
      <c r="I2057" t="s">
        <v>20</v>
      </c>
      <c r="J2057">
        <v>200</v>
      </c>
      <c r="S2057">
        <v>0</v>
      </c>
      <c r="T2057">
        <v>0</v>
      </c>
      <c r="U2057">
        <v>0</v>
      </c>
      <c r="V2057">
        <v>0</v>
      </c>
    </row>
    <row r="2058" spans="1:22">
      <c r="A2058" t="s">
        <v>2166</v>
      </c>
      <c r="B2058" s="3">
        <v>46203</v>
      </c>
      <c r="C2058" t="s">
        <v>14</v>
      </c>
      <c r="D2058" t="s">
        <v>42</v>
      </c>
      <c r="E2058" t="s">
        <v>16</v>
      </c>
      <c r="F2058" t="s">
        <v>17</v>
      </c>
      <c r="G2058" t="s">
        <v>18</v>
      </c>
      <c r="H2058" t="s">
        <v>19</v>
      </c>
      <c r="I2058" t="s">
        <v>20</v>
      </c>
      <c r="J2058">
        <v>200</v>
      </c>
      <c r="S2058">
        <v>20</v>
      </c>
      <c r="T2058">
        <v>0</v>
      </c>
      <c r="U2058">
        <v>1</v>
      </c>
      <c r="V2058">
        <v>0</v>
      </c>
    </row>
    <row r="2059" spans="1:22">
      <c r="A2059" t="s">
        <v>2167</v>
      </c>
      <c r="B2059" s="3">
        <v>46203</v>
      </c>
      <c r="C2059" t="s">
        <v>14</v>
      </c>
      <c r="D2059" t="s">
        <v>210</v>
      </c>
      <c r="E2059" t="s">
        <v>16</v>
      </c>
      <c r="F2059" t="s">
        <v>17</v>
      </c>
      <c r="G2059" t="s">
        <v>18</v>
      </c>
      <c r="H2059" t="s">
        <v>19</v>
      </c>
      <c r="I2059" t="s">
        <v>20</v>
      </c>
      <c r="J2059">
        <v>200</v>
      </c>
      <c r="S2059">
        <v>20</v>
      </c>
      <c r="T2059">
        <v>0</v>
      </c>
      <c r="U2059">
        <v>1</v>
      </c>
      <c r="V2059">
        <v>0</v>
      </c>
    </row>
    <row r="2060" spans="1:22">
      <c r="A2060" t="s">
        <v>2168</v>
      </c>
      <c r="B2060" s="3">
        <v>46203</v>
      </c>
      <c r="C2060" t="s">
        <v>14</v>
      </c>
      <c r="D2060" t="s">
        <v>34</v>
      </c>
      <c r="E2060" t="s">
        <v>16</v>
      </c>
      <c r="F2060" t="s">
        <v>17</v>
      </c>
      <c r="G2060" t="s">
        <v>23</v>
      </c>
      <c r="H2060" t="s">
        <v>19</v>
      </c>
      <c r="I2060" t="s">
        <v>53</v>
      </c>
      <c r="J2060">
        <v>90</v>
      </c>
      <c r="L2060" t="s">
        <v>29</v>
      </c>
      <c r="S2060">
        <v>0</v>
      </c>
      <c r="T2060">
        <v>0</v>
      </c>
      <c r="U2060">
        <v>0</v>
      </c>
      <c r="V2060">
        <v>0</v>
      </c>
    </row>
    <row r="2061" spans="1:22">
      <c r="A2061" t="s">
        <v>2169</v>
      </c>
      <c r="B2061" s="3">
        <v>46203</v>
      </c>
      <c r="C2061" t="s">
        <v>14</v>
      </c>
      <c r="D2061" t="s">
        <v>137</v>
      </c>
      <c r="E2061" t="s">
        <v>16</v>
      </c>
      <c r="F2061" t="s">
        <v>17</v>
      </c>
      <c r="G2061" t="s">
        <v>18</v>
      </c>
      <c r="H2061" t="s">
        <v>19</v>
      </c>
      <c r="I2061" t="s">
        <v>20</v>
      </c>
      <c r="J2061">
        <v>200</v>
      </c>
      <c r="S2061">
        <v>20</v>
      </c>
      <c r="T2061">
        <v>0</v>
      </c>
      <c r="U2061">
        <v>1</v>
      </c>
      <c r="V2061">
        <v>0</v>
      </c>
    </row>
    <row r="2062" spans="1:22">
      <c r="A2062" t="s">
        <v>2170</v>
      </c>
      <c r="B2062" s="3">
        <v>46203</v>
      </c>
      <c r="C2062" t="s">
        <v>14</v>
      </c>
      <c r="D2062" t="s">
        <v>137</v>
      </c>
      <c r="E2062" t="s">
        <v>16</v>
      </c>
      <c r="F2062" t="s">
        <v>17</v>
      </c>
      <c r="G2062" t="s">
        <v>23</v>
      </c>
      <c r="H2062" t="s">
        <v>19</v>
      </c>
      <c r="I2062" t="s">
        <v>20</v>
      </c>
      <c r="J2062">
        <v>90</v>
      </c>
      <c r="L2062" t="s">
        <v>29</v>
      </c>
      <c r="S2062">
        <v>7.2</v>
      </c>
      <c r="T2062">
        <v>0</v>
      </c>
      <c r="U2062">
        <v>1</v>
      </c>
      <c r="V2062">
        <v>0</v>
      </c>
    </row>
    <row r="2063" spans="1:22">
      <c r="A2063" t="s">
        <v>2171</v>
      </c>
      <c r="B2063" s="3">
        <v>46203</v>
      </c>
      <c r="C2063" t="s">
        <v>14</v>
      </c>
      <c r="D2063" t="s">
        <v>37</v>
      </c>
      <c r="E2063" t="s">
        <v>16</v>
      </c>
      <c r="F2063" t="s">
        <v>17</v>
      </c>
      <c r="G2063" t="s">
        <v>18</v>
      </c>
      <c r="H2063" t="s">
        <v>24</v>
      </c>
      <c r="I2063" t="s">
        <v>20</v>
      </c>
      <c r="J2063">
        <v>200</v>
      </c>
      <c r="S2063">
        <v>0</v>
      </c>
      <c r="T2063">
        <v>0</v>
      </c>
      <c r="U2063">
        <v>0</v>
      </c>
      <c r="V2063">
        <v>0</v>
      </c>
    </row>
    <row r="2064" spans="1:22">
      <c r="A2064" t="s">
        <v>2172</v>
      </c>
      <c r="B2064" s="3">
        <v>46203</v>
      </c>
      <c r="C2064" t="s">
        <v>14</v>
      </c>
      <c r="D2064" t="s">
        <v>40</v>
      </c>
      <c r="E2064" t="s">
        <v>16</v>
      </c>
      <c r="F2064" t="s">
        <v>17</v>
      </c>
      <c r="G2064" t="s">
        <v>23</v>
      </c>
      <c r="H2064" t="s">
        <v>19</v>
      </c>
      <c r="I2064" t="s">
        <v>20</v>
      </c>
      <c r="J2064">
        <v>102</v>
      </c>
      <c r="L2064" t="s">
        <v>29</v>
      </c>
      <c r="S2064">
        <v>8.16</v>
      </c>
      <c r="T2064">
        <v>0</v>
      </c>
      <c r="U2064">
        <v>1</v>
      </c>
      <c r="V2064">
        <v>0</v>
      </c>
    </row>
    <row r="2065" spans="1:22">
      <c r="A2065" t="s">
        <v>2173</v>
      </c>
      <c r="B2065" s="3">
        <v>46203</v>
      </c>
      <c r="C2065" t="s">
        <v>14</v>
      </c>
      <c r="D2065" t="s">
        <v>26</v>
      </c>
      <c r="E2065" t="s">
        <v>16</v>
      </c>
      <c r="F2065" t="s">
        <v>17</v>
      </c>
      <c r="G2065" t="s">
        <v>32</v>
      </c>
      <c r="H2065" t="s">
        <v>24</v>
      </c>
      <c r="I2065" t="s">
        <v>20</v>
      </c>
      <c r="J2065">
        <v>300</v>
      </c>
      <c r="S2065">
        <v>0</v>
      </c>
      <c r="T2065">
        <v>0</v>
      </c>
      <c r="U2065">
        <v>0</v>
      </c>
      <c r="V2065">
        <v>0</v>
      </c>
    </row>
    <row r="2066" spans="1:22">
      <c r="A2066" t="s">
        <v>2174</v>
      </c>
      <c r="B2066" s="3">
        <v>46203</v>
      </c>
      <c r="C2066" t="s">
        <v>14</v>
      </c>
      <c r="D2066" t="s">
        <v>40</v>
      </c>
      <c r="E2066" t="s">
        <v>16</v>
      </c>
      <c r="F2066" t="s">
        <v>17</v>
      </c>
      <c r="G2066" t="s">
        <v>32</v>
      </c>
      <c r="H2066" t="s">
        <v>19</v>
      </c>
      <c r="I2066" t="s">
        <v>20</v>
      </c>
      <c r="J2066">
        <v>300</v>
      </c>
      <c r="S2066">
        <v>36</v>
      </c>
      <c r="T2066">
        <v>0</v>
      </c>
      <c r="U2066">
        <v>1</v>
      </c>
      <c r="V2066">
        <v>0</v>
      </c>
    </row>
    <row r="2067" spans="1:22">
      <c r="A2067" t="s">
        <v>2175</v>
      </c>
      <c r="B2067" s="3">
        <v>46203</v>
      </c>
      <c r="C2067" t="s">
        <v>14</v>
      </c>
      <c r="D2067" t="s">
        <v>37</v>
      </c>
      <c r="E2067" t="s">
        <v>16</v>
      </c>
      <c r="F2067" t="s">
        <v>35</v>
      </c>
      <c r="G2067" t="s">
        <v>32</v>
      </c>
      <c r="H2067" t="s">
        <v>19</v>
      </c>
      <c r="I2067" t="s">
        <v>20</v>
      </c>
      <c r="J2067">
        <v>300</v>
      </c>
      <c r="S2067">
        <v>9</v>
      </c>
      <c r="T2067">
        <v>0</v>
      </c>
      <c r="U2067">
        <v>0</v>
      </c>
      <c r="V2067">
        <v>0</v>
      </c>
    </row>
    <row r="2068" spans="1:22">
      <c r="A2068" t="s">
        <v>2176</v>
      </c>
      <c r="B2068" s="3">
        <v>46203</v>
      </c>
      <c r="C2068" t="s">
        <v>14</v>
      </c>
      <c r="D2068" t="s">
        <v>137</v>
      </c>
      <c r="E2068" t="s">
        <v>16</v>
      </c>
      <c r="F2068" t="s">
        <v>35</v>
      </c>
      <c r="G2068" t="s">
        <v>23</v>
      </c>
      <c r="H2068" t="s">
        <v>19</v>
      </c>
      <c r="I2068" t="s">
        <v>20</v>
      </c>
      <c r="J2068">
        <v>120</v>
      </c>
      <c r="S2068">
        <v>3.6</v>
      </c>
      <c r="T2068">
        <v>0</v>
      </c>
      <c r="U2068">
        <v>0</v>
      </c>
      <c r="V2068">
        <v>0</v>
      </c>
    </row>
    <row r="2069" spans="1:22">
      <c r="A2069" t="s">
        <v>2177</v>
      </c>
      <c r="B2069" s="3">
        <v>46203</v>
      </c>
      <c r="C2069" t="s">
        <v>14</v>
      </c>
      <c r="D2069" t="s">
        <v>131</v>
      </c>
      <c r="E2069" t="s">
        <v>16</v>
      </c>
      <c r="F2069" t="s">
        <v>17</v>
      </c>
      <c r="G2069" t="s">
        <v>32</v>
      </c>
      <c r="H2069" t="s">
        <v>24</v>
      </c>
      <c r="I2069" t="s">
        <v>20</v>
      </c>
      <c r="J2069">
        <v>300</v>
      </c>
      <c r="S2069">
        <v>0</v>
      </c>
      <c r="T2069">
        <v>0</v>
      </c>
      <c r="U2069">
        <v>0</v>
      </c>
      <c r="V2069">
        <v>0</v>
      </c>
    </row>
    <row r="2070" spans="1:22">
      <c r="A2070" t="s">
        <v>2178</v>
      </c>
      <c r="B2070" s="3">
        <v>46203</v>
      </c>
      <c r="C2070" t="s">
        <v>14</v>
      </c>
      <c r="D2070" t="s">
        <v>34</v>
      </c>
      <c r="E2070" t="s">
        <v>16</v>
      </c>
      <c r="F2070" t="s">
        <v>17</v>
      </c>
      <c r="G2070" t="s">
        <v>32</v>
      </c>
      <c r="H2070" t="s">
        <v>19</v>
      </c>
      <c r="I2070" t="s">
        <v>20</v>
      </c>
      <c r="J2070">
        <v>225</v>
      </c>
      <c r="L2070" t="s">
        <v>29</v>
      </c>
      <c r="S2070">
        <v>27</v>
      </c>
      <c r="T2070">
        <v>0</v>
      </c>
      <c r="U2070">
        <v>1</v>
      </c>
      <c r="V2070">
        <v>0</v>
      </c>
    </row>
    <row r="2071" spans="1:22">
      <c r="A2071" t="s">
        <v>2179</v>
      </c>
      <c r="B2071" s="3">
        <v>46203</v>
      </c>
      <c r="C2071" t="s">
        <v>47</v>
      </c>
      <c r="D2071" t="s">
        <v>59</v>
      </c>
      <c r="E2071" t="s">
        <v>16</v>
      </c>
      <c r="F2071" t="s">
        <v>17</v>
      </c>
      <c r="G2071" t="s">
        <v>32</v>
      </c>
      <c r="H2071" t="s">
        <v>19</v>
      </c>
      <c r="I2071" t="s">
        <v>20</v>
      </c>
      <c r="J2071">
        <v>300</v>
      </c>
      <c r="S2071">
        <v>36</v>
      </c>
      <c r="T2071">
        <v>0</v>
      </c>
      <c r="U2071">
        <v>1</v>
      </c>
      <c r="V2071">
        <v>0</v>
      </c>
    </row>
    <row r="2072" spans="1:22">
      <c r="A2072" t="s">
        <v>2180</v>
      </c>
      <c r="B2072" s="3">
        <v>46203</v>
      </c>
      <c r="C2072" t="s">
        <v>47</v>
      </c>
      <c r="D2072" t="s">
        <v>71</v>
      </c>
      <c r="E2072" t="s">
        <v>16</v>
      </c>
      <c r="F2072" t="s">
        <v>17</v>
      </c>
      <c r="G2072" t="s">
        <v>18</v>
      </c>
      <c r="H2072" t="s">
        <v>19</v>
      </c>
      <c r="I2072" t="s">
        <v>20</v>
      </c>
      <c r="J2072">
        <v>200</v>
      </c>
      <c r="S2072">
        <v>20</v>
      </c>
      <c r="T2072">
        <v>0</v>
      </c>
      <c r="U2072">
        <v>1</v>
      </c>
      <c r="V2072">
        <v>0</v>
      </c>
    </row>
    <row r="2073" spans="1:22">
      <c r="A2073" t="s">
        <v>2181</v>
      </c>
      <c r="B2073" s="3">
        <v>46203</v>
      </c>
      <c r="C2073" t="s">
        <v>47</v>
      </c>
      <c r="D2073" t="s">
        <v>148</v>
      </c>
      <c r="E2073" t="s">
        <v>16</v>
      </c>
      <c r="F2073" t="s">
        <v>17</v>
      </c>
      <c r="G2073" t="s">
        <v>18</v>
      </c>
      <c r="H2073" t="s">
        <v>19</v>
      </c>
      <c r="I2073" t="s">
        <v>20</v>
      </c>
      <c r="J2073">
        <v>200</v>
      </c>
      <c r="S2073">
        <v>20</v>
      </c>
      <c r="T2073">
        <v>0</v>
      </c>
      <c r="U2073">
        <v>1</v>
      </c>
      <c r="V2073">
        <v>0</v>
      </c>
    </row>
    <row r="2074" spans="1:22">
      <c r="A2074" t="s">
        <v>2182</v>
      </c>
      <c r="B2074" s="3">
        <v>46203</v>
      </c>
      <c r="C2074" t="s">
        <v>47</v>
      </c>
      <c r="D2074" t="s">
        <v>66</v>
      </c>
      <c r="E2074" t="s">
        <v>16</v>
      </c>
      <c r="F2074" t="s">
        <v>17</v>
      </c>
      <c r="G2074" t="s">
        <v>18</v>
      </c>
      <c r="H2074" t="s">
        <v>19</v>
      </c>
      <c r="I2074" t="s">
        <v>20</v>
      </c>
      <c r="J2074">
        <v>200</v>
      </c>
      <c r="S2074">
        <v>20</v>
      </c>
      <c r="T2074">
        <v>0</v>
      </c>
      <c r="U2074">
        <v>1</v>
      </c>
      <c r="V2074">
        <v>0</v>
      </c>
    </row>
    <row r="2075" spans="1:22">
      <c r="A2075" t="s">
        <v>2183</v>
      </c>
      <c r="B2075" s="3">
        <v>46203</v>
      </c>
      <c r="C2075" t="s">
        <v>47</v>
      </c>
      <c r="D2075" t="s">
        <v>62</v>
      </c>
      <c r="E2075" t="s">
        <v>16</v>
      </c>
      <c r="F2075" t="s">
        <v>17</v>
      </c>
      <c r="G2075" t="s">
        <v>32</v>
      </c>
      <c r="H2075" t="s">
        <v>19</v>
      </c>
      <c r="I2075" t="s">
        <v>20</v>
      </c>
      <c r="J2075">
        <v>300</v>
      </c>
      <c r="S2075">
        <v>36</v>
      </c>
      <c r="T2075">
        <v>0</v>
      </c>
      <c r="U2075">
        <v>1</v>
      </c>
      <c r="V2075">
        <v>0</v>
      </c>
    </row>
    <row r="2076" spans="1:22">
      <c r="A2076" t="s">
        <v>2184</v>
      </c>
      <c r="B2076" s="3">
        <v>46203</v>
      </c>
      <c r="C2076" t="s">
        <v>47</v>
      </c>
      <c r="D2076" t="s">
        <v>62</v>
      </c>
      <c r="E2076" t="s">
        <v>16</v>
      </c>
      <c r="F2076" t="s">
        <v>17</v>
      </c>
      <c r="G2076" t="s">
        <v>23</v>
      </c>
      <c r="H2076" t="s">
        <v>19</v>
      </c>
      <c r="I2076" t="s">
        <v>20</v>
      </c>
      <c r="J2076">
        <v>120</v>
      </c>
      <c r="S2076">
        <v>9.6</v>
      </c>
      <c r="T2076">
        <v>0</v>
      </c>
      <c r="U2076">
        <v>1</v>
      </c>
      <c r="V2076">
        <v>0</v>
      </c>
    </row>
    <row r="2077" spans="1:22">
      <c r="A2077" t="s">
        <v>2185</v>
      </c>
      <c r="B2077" s="3">
        <v>46203</v>
      </c>
      <c r="C2077" t="s">
        <v>47</v>
      </c>
      <c r="D2077" t="s">
        <v>152</v>
      </c>
      <c r="E2077" t="s">
        <v>16</v>
      </c>
      <c r="F2077" t="s">
        <v>35</v>
      </c>
      <c r="G2077" t="s">
        <v>18</v>
      </c>
      <c r="H2077" t="s">
        <v>19</v>
      </c>
      <c r="I2077" t="s">
        <v>20</v>
      </c>
      <c r="J2077">
        <v>200</v>
      </c>
      <c r="S2077">
        <v>6</v>
      </c>
      <c r="T2077">
        <v>0</v>
      </c>
      <c r="U2077">
        <v>0</v>
      </c>
      <c r="V2077">
        <v>0</v>
      </c>
    </row>
    <row r="2078" spans="1:22">
      <c r="A2078" t="s">
        <v>2186</v>
      </c>
      <c r="B2078" s="3">
        <v>46203</v>
      </c>
      <c r="C2078" t="s">
        <v>47</v>
      </c>
      <c r="D2078" t="s">
        <v>62</v>
      </c>
      <c r="E2078" t="s">
        <v>16</v>
      </c>
      <c r="F2078" t="s">
        <v>17</v>
      </c>
      <c r="G2078" t="s">
        <v>32</v>
      </c>
      <c r="H2078" t="s">
        <v>19</v>
      </c>
      <c r="I2078" t="s">
        <v>53</v>
      </c>
      <c r="J2078">
        <v>300</v>
      </c>
      <c r="S2078">
        <v>0</v>
      </c>
      <c r="T2078">
        <v>0</v>
      </c>
      <c r="U2078">
        <v>0</v>
      </c>
      <c r="V2078">
        <v>0</v>
      </c>
    </row>
    <row r="2079" spans="1:22">
      <c r="A2079" t="s">
        <v>2187</v>
      </c>
      <c r="B2079" s="3">
        <v>46203</v>
      </c>
      <c r="C2079" t="s">
        <v>47</v>
      </c>
      <c r="D2079" t="s">
        <v>152</v>
      </c>
      <c r="E2079" t="s">
        <v>16</v>
      </c>
      <c r="F2079" t="s">
        <v>17</v>
      </c>
      <c r="G2079" t="s">
        <v>18</v>
      </c>
      <c r="H2079" t="s">
        <v>19</v>
      </c>
      <c r="I2079" t="s">
        <v>20</v>
      </c>
      <c r="J2079">
        <v>150</v>
      </c>
      <c r="L2079" t="s">
        <v>29</v>
      </c>
      <c r="S2079">
        <v>15</v>
      </c>
      <c r="T2079">
        <v>0</v>
      </c>
      <c r="U2079">
        <v>1</v>
      </c>
      <c r="V2079">
        <v>0</v>
      </c>
    </row>
    <row r="2080" spans="1:22">
      <c r="A2080" t="s">
        <v>2188</v>
      </c>
      <c r="B2080" s="3">
        <v>46203</v>
      </c>
      <c r="C2080" t="s">
        <v>47</v>
      </c>
      <c r="D2080" t="s">
        <v>73</v>
      </c>
      <c r="E2080" t="s">
        <v>16</v>
      </c>
      <c r="F2080" t="s">
        <v>17</v>
      </c>
      <c r="G2080" t="s">
        <v>32</v>
      </c>
      <c r="H2080" t="s">
        <v>19</v>
      </c>
      <c r="I2080" t="s">
        <v>20</v>
      </c>
      <c r="J2080">
        <v>300</v>
      </c>
      <c r="S2080">
        <v>36</v>
      </c>
      <c r="T2080">
        <v>0</v>
      </c>
      <c r="U2080">
        <v>1</v>
      </c>
      <c r="V2080">
        <v>0</v>
      </c>
    </row>
    <row r="2081" spans="1:22">
      <c r="A2081" t="s">
        <v>2189</v>
      </c>
      <c r="B2081" s="3">
        <v>46203</v>
      </c>
      <c r="C2081" t="s">
        <v>47</v>
      </c>
      <c r="D2081" t="s">
        <v>148</v>
      </c>
      <c r="E2081" t="s">
        <v>16</v>
      </c>
      <c r="F2081" t="s">
        <v>35</v>
      </c>
      <c r="G2081" t="s">
        <v>18</v>
      </c>
      <c r="H2081" t="s">
        <v>19</v>
      </c>
      <c r="I2081" t="s">
        <v>20</v>
      </c>
      <c r="J2081">
        <v>200</v>
      </c>
      <c r="S2081">
        <v>6</v>
      </c>
      <c r="T2081">
        <v>0</v>
      </c>
      <c r="U2081">
        <v>0</v>
      </c>
      <c r="V2081">
        <v>0</v>
      </c>
    </row>
    <row r="2082" spans="1:22">
      <c r="A2082" t="s">
        <v>2190</v>
      </c>
      <c r="B2082" s="3">
        <v>46203</v>
      </c>
      <c r="C2082" t="s">
        <v>47</v>
      </c>
      <c r="D2082" t="s">
        <v>50</v>
      </c>
      <c r="E2082" t="s">
        <v>16</v>
      </c>
      <c r="F2082" t="s">
        <v>17</v>
      </c>
      <c r="G2082" t="s">
        <v>32</v>
      </c>
      <c r="H2082" t="s">
        <v>19</v>
      </c>
      <c r="I2082" t="s">
        <v>20</v>
      </c>
      <c r="J2082">
        <v>255</v>
      </c>
      <c r="L2082" t="s">
        <v>29</v>
      </c>
      <c r="S2082">
        <v>30.6</v>
      </c>
      <c r="T2082">
        <v>0</v>
      </c>
      <c r="U2082">
        <v>1</v>
      </c>
      <c r="V2082">
        <v>0</v>
      </c>
    </row>
    <row r="2083" spans="1:22">
      <c r="A2083" t="s">
        <v>2191</v>
      </c>
      <c r="B2083" s="3">
        <v>46203</v>
      </c>
      <c r="C2083" t="s">
        <v>47</v>
      </c>
      <c r="D2083" t="s">
        <v>71</v>
      </c>
      <c r="E2083" t="s">
        <v>16</v>
      </c>
      <c r="F2083" t="s">
        <v>17</v>
      </c>
      <c r="G2083" t="s">
        <v>32</v>
      </c>
      <c r="H2083" t="s">
        <v>19</v>
      </c>
      <c r="I2083" t="s">
        <v>20</v>
      </c>
      <c r="J2083">
        <v>300</v>
      </c>
      <c r="S2083">
        <v>36</v>
      </c>
      <c r="T2083">
        <v>0</v>
      </c>
      <c r="U2083">
        <v>1</v>
      </c>
      <c r="V2083">
        <v>0</v>
      </c>
    </row>
    <row r="2084" spans="1:22">
      <c r="A2084" t="s">
        <v>2192</v>
      </c>
      <c r="B2084" s="3">
        <v>46203</v>
      </c>
      <c r="C2084" t="s">
        <v>47</v>
      </c>
      <c r="D2084" t="s">
        <v>66</v>
      </c>
      <c r="E2084" t="s">
        <v>16</v>
      </c>
      <c r="F2084" t="s">
        <v>35</v>
      </c>
      <c r="G2084" t="s">
        <v>18</v>
      </c>
      <c r="H2084" t="s">
        <v>24</v>
      </c>
      <c r="I2084" t="s">
        <v>20</v>
      </c>
      <c r="J2084">
        <v>200</v>
      </c>
      <c r="S2084">
        <v>0</v>
      </c>
      <c r="T2084">
        <v>0</v>
      </c>
      <c r="U2084">
        <v>0</v>
      </c>
      <c r="V2084">
        <v>0</v>
      </c>
    </row>
    <row r="2085" spans="1:22">
      <c r="A2085" t="s">
        <v>2193</v>
      </c>
      <c r="B2085" s="3">
        <v>46203</v>
      </c>
      <c r="C2085" t="s">
        <v>47</v>
      </c>
      <c r="D2085" t="s">
        <v>152</v>
      </c>
      <c r="E2085" t="s">
        <v>16</v>
      </c>
      <c r="F2085" t="s">
        <v>17</v>
      </c>
      <c r="G2085" t="s">
        <v>23</v>
      </c>
      <c r="H2085" t="s">
        <v>19</v>
      </c>
      <c r="I2085" t="s">
        <v>20</v>
      </c>
      <c r="J2085">
        <v>120</v>
      </c>
      <c r="S2085">
        <v>9.6</v>
      </c>
      <c r="T2085">
        <v>0</v>
      </c>
      <c r="U2085">
        <v>1</v>
      </c>
      <c r="V2085">
        <v>0</v>
      </c>
    </row>
    <row r="2086" spans="1:22">
      <c r="A2086" t="s">
        <v>2194</v>
      </c>
      <c r="B2086" s="3">
        <v>46203</v>
      </c>
      <c r="C2086" t="s">
        <v>47</v>
      </c>
      <c r="D2086" t="s">
        <v>71</v>
      </c>
      <c r="E2086" t="s">
        <v>16</v>
      </c>
      <c r="F2086" t="s">
        <v>17</v>
      </c>
      <c r="G2086" t="s">
        <v>23</v>
      </c>
      <c r="H2086" t="s">
        <v>19</v>
      </c>
      <c r="I2086" t="s">
        <v>20</v>
      </c>
      <c r="J2086">
        <v>120</v>
      </c>
      <c r="S2086">
        <v>9.6</v>
      </c>
      <c r="T2086">
        <v>0</v>
      </c>
      <c r="U2086">
        <v>1</v>
      </c>
      <c r="V2086">
        <v>0</v>
      </c>
    </row>
    <row r="2087" spans="1:22">
      <c r="A2087" t="s">
        <v>2195</v>
      </c>
      <c r="B2087" s="3">
        <v>46203</v>
      </c>
      <c r="C2087" t="s">
        <v>78</v>
      </c>
      <c r="D2087" t="s">
        <v>102</v>
      </c>
      <c r="E2087" t="s">
        <v>16</v>
      </c>
      <c r="F2087" t="s">
        <v>17</v>
      </c>
      <c r="G2087" t="s">
        <v>23</v>
      </c>
      <c r="H2087" t="s">
        <v>19</v>
      </c>
      <c r="I2087" t="s">
        <v>20</v>
      </c>
      <c r="J2087">
        <v>90</v>
      </c>
      <c r="L2087" t="s">
        <v>29</v>
      </c>
      <c r="S2087">
        <v>7.2</v>
      </c>
      <c r="T2087">
        <v>0</v>
      </c>
      <c r="U2087">
        <v>1</v>
      </c>
      <c r="V2087">
        <v>0</v>
      </c>
    </row>
    <row r="2088" spans="1:22">
      <c r="A2088" t="s">
        <v>2196</v>
      </c>
      <c r="B2088" s="3">
        <v>46203</v>
      </c>
      <c r="C2088" t="s">
        <v>78</v>
      </c>
      <c r="D2088" t="s">
        <v>81</v>
      </c>
      <c r="E2088" t="s">
        <v>16</v>
      </c>
      <c r="F2088" t="s">
        <v>17</v>
      </c>
      <c r="G2088" t="s">
        <v>18</v>
      </c>
      <c r="H2088" t="s">
        <v>19</v>
      </c>
      <c r="I2088" t="s">
        <v>20</v>
      </c>
      <c r="J2088">
        <v>200</v>
      </c>
      <c r="S2088">
        <v>20</v>
      </c>
      <c r="T2088">
        <v>0</v>
      </c>
      <c r="U2088">
        <v>1</v>
      </c>
      <c r="V2088">
        <v>0</v>
      </c>
    </row>
    <row r="2089" spans="1:22">
      <c r="A2089" t="s">
        <v>2197</v>
      </c>
      <c r="B2089" s="3">
        <v>46203</v>
      </c>
      <c r="C2089" t="s">
        <v>78</v>
      </c>
      <c r="D2089" t="s">
        <v>85</v>
      </c>
      <c r="E2089" t="s">
        <v>16</v>
      </c>
      <c r="F2089" t="s">
        <v>17</v>
      </c>
      <c r="G2089" t="s">
        <v>23</v>
      </c>
      <c r="H2089" t="s">
        <v>19</v>
      </c>
      <c r="I2089" t="s">
        <v>20</v>
      </c>
      <c r="J2089">
        <v>120</v>
      </c>
      <c r="S2089">
        <v>9.6</v>
      </c>
      <c r="T2089">
        <v>0</v>
      </c>
      <c r="U2089">
        <v>1</v>
      </c>
      <c r="V2089">
        <v>0</v>
      </c>
    </row>
    <row r="2090" spans="1:22">
      <c r="A2090" t="s">
        <v>2198</v>
      </c>
      <c r="B2090" s="3">
        <v>46203</v>
      </c>
      <c r="C2090" t="s">
        <v>78</v>
      </c>
      <c r="D2090" t="s">
        <v>242</v>
      </c>
      <c r="E2090" t="s">
        <v>16</v>
      </c>
      <c r="F2090" t="s">
        <v>17</v>
      </c>
      <c r="G2090" t="s">
        <v>32</v>
      </c>
      <c r="H2090" t="s">
        <v>19</v>
      </c>
      <c r="I2090" t="s">
        <v>20</v>
      </c>
      <c r="J2090">
        <v>300</v>
      </c>
      <c r="S2090">
        <v>36</v>
      </c>
      <c r="T2090">
        <v>0</v>
      </c>
      <c r="U2090">
        <v>1</v>
      </c>
      <c r="V2090">
        <v>0</v>
      </c>
    </row>
    <row r="2091" spans="1:22">
      <c r="A2091" t="s">
        <v>2199</v>
      </c>
      <c r="B2091" s="3">
        <v>46203</v>
      </c>
      <c r="C2091" t="s">
        <v>78</v>
      </c>
      <c r="D2091" t="s">
        <v>102</v>
      </c>
      <c r="E2091" t="s">
        <v>16</v>
      </c>
      <c r="F2091" t="s">
        <v>17</v>
      </c>
      <c r="G2091" t="s">
        <v>18</v>
      </c>
      <c r="H2091" t="s">
        <v>19</v>
      </c>
      <c r="I2091" t="s">
        <v>20</v>
      </c>
      <c r="J2091">
        <v>200</v>
      </c>
      <c r="S2091">
        <v>20</v>
      </c>
      <c r="T2091">
        <v>0</v>
      </c>
      <c r="U2091">
        <v>1</v>
      </c>
      <c r="V2091">
        <v>0</v>
      </c>
    </row>
    <row r="2092" spans="1:22">
      <c r="A2092" t="s">
        <v>2200</v>
      </c>
      <c r="B2092" s="3">
        <v>46203</v>
      </c>
      <c r="C2092" t="s">
        <v>78</v>
      </c>
      <c r="D2092" t="s">
        <v>89</v>
      </c>
      <c r="E2092" t="s">
        <v>16</v>
      </c>
      <c r="F2092" t="s">
        <v>17</v>
      </c>
      <c r="G2092" t="s">
        <v>32</v>
      </c>
      <c r="H2092" t="s">
        <v>19</v>
      </c>
      <c r="I2092" t="s">
        <v>20</v>
      </c>
      <c r="J2092">
        <v>300</v>
      </c>
      <c r="S2092">
        <v>36</v>
      </c>
      <c r="T2092">
        <v>0</v>
      </c>
      <c r="U2092">
        <v>1</v>
      </c>
      <c r="V2092">
        <v>0</v>
      </c>
    </row>
    <row r="2093" spans="1:22">
      <c r="A2093" t="s">
        <v>2201</v>
      </c>
      <c r="B2093" s="3">
        <v>46203</v>
      </c>
      <c r="C2093" t="s">
        <v>78</v>
      </c>
      <c r="D2093" t="s">
        <v>102</v>
      </c>
      <c r="E2093" t="s">
        <v>16</v>
      </c>
      <c r="F2093" t="s">
        <v>17</v>
      </c>
      <c r="G2093" t="s">
        <v>23</v>
      </c>
      <c r="H2093" t="s">
        <v>24</v>
      </c>
      <c r="I2093" t="s">
        <v>20</v>
      </c>
      <c r="J2093">
        <v>120</v>
      </c>
      <c r="S2093">
        <v>0</v>
      </c>
      <c r="T2093">
        <v>0</v>
      </c>
      <c r="U2093">
        <v>0</v>
      </c>
      <c r="V2093">
        <v>0</v>
      </c>
    </row>
    <row r="2094" spans="1:22">
      <c r="A2094" t="s">
        <v>2202</v>
      </c>
      <c r="B2094" s="3">
        <v>46203</v>
      </c>
      <c r="C2094" t="s">
        <v>78</v>
      </c>
      <c r="D2094" t="s">
        <v>161</v>
      </c>
      <c r="E2094" t="s">
        <v>16</v>
      </c>
      <c r="F2094" t="s">
        <v>17</v>
      </c>
      <c r="G2094" t="s">
        <v>18</v>
      </c>
      <c r="H2094" t="s">
        <v>19</v>
      </c>
      <c r="I2094" t="s">
        <v>20</v>
      </c>
      <c r="J2094">
        <v>170</v>
      </c>
      <c r="L2094" t="s">
        <v>29</v>
      </c>
      <c r="S2094">
        <v>17</v>
      </c>
      <c r="T2094">
        <v>0</v>
      </c>
      <c r="U2094">
        <v>1</v>
      </c>
      <c r="V2094">
        <v>0</v>
      </c>
    </row>
    <row r="2095" spans="1:22">
      <c r="A2095" t="s">
        <v>2203</v>
      </c>
      <c r="B2095" s="3">
        <v>46203</v>
      </c>
      <c r="C2095" t="s">
        <v>78</v>
      </c>
      <c r="D2095" t="s">
        <v>161</v>
      </c>
      <c r="E2095" t="s">
        <v>16</v>
      </c>
      <c r="F2095" t="s">
        <v>17</v>
      </c>
      <c r="G2095" t="s">
        <v>18</v>
      </c>
      <c r="H2095" t="s">
        <v>19</v>
      </c>
      <c r="I2095" t="s">
        <v>20</v>
      </c>
      <c r="J2095">
        <v>200</v>
      </c>
      <c r="S2095">
        <v>20</v>
      </c>
      <c r="T2095">
        <v>0</v>
      </c>
      <c r="U2095">
        <v>1</v>
      </c>
      <c r="V2095">
        <v>0</v>
      </c>
    </row>
    <row r="2096" spans="1:22">
      <c r="A2096" t="s">
        <v>2204</v>
      </c>
      <c r="B2096" s="3">
        <v>46203</v>
      </c>
      <c r="C2096" t="s">
        <v>78</v>
      </c>
      <c r="D2096" t="s">
        <v>102</v>
      </c>
      <c r="E2096" t="s">
        <v>16</v>
      </c>
      <c r="F2096" t="s">
        <v>17</v>
      </c>
      <c r="G2096" t="s">
        <v>32</v>
      </c>
      <c r="H2096" t="s">
        <v>19</v>
      </c>
      <c r="I2096" t="s">
        <v>20</v>
      </c>
      <c r="J2096">
        <v>300</v>
      </c>
      <c r="S2096">
        <v>36</v>
      </c>
      <c r="T2096">
        <v>0</v>
      </c>
      <c r="U2096">
        <v>1</v>
      </c>
      <c r="V2096">
        <v>0</v>
      </c>
    </row>
    <row r="2097" spans="1:22">
      <c r="A2097" t="s">
        <v>2205</v>
      </c>
      <c r="B2097" s="3">
        <v>46203</v>
      </c>
      <c r="C2097" t="s">
        <v>78</v>
      </c>
      <c r="D2097" t="s">
        <v>102</v>
      </c>
      <c r="E2097" t="s">
        <v>16</v>
      </c>
      <c r="F2097" t="s">
        <v>17</v>
      </c>
      <c r="G2097" t="s">
        <v>32</v>
      </c>
      <c r="H2097" t="s">
        <v>19</v>
      </c>
      <c r="I2097" t="s">
        <v>20</v>
      </c>
      <c r="J2097">
        <v>300</v>
      </c>
      <c r="S2097">
        <v>36</v>
      </c>
      <c r="T2097">
        <v>0</v>
      </c>
      <c r="U2097">
        <v>1</v>
      </c>
      <c r="V2097">
        <v>0</v>
      </c>
    </row>
    <row r="2098" spans="1:22">
      <c r="A2098" t="s">
        <v>2206</v>
      </c>
      <c r="B2098" s="3">
        <v>46203</v>
      </c>
      <c r="C2098" t="s">
        <v>78</v>
      </c>
      <c r="D2098" t="s">
        <v>85</v>
      </c>
      <c r="E2098" t="s">
        <v>16</v>
      </c>
      <c r="F2098" t="s">
        <v>17</v>
      </c>
      <c r="G2098" t="s">
        <v>18</v>
      </c>
      <c r="H2098" t="s">
        <v>19</v>
      </c>
      <c r="I2098" t="s">
        <v>20</v>
      </c>
      <c r="J2098">
        <v>150</v>
      </c>
      <c r="L2098" t="s">
        <v>29</v>
      </c>
      <c r="S2098">
        <v>15</v>
      </c>
      <c r="T2098">
        <v>0</v>
      </c>
      <c r="U2098">
        <v>1</v>
      </c>
      <c r="V2098">
        <v>0</v>
      </c>
    </row>
    <row r="2099" spans="1:22">
      <c r="A2099" t="s">
        <v>2207</v>
      </c>
      <c r="B2099" s="3">
        <v>46203</v>
      </c>
      <c r="C2099" t="s">
        <v>78</v>
      </c>
      <c r="D2099" t="s">
        <v>89</v>
      </c>
      <c r="E2099" t="s">
        <v>16</v>
      </c>
      <c r="F2099" t="s">
        <v>35</v>
      </c>
      <c r="G2099" t="s">
        <v>18</v>
      </c>
      <c r="H2099" t="s">
        <v>19</v>
      </c>
      <c r="I2099" t="s">
        <v>20</v>
      </c>
      <c r="J2099">
        <v>170</v>
      </c>
      <c r="L2099" t="s">
        <v>29</v>
      </c>
      <c r="S2099">
        <v>5.0999999999999996</v>
      </c>
      <c r="T2099">
        <v>0</v>
      </c>
      <c r="U2099">
        <v>0</v>
      </c>
      <c r="V2099">
        <v>0</v>
      </c>
    </row>
    <row r="2100" spans="1:22">
      <c r="A2100" t="s">
        <v>2208</v>
      </c>
      <c r="B2100" s="3">
        <v>46203</v>
      </c>
      <c r="C2100" t="s">
        <v>78</v>
      </c>
      <c r="D2100" t="s">
        <v>163</v>
      </c>
      <c r="E2100" t="s">
        <v>16</v>
      </c>
      <c r="F2100" t="s">
        <v>17</v>
      </c>
      <c r="G2100" t="s">
        <v>18</v>
      </c>
      <c r="H2100" t="s">
        <v>19</v>
      </c>
      <c r="I2100" t="s">
        <v>20</v>
      </c>
      <c r="J2100">
        <v>200</v>
      </c>
      <c r="S2100">
        <v>20</v>
      </c>
      <c r="T2100">
        <v>0</v>
      </c>
      <c r="U2100">
        <v>1</v>
      </c>
      <c r="V2100">
        <v>0</v>
      </c>
    </row>
    <row r="2101" spans="1:22">
      <c r="A2101" t="s">
        <v>2209</v>
      </c>
      <c r="B2101" s="3">
        <v>46203</v>
      </c>
      <c r="C2101" t="s">
        <v>78</v>
      </c>
      <c r="D2101" t="s">
        <v>242</v>
      </c>
      <c r="E2101" t="s">
        <v>16</v>
      </c>
      <c r="F2101" t="s">
        <v>17</v>
      </c>
      <c r="G2101" t="s">
        <v>32</v>
      </c>
      <c r="H2101" t="s">
        <v>19</v>
      </c>
      <c r="I2101" t="s">
        <v>20</v>
      </c>
      <c r="J2101">
        <v>300</v>
      </c>
      <c r="S2101">
        <v>36</v>
      </c>
      <c r="T2101">
        <v>0</v>
      </c>
      <c r="U2101">
        <v>1</v>
      </c>
      <c r="V2101">
        <v>0</v>
      </c>
    </row>
    <row r="2102" spans="1:22">
      <c r="A2102" t="s">
        <v>2210</v>
      </c>
      <c r="B2102" s="3">
        <v>46203</v>
      </c>
      <c r="C2102" t="s">
        <v>105</v>
      </c>
      <c r="D2102" t="s">
        <v>116</v>
      </c>
      <c r="E2102" t="s">
        <v>16</v>
      </c>
      <c r="F2102" t="s">
        <v>35</v>
      </c>
      <c r="G2102" t="s">
        <v>18</v>
      </c>
      <c r="H2102" t="s">
        <v>19</v>
      </c>
      <c r="I2102" t="s">
        <v>20</v>
      </c>
      <c r="J2102">
        <v>200</v>
      </c>
      <c r="S2102">
        <v>6</v>
      </c>
      <c r="T2102">
        <v>0</v>
      </c>
      <c r="U2102">
        <v>0</v>
      </c>
      <c r="V2102">
        <v>0</v>
      </c>
    </row>
    <row r="2103" spans="1:22">
      <c r="A2103" t="s">
        <v>2211</v>
      </c>
      <c r="B2103" s="3">
        <v>46203</v>
      </c>
      <c r="C2103" t="s">
        <v>105</v>
      </c>
      <c r="D2103" t="s">
        <v>265</v>
      </c>
      <c r="E2103" t="s">
        <v>16</v>
      </c>
      <c r="F2103" t="s">
        <v>17</v>
      </c>
      <c r="G2103" t="s">
        <v>23</v>
      </c>
      <c r="H2103" t="s">
        <v>24</v>
      </c>
      <c r="I2103" t="s">
        <v>20</v>
      </c>
      <c r="J2103">
        <v>120</v>
      </c>
      <c r="S2103">
        <v>0</v>
      </c>
      <c r="T2103">
        <v>0</v>
      </c>
      <c r="U2103">
        <v>0</v>
      </c>
      <c r="V2103">
        <v>0</v>
      </c>
    </row>
    <row r="2104" spans="1:22">
      <c r="A2104" t="s">
        <v>2212</v>
      </c>
      <c r="B2104" s="3">
        <v>46203</v>
      </c>
      <c r="C2104" t="s">
        <v>105</v>
      </c>
      <c r="D2104" t="s">
        <v>182</v>
      </c>
      <c r="E2104" t="s">
        <v>16</v>
      </c>
      <c r="F2104" t="s">
        <v>17</v>
      </c>
      <c r="G2104" t="s">
        <v>32</v>
      </c>
      <c r="H2104" t="s">
        <v>19</v>
      </c>
      <c r="I2104" t="s">
        <v>20</v>
      </c>
      <c r="J2104">
        <v>300</v>
      </c>
      <c r="S2104">
        <v>36</v>
      </c>
      <c r="T2104">
        <v>0</v>
      </c>
      <c r="U2104">
        <v>1</v>
      </c>
      <c r="V2104">
        <v>0</v>
      </c>
    </row>
    <row r="2105" spans="1:22">
      <c r="A2105" t="s">
        <v>2213</v>
      </c>
      <c r="B2105" s="3">
        <v>46203</v>
      </c>
      <c r="C2105" t="s">
        <v>105</v>
      </c>
      <c r="D2105" t="s">
        <v>108</v>
      </c>
      <c r="E2105" t="s">
        <v>16</v>
      </c>
      <c r="F2105" t="s">
        <v>35</v>
      </c>
      <c r="G2105" t="s">
        <v>32</v>
      </c>
      <c r="H2105" t="s">
        <v>19</v>
      </c>
      <c r="I2105" t="s">
        <v>20</v>
      </c>
      <c r="J2105">
        <v>300</v>
      </c>
      <c r="S2105">
        <v>9</v>
      </c>
      <c r="T2105">
        <v>0</v>
      </c>
      <c r="U2105">
        <v>0</v>
      </c>
      <c r="V2105">
        <v>0</v>
      </c>
    </row>
    <row r="2106" spans="1:22">
      <c r="A2106" t="s">
        <v>2214</v>
      </c>
      <c r="B2106" s="3">
        <v>46203</v>
      </c>
      <c r="C2106" t="s">
        <v>105</v>
      </c>
      <c r="D2106" t="s">
        <v>116</v>
      </c>
      <c r="E2106" t="s">
        <v>16</v>
      </c>
      <c r="F2106" t="s">
        <v>17</v>
      </c>
      <c r="G2106" t="s">
        <v>18</v>
      </c>
      <c r="H2106" t="s">
        <v>19</v>
      </c>
      <c r="I2106" t="s">
        <v>20</v>
      </c>
      <c r="J2106">
        <v>200</v>
      </c>
      <c r="S2106">
        <v>20</v>
      </c>
      <c r="T2106">
        <v>0</v>
      </c>
      <c r="U2106">
        <v>1</v>
      </c>
      <c r="V2106">
        <v>0</v>
      </c>
    </row>
    <row r="2107" spans="1:22">
      <c r="A2107" t="s">
        <v>2215</v>
      </c>
      <c r="B2107" s="3">
        <v>46203</v>
      </c>
      <c r="C2107" t="s">
        <v>105</v>
      </c>
      <c r="D2107" t="s">
        <v>191</v>
      </c>
      <c r="E2107" t="s">
        <v>16</v>
      </c>
      <c r="F2107" t="s">
        <v>35</v>
      </c>
      <c r="G2107" t="s">
        <v>18</v>
      </c>
      <c r="H2107" t="s">
        <v>19</v>
      </c>
      <c r="I2107" t="s">
        <v>20</v>
      </c>
      <c r="J2107">
        <v>200</v>
      </c>
      <c r="S2107">
        <v>6</v>
      </c>
      <c r="T2107">
        <v>0</v>
      </c>
      <c r="U2107">
        <v>0</v>
      </c>
      <c r="V2107">
        <v>0</v>
      </c>
    </row>
    <row r="2108" spans="1:22">
      <c r="A2108" t="s">
        <v>2216</v>
      </c>
      <c r="B2108" s="3">
        <v>46203</v>
      </c>
      <c r="C2108" t="s">
        <v>105</v>
      </c>
      <c r="D2108" t="s">
        <v>112</v>
      </c>
      <c r="E2108" t="s">
        <v>16</v>
      </c>
      <c r="F2108" t="s">
        <v>17</v>
      </c>
      <c r="G2108" t="s">
        <v>32</v>
      </c>
      <c r="H2108" t="s">
        <v>19</v>
      </c>
      <c r="I2108" t="s">
        <v>20</v>
      </c>
      <c r="J2108">
        <v>300</v>
      </c>
      <c r="S2108">
        <v>36</v>
      </c>
      <c r="T2108">
        <v>0</v>
      </c>
      <c r="U2108">
        <v>1</v>
      </c>
      <c r="V2108">
        <v>0</v>
      </c>
    </row>
    <row r="2109" spans="1:22">
      <c r="A2109" t="s">
        <v>2217</v>
      </c>
      <c r="B2109" s="3">
        <v>46203</v>
      </c>
      <c r="C2109" t="s">
        <v>105</v>
      </c>
      <c r="D2109" t="s">
        <v>110</v>
      </c>
      <c r="E2109" t="s">
        <v>16</v>
      </c>
      <c r="F2109" t="s">
        <v>17</v>
      </c>
      <c r="G2109" t="s">
        <v>32</v>
      </c>
      <c r="H2109" t="s">
        <v>19</v>
      </c>
      <c r="I2109" t="s">
        <v>20</v>
      </c>
      <c r="J2109">
        <v>300</v>
      </c>
      <c r="S2109">
        <v>36</v>
      </c>
      <c r="T2109">
        <v>0</v>
      </c>
      <c r="U2109">
        <v>1</v>
      </c>
      <c r="V2109">
        <v>0</v>
      </c>
    </row>
    <row r="2110" spans="1:22">
      <c r="A2110" t="s">
        <v>2218</v>
      </c>
      <c r="B2110" s="3">
        <v>46203</v>
      </c>
      <c r="C2110" t="s">
        <v>105</v>
      </c>
      <c r="D2110" t="s">
        <v>182</v>
      </c>
      <c r="E2110" t="s">
        <v>16</v>
      </c>
      <c r="F2110" t="s">
        <v>35</v>
      </c>
      <c r="G2110" t="s">
        <v>18</v>
      </c>
      <c r="H2110" t="s">
        <v>24</v>
      </c>
      <c r="I2110" t="s">
        <v>20</v>
      </c>
      <c r="J2110">
        <v>200</v>
      </c>
      <c r="S2110">
        <v>0</v>
      </c>
      <c r="T2110">
        <v>0</v>
      </c>
      <c r="U2110">
        <v>0</v>
      </c>
      <c r="V2110">
        <v>0</v>
      </c>
    </row>
    <row r="2111" spans="1:22">
      <c r="A2111" t="s">
        <v>2219</v>
      </c>
      <c r="B2111" s="3">
        <v>46203</v>
      </c>
      <c r="C2111" t="s">
        <v>105</v>
      </c>
      <c r="D2111" t="s">
        <v>265</v>
      </c>
      <c r="E2111" t="s">
        <v>16</v>
      </c>
      <c r="F2111" t="s">
        <v>17</v>
      </c>
      <c r="G2111" t="s">
        <v>18</v>
      </c>
      <c r="H2111" t="s">
        <v>19</v>
      </c>
      <c r="I2111" t="s">
        <v>20</v>
      </c>
      <c r="J2111">
        <v>200</v>
      </c>
      <c r="S2111">
        <v>20</v>
      </c>
      <c r="T2111">
        <v>0</v>
      </c>
      <c r="U2111">
        <v>1</v>
      </c>
      <c r="V2111">
        <v>0</v>
      </c>
    </row>
    <row r="2112" spans="1:22">
      <c r="A2112" t="s">
        <v>2220</v>
      </c>
      <c r="B2112" s="3">
        <v>46203</v>
      </c>
      <c r="C2112" t="s">
        <v>105</v>
      </c>
      <c r="D2112" t="s">
        <v>182</v>
      </c>
      <c r="E2112" t="s">
        <v>16</v>
      </c>
      <c r="F2112" t="s">
        <v>17</v>
      </c>
      <c r="G2112" t="s">
        <v>23</v>
      </c>
      <c r="H2112" t="s">
        <v>19</v>
      </c>
      <c r="I2112" t="s">
        <v>20</v>
      </c>
      <c r="J2112">
        <v>120</v>
      </c>
      <c r="S2112">
        <v>9.6</v>
      </c>
      <c r="T2112">
        <v>0</v>
      </c>
      <c r="U2112">
        <v>1</v>
      </c>
      <c r="V2112">
        <v>0</v>
      </c>
    </row>
    <row r="2113" spans="1:22">
      <c r="A2113" t="s">
        <v>2221</v>
      </c>
      <c r="B2113" s="3">
        <v>46203</v>
      </c>
      <c r="C2113" t="s">
        <v>105</v>
      </c>
      <c r="D2113" t="s">
        <v>116</v>
      </c>
      <c r="E2113" t="s">
        <v>16</v>
      </c>
      <c r="F2113" t="s">
        <v>17</v>
      </c>
      <c r="G2113" t="s">
        <v>32</v>
      </c>
      <c r="H2113" t="s">
        <v>19</v>
      </c>
      <c r="I2113" t="s">
        <v>20</v>
      </c>
      <c r="J2113">
        <v>255</v>
      </c>
      <c r="L2113" t="s">
        <v>29</v>
      </c>
      <c r="S2113">
        <v>30.6</v>
      </c>
      <c r="T2113">
        <v>0</v>
      </c>
      <c r="U2113">
        <v>1</v>
      </c>
      <c r="V2113">
        <v>0</v>
      </c>
    </row>
    <row r="2114" spans="1:22">
      <c r="A2114" t="s">
        <v>2222</v>
      </c>
      <c r="B2114" s="3">
        <v>46203</v>
      </c>
      <c r="C2114" t="s">
        <v>105</v>
      </c>
      <c r="D2114" t="s">
        <v>191</v>
      </c>
      <c r="E2114" t="s">
        <v>16</v>
      </c>
      <c r="F2114" t="s">
        <v>17</v>
      </c>
      <c r="G2114" t="s">
        <v>32</v>
      </c>
      <c r="H2114" t="s">
        <v>19</v>
      </c>
      <c r="I2114" t="s">
        <v>20</v>
      </c>
      <c r="J2114">
        <v>300</v>
      </c>
      <c r="S2114">
        <v>36</v>
      </c>
      <c r="T2114">
        <v>0</v>
      </c>
      <c r="U2114">
        <v>1</v>
      </c>
      <c r="V2114">
        <v>0</v>
      </c>
    </row>
    <row r="2115" spans="1:22">
      <c r="A2115" t="s">
        <v>2223</v>
      </c>
      <c r="B2115" s="3">
        <v>46203</v>
      </c>
      <c r="C2115" t="s">
        <v>105</v>
      </c>
      <c r="D2115" t="s">
        <v>120</v>
      </c>
      <c r="E2115" t="s">
        <v>16</v>
      </c>
      <c r="F2115" t="s">
        <v>17</v>
      </c>
      <c r="G2115" t="s">
        <v>18</v>
      </c>
      <c r="H2115" t="s">
        <v>24</v>
      </c>
      <c r="I2115" t="s">
        <v>74</v>
      </c>
      <c r="J2115">
        <v>200</v>
      </c>
      <c r="S2115">
        <v>0</v>
      </c>
      <c r="T2115">
        <v>0</v>
      </c>
      <c r="U2115">
        <v>0</v>
      </c>
      <c r="V2115">
        <v>0</v>
      </c>
    </row>
    <row r="2116" spans="1:22">
      <c r="A2116" t="s">
        <v>2224</v>
      </c>
      <c r="B2116" s="3">
        <v>46203</v>
      </c>
      <c r="C2116" t="s">
        <v>105</v>
      </c>
      <c r="D2116" t="s">
        <v>108</v>
      </c>
      <c r="E2116" t="s">
        <v>16</v>
      </c>
      <c r="F2116" t="s">
        <v>17</v>
      </c>
      <c r="G2116" t="s">
        <v>32</v>
      </c>
      <c r="H2116" t="s">
        <v>19</v>
      </c>
      <c r="I2116" t="s">
        <v>20</v>
      </c>
      <c r="J2116">
        <v>300</v>
      </c>
      <c r="S2116">
        <v>36</v>
      </c>
      <c r="T2116">
        <v>0</v>
      </c>
      <c r="U2116">
        <v>1</v>
      </c>
      <c r="V211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8B1F-ABD5-49E1-8F5F-4ADE27F5F744}">
  <dimension ref="A1:H50"/>
  <sheetViews>
    <sheetView topLeftCell="A10" workbookViewId="0">
      <selection activeCell="J16" sqref="J16"/>
    </sheetView>
  </sheetViews>
  <sheetFormatPr defaultRowHeight="13.8"/>
  <cols>
    <col min="1" max="1" width="12.09765625" bestFit="1" customWidth="1"/>
    <col min="2" max="2" width="21.59765625" style="2" bestFit="1" customWidth="1"/>
    <col min="3" max="3" width="16.09765625" style="2" bestFit="1" customWidth="1"/>
    <col min="4" max="4" width="17.296875" style="2" hidden="1" customWidth="1"/>
    <col min="5" max="5" width="20.59765625" style="2" hidden="1" customWidth="1"/>
    <col min="6" max="6" width="15" style="2" bestFit="1" customWidth="1"/>
    <col min="7" max="7" width="7.8984375" style="2" bestFit="1" customWidth="1"/>
    <col min="8" max="8" width="12.19921875" style="2" bestFit="1" customWidth="1"/>
  </cols>
  <sheetData>
    <row r="1" spans="1:8">
      <c r="A1" s="5" t="s">
        <v>2244</v>
      </c>
      <c r="B1" s="6" t="s">
        <v>2243</v>
      </c>
      <c r="C1" s="6" t="s">
        <v>2245</v>
      </c>
      <c r="D1" s="6" t="s">
        <v>2246</v>
      </c>
      <c r="E1" s="6" t="s">
        <v>2247</v>
      </c>
      <c r="F1" s="6" t="s">
        <v>2248</v>
      </c>
      <c r="G1" s="6" t="s">
        <v>2249</v>
      </c>
      <c r="H1" s="6" t="s">
        <v>2250</v>
      </c>
    </row>
    <row r="2" spans="1:8">
      <c r="A2" t="str" cm="1">
        <f t="array" ref="A2:A49">_xlfn._xlws.SORT(_xlfn.UNIQUE(transaction_clean[associate_id]))</f>
        <v>A001</v>
      </c>
      <c r="B2" s="2">
        <f>ROUND(SUMIFS(transaction_clean[sale_incentive], transaction_clean[associate_id], A2), 2)</f>
        <v>667.3</v>
      </c>
      <c r="C2" s="2">
        <f>ROUND(SUMIFS(transaction_clean[refund_reversal], transaction_clean[orig_associate_id], A2), 2)</f>
        <v>0</v>
      </c>
      <c r="D2" s="2">
        <f>SUMIFS(transaction_clean[is_new_desk_sale], transaction_clean[associate_id], A2)</f>
        <v>28</v>
      </c>
      <c r="E2" s="2">
        <f>SUMIFS(transaction_clean[is_new_desk_refund], transaction_clean[orig_associate_id], A2)</f>
        <v>0</v>
      </c>
      <c r="F2" s="2">
        <f>D2-E2</f>
        <v>28</v>
      </c>
      <c r="G2" s="2">
        <f xml:space="preserve"> IF(F2 &gt;= 25, 75, 0)</f>
        <v>75</v>
      </c>
      <c r="H2" s="2">
        <f>MAX(0, B2-C2+G2)</f>
        <v>742.3</v>
      </c>
    </row>
    <row r="3" spans="1:8">
      <c r="A3" t="str">
        <v>A002</v>
      </c>
      <c r="B3" s="2">
        <f>ROUND(SUMIFS(transaction_clean[sale_incentive], transaction_clean[associate_id], A3), 2)</f>
        <v>665.02</v>
      </c>
      <c r="C3" s="2">
        <f>ROUND(SUMIFS(transaction_clean[refund_reversal], transaction_clean[orig_associate_id], A3), 2)</f>
        <v>0</v>
      </c>
      <c r="D3" s="2">
        <f>SUMIFS(transaction_clean[is_new_desk_sale], transaction_clean[associate_id], A3)</f>
        <v>30</v>
      </c>
      <c r="E3" s="2">
        <f>SUMIFS(transaction_clean[is_new_desk_refund], transaction_clean[orig_associate_id], A3)</f>
        <v>0</v>
      </c>
      <c r="F3" s="2">
        <f t="shared" ref="F3:F49" si="0">D3-E3</f>
        <v>30</v>
      </c>
      <c r="G3" s="2">
        <f t="shared" ref="G3:G49" si="1" xml:space="preserve"> IF(F3 &gt;= 25, 75, 0)</f>
        <v>75</v>
      </c>
      <c r="H3" s="2">
        <f t="shared" ref="H3:H48" si="2">MAX(0, B3-C3+G3)</f>
        <v>740.02</v>
      </c>
    </row>
    <row r="4" spans="1:8">
      <c r="A4" t="str">
        <v>A003</v>
      </c>
      <c r="B4" s="2">
        <f>ROUND(SUMIFS(transaction_clean[sale_incentive], transaction_clean[associate_id], A4), 2)</f>
        <v>693.4</v>
      </c>
      <c r="C4" s="2">
        <f>ROUND(SUMIFS(transaction_clean[refund_reversal], transaction_clean[orig_associate_id], A4), 2)</f>
        <v>0</v>
      </c>
      <c r="D4" s="2">
        <f>SUMIFS(transaction_clean[is_new_desk_sale], transaction_clean[associate_id], A4)</f>
        <v>30</v>
      </c>
      <c r="E4" s="2">
        <f>SUMIFS(transaction_clean[is_new_desk_refund], transaction_clean[orig_associate_id], A4)</f>
        <v>0</v>
      </c>
      <c r="F4" s="2">
        <f t="shared" si="0"/>
        <v>30</v>
      </c>
      <c r="G4" s="2">
        <f t="shared" si="1"/>
        <v>75</v>
      </c>
      <c r="H4" s="2">
        <f t="shared" si="2"/>
        <v>768.4</v>
      </c>
    </row>
    <row r="5" spans="1:8">
      <c r="A5" t="str">
        <v>A004</v>
      </c>
      <c r="B5" s="2">
        <f>ROUND(SUMIFS(transaction_clean[sale_incentive], transaction_clean[associate_id], A5), 2)</f>
        <v>786.66</v>
      </c>
      <c r="C5" s="2">
        <f>ROUND(SUMIFS(transaction_clean[refund_reversal], transaction_clean[orig_associate_id], A5), 2)</f>
        <v>0</v>
      </c>
      <c r="D5" s="2">
        <f>SUMIFS(transaction_clean[is_new_desk_sale], transaction_clean[associate_id], A5)</f>
        <v>33</v>
      </c>
      <c r="E5" s="2">
        <f>SUMIFS(transaction_clean[is_new_desk_refund], transaction_clean[orig_associate_id], A5)</f>
        <v>0</v>
      </c>
      <c r="F5" s="2">
        <f t="shared" si="0"/>
        <v>33</v>
      </c>
      <c r="G5" s="2">
        <f t="shared" si="1"/>
        <v>75</v>
      </c>
      <c r="H5" s="2">
        <f t="shared" si="2"/>
        <v>861.66</v>
      </c>
    </row>
    <row r="6" spans="1:8">
      <c r="A6" t="str">
        <v>A005</v>
      </c>
      <c r="B6" s="2">
        <f>ROUND(SUMIFS(transaction_clean[sale_incentive], transaction_clean[associate_id], A6), 2)</f>
        <v>636.11</v>
      </c>
      <c r="C6" s="2">
        <f>ROUND(SUMIFS(transaction_clean[refund_reversal], transaction_clean[orig_associate_id], A6), 2)</f>
        <v>0</v>
      </c>
      <c r="D6" s="2">
        <f>SUMIFS(transaction_clean[is_new_desk_sale], transaction_clean[associate_id], A6)</f>
        <v>24</v>
      </c>
      <c r="E6" s="2">
        <f>SUMIFS(transaction_clean[is_new_desk_refund], transaction_clean[orig_associate_id], A6)</f>
        <v>0</v>
      </c>
      <c r="F6" s="2">
        <f t="shared" si="0"/>
        <v>24</v>
      </c>
      <c r="G6" s="2">
        <f t="shared" si="1"/>
        <v>0</v>
      </c>
      <c r="H6" s="2">
        <f t="shared" si="2"/>
        <v>636.11</v>
      </c>
    </row>
    <row r="7" spans="1:8">
      <c r="A7" t="str">
        <v>A006</v>
      </c>
      <c r="B7" s="2">
        <f>ROUND(SUMIFS(transaction_clean[sale_incentive], transaction_clean[associate_id], A7), 2)</f>
        <v>566.5</v>
      </c>
      <c r="C7" s="2">
        <f>ROUND(SUMIFS(transaction_clean[refund_reversal], transaction_clean[orig_associate_id], A7), 2)</f>
        <v>0</v>
      </c>
      <c r="D7" s="2">
        <f>SUMIFS(transaction_clean[is_new_desk_sale], transaction_clean[associate_id], A7)</f>
        <v>25</v>
      </c>
      <c r="E7" s="2">
        <f>SUMIFS(transaction_clean[is_new_desk_refund], transaction_clean[orig_associate_id], A7)</f>
        <v>0</v>
      </c>
      <c r="F7" s="2">
        <f t="shared" si="0"/>
        <v>25</v>
      </c>
      <c r="G7" s="2">
        <f t="shared" si="1"/>
        <v>75</v>
      </c>
      <c r="H7" s="2">
        <f t="shared" si="2"/>
        <v>641.5</v>
      </c>
    </row>
    <row r="8" spans="1:8">
      <c r="A8" t="str">
        <v>A007</v>
      </c>
      <c r="B8" s="2">
        <f>ROUND(SUMIFS(transaction_clean[sale_incentive], transaction_clean[associate_id], A8), 2)</f>
        <v>950.12</v>
      </c>
      <c r="C8" s="2">
        <f>ROUND(SUMIFS(transaction_clean[refund_reversal], transaction_clean[orig_associate_id], A8), 2)</f>
        <v>0</v>
      </c>
      <c r="D8" s="2">
        <f>SUMIFS(transaction_clean[is_new_desk_sale], transaction_clean[associate_id], A8)</f>
        <v>44</v>
      </c>
      <c r="E8" s="2">
        <f>SUMIFS(transaction_clean[is_new_desk_refund], transaction_clean[orig_associate_id], A8)</f>
        <v>0</v>
      </c>
      <c r="F8" s="2">
        <f t="shared" si="0"/>
        <v>44</v>
      </c>
      <c r="G8" s="2">
        <f t="shared" si="1"/>
        <v>75</v>
      </c>
      <c r="H8" s="2">
        <f t="shared" si="2"/>
        <v>1025.1199999999999</v>
      </c>
    </row>
    <row r="9" spans="1:8">
      <c r="A9" t="str">
        <v>A008</v>
      </c>
      <c r="B9" s="2">
        <f>ROUND(SUMIFS(transaction_clean[sale_incentive], transaction_clean[associate_id], A9), 2)</f>
        <v>399.92</v>
      </c>
      <c r="C9" s="2">
        <f>ROUND(SUMIFS(transaction_clean[refund_reversal], transaction_clean[orig_associate_id], A9), 2)</f>
        <v>9.6</v>
      </c>
      <c r="D9" s="2">
        <f>SUMIFS(transaction_clean[is_new_desk_sale], transaction_clean[associate_id], A9)</f>
        <v>20</v>
      </c>
      <c r="E9" s="2">
        <f>SUMIFS(transaction_clean[is_new_desk_refund], transaction_clean[orig_associate_id], A9)</f>
        <v>1</v>
      </c>
      <c r="F9" s="2">
        <f t="shared" si="0"/>
        <v>19</v>
      </c>
      <c r="G9" s="2">
        <f t="shared" si="1"/>
        <v>0</v>
      </c>
      <c r="H9" s="2">
        <f t="shared" si="2"/>
        <v>390.32</v>
      </c>
    </row>
    <row r="10" spans="1:8">
      <c r="A10" t="str">
        <v>A009</v>
      </c>
      <c r="B10" s="2">
        <f>ROUND(SUMIFS(transaction_clean[sale_incentive], transaction_clean[associate_id], A10), 2)</f>
        <v>617.46</v>
      </c>
      <c r="C10" s="2">
        <f>ROUND(SUMIFS(transaction_clean[refund_reversal], transaction_clean[orig_associate_id], A10), 2)</f>
        <v>3.6</v>
      </c>
      <c r="D10" s="2">
        <f>SUMIFS(transaction_clean[is_new_desk_sale], transaction_clean[associate_id], A10)</f>
        <v>28</v>
      </c>
      <c r="E10" s="2">
        <f>SUMIFS(transaction_clean[is_new_desk_refund], transaction_clean[orig_associate_id], A10)</f>
        <v>0</v>
      </c>
      <c r="F10" s="2">
        <f t="shared" si="0"/>
        <v>28</v>
      </c>
      <c r="G10" s="2">
        <f t="shared" si="1"/>
        <v>75</v>
      </c>
      <c r="H10" s="2">
        <f t="shared" si="2"/>
        <v>688.86</v>
      </c>
    </row>
    <row r="11" spans="1:8">
      <c r="A11" t="str">
        <v>A010</v>
      </c>
      <c r="B11" s="2">
        <f>ROUND(SUMIFS(transaction_clean[sale_incentive], transaction_clean[associate_id], A11), 2)</f>
        <v>834.96</v>
      </c>
      <c r="C11" s="2">
        <f>ROUND(SUMIFS(transaction_clean[refund_reversal], transaction_clean[orig_associate_id], A11), 2)</f>
        <v>6</v>
      </c>
      <c r="D11" s="2">
        <f>SUMIFS(transaction_clean[is_new_desk_sale], transaction_clean[associate_id], A11)</f>
        <v>31</v>
      </c>
      <c r="E11" s="2">
        <f>SUMIFS(transaction_clean[is_new_desk_refund], transaction_clean[orig_associate_id], A11)</f>
        <v>0</v>
      </c>
      <c r="F11" s="2">
        <f t="shared" si="0"/>
        <v>31</v>
      </c>
      <c r="G11" s="2">
        <f t="shared" si="1"/>
        <v>75</v>
      </c>
      <c r="H11" s="2">
        <f t="shared" si="2"/>
        <v>903.96</v>
      </c>
    </row>
    <row r="12" spans="1:8">
      <c r="A12" t="str">
        <v>A011</v>
      </c>
      <c r="B12" s="2">
        <f>ROUND(SUMIFS(transaction_clean[sale_incentive], transaction_clean[associate_id], A12), 2)</f>
        <v>406.26</v>
      </c>
      <c r="C12" s="2">
        <f>ROUND(SUMIFS(transaction_clean[refund_reversal], transaction_clean[orig_associate_id], A12), 2)</f>
        <v>45</v>
      </c>
      <c r="D12" s="2">
        <f>SUMIFS(transaction_clean[is_new_desk_sale], transaction_clean[associate_id], A12)</f>
        <v>20</v>
      </c>
      <c r="E12" s="2">
        <f>SUMIFS(transaction_clean[is_new_desk_refund], transaction_clean[orig_associate_id], A12)</f>
        <v>1</v>
      </c>
      <c r="F12" s="2">
        <f t="shared" si="0"/>
        <v>19</v>
      </c>
      <c r="G12" s="2">
        <f t="shared" si="1"/>
        <v>0</v>
      </c>
      <c r="H12" s="2">
        <f t="shared" si="2"/>
        <v>361.26</v>
      </c>
    </row>
    <row r="13" spans="1:8">
      <c r="A13" t="str">
        <v>A012</v>
      </c>
      <c r="B13" s="2">
        <f>ROUND(SUMIFS(transaction_clean[sale_incentive], transaction_clean[associate_id], A13), 2)</f>
        <v>737.86</v>
      </c>
      <c r="C13" s="2">
        <f>ROUND(SUMIFS(transaction_clean[refund_reversal], transaction_clean[orig_associate_id], A13), 2)</f>
        <v>48</v>
      </c>
      <c r="D13" s="2">
        <f>SUMIFS(transaction_clean[is_new_desk_sale], transaction_clean[associate_id], A13)</f>
        <v>32</v>
      </c>
      <c r="E13" s="2">
        <f>SUMIFS(transaction_clean[is_new_desk_refund], transaction_clean[orig_associate_id], A13)</f>
        <v>1</v>
      </c>
      <c r="F13" s="2">
        <f t="shared" si="0"/>
        <v>31</v>
      </c>
      <c r="G13" s="2">
        <f t="shared" si="1"/>
        <v>75</v>
      </c>
      <c r="H13" s="2">
        <f t="shared" si="2"/>
        <v>764.86</v>
      </c>
    </row>
    <row r="14" spans="1:8">
      <c r="A14" t="str">
        <v>A013</v>
      </c>
      <c r="B14" s="2">
        <f>ROUND(SUMIFS(transaction_clean[sale_incentive], transaction_clean[associate_id], A14), 2)</f>
        <v>447.6</v>
      </c>
      <c r="C14" s="2">
        <f>ROUND(SUMIFS(transaction_clean[refund_reversal], transaction_clean[orig_associate_id], A14), 2)</f>
        <v>55.2</v>
      </c>
      <c r="D14" s="2">
        <f>SUMIFS(transaction_clean[is_new_desk_sale], transaction_clean[associate_id], A14)</f>
        <v>22</v>
      </c>
      <c r="E14" s="2">
        <f>SUMIFS(transaction_clean[is_new_desk_refund], transaction_clean[orig_associate_id], A14)</f>
        <v>3</v>
      </c>
      <c r="F14" s="2">
        <f t="shared" si="0"/>
        <v>19</v>
      </c>
      <c r="G14" s="2">
        <f t="shared" si="1"/>
        <v>0</v>
      </c>
      <c r="H14" s="2">
        <f t="shared" si="2"/>
        <v>392.40000000000003</v>
      </c>
    </row>
    <row r="15" spans="1:8">
      <c r="A15" t="str">
        <v>A014</v>
      </c>
      <c r="B15" s="2">
        <f>ROUND(SUMIFS(transaction_clean[sale_incentive], transaction_clean[associate_id], A15), 2)</f>
        <v>670.7</v>
      </c>
      <c r="C15" s="2">
        <f>ROUND(SUMIFS(transaction_clean[refund_reversal], transaction_clean[orig_associate_id], A15), 2)</f>
        <v>29.6</v>
      </c>
      <c r="D15" s="2">
        <f>SUMIFS(transaction_clean[is_new_desk_sale], transaction_clean[associate_id], A15)</f>
        <v>28</v>
      </c>
      <c r="E15" s="2">
        <f>SUMIFS(transaction_clean[is_new_desk_refund], transaction_clean[orig_associate_id], A15)</f>
        <v>2</v>
      </c>
      <c r="F15" s="2">
        <f t="shared" si="0"/>
        <v>26</v>
      </c>
      <c r="G15" s="2">
        <f t="shared" si="1"/>
        <v>75</v>
      </c>
      <c r="H15" s="2">
        <f t="shared" si="2"/>
        <v>716.1</v>
      </c>
    </row>
    <row r="16" spans="1:8">
      <c r="A16" t="str">
        <v>A015</v>
      </c>
      <c r="B16" s="2">
        <f>ROUND(SUMIFS(transaction_clean[sale_incentive], transaction_clean[associate_id], A16), 2)</f>
        <v>659.22</v>
      </c>
      <c r="C16" s="2">
        <f>ROUND(SUMIFS(transaction_clean[refund_reversal], transaction_clean[orig_associate_id], A16), 2)</f>
        <v>54.6</v>
      </c>
      <c r="D16" s="2">
        <f>SUMIFS(transaction_clean[is_new_desk_sale], transaction_clean[associate_id], A16)</f>
        <v>33</v>
      </c>
      <c r="E16" s="2">
        <f>SUMIFS(transaction_clean[is_new_desk_refund], transaction_clean[orig_associate_id], A16)</f>
        <v>2</v>
      </c>
      <c r="F16" s="2">
        <f t="shared" si="0"/>
        <v>31</v>
      </c>
      <c r="G16" s="2">
        <f t="shared" si="1"/>
        <v>75</v>
      </c>
      <c r="H16" s="2">
        <f t="shared" si="2"/>
        <v>679.62</v>
      </c>
    </row>
    <row r="17" spans="1:8">
      <c r="A17" t="str">
        <v>A016</v>
      </c>
      <c r="B17" s="2">
        <f>ROUND(SUMIFS(transaction_clean[sale_incentive], transaction_clean[associate_id], A17), 2)</f>
        <v>699.36</v>
      </c>
      <c r="C17" s="2">
        <f>ROUND(SUMIFS(transaction_clean[refund_reversal], transaction_clean[orig_associate_id], A17), 2)</f>
        <v>0</v>
      </c>
      <c r="D17" s="2">
        <f>SUMIFS(transaction_clean[is_new_desk_sale], transaction_clean[associate_id], A17)</f>
        <v>29</v>
      </c>
      <c r="E17" s="2">
        <f>SUMIFS(transaction_clean[is_new_desk_refund], transaction_clean[orig_associate_id], A17)</f>
        <v>0</v>
      </c>
      <c r="F17" s="2">
        <f t="shared" si="0"/>
        <v>29</v>
      </c>
      <c r="G17" s="2">
        <f t="shared" si="1"/>
        <v>75</v>
      </c>
      <c r="H17" s="2">
        <f t="shared" si="2"/>
        <v>774.36</v>
      </c>
    </row>
    <row r="18" spans="1:8">
      <c r="A18" t="str">
        <v>A017</v>
      </c>
      <c r="B18" s="2">
        <f>ROUND(SUMIFS(transaction_clean[sale_incentive], transaction_clean[associate_id], A18), 2)</f>
        <v>530.97</v>
      </c>
      <c r="C18" s="2">
        <f>ROUND(SUMIFS(transaction_clean[refund_reversal], transaction_clean[orig_associate_id], A18), 2)</f>
        <v>0</v>
      </c>
      <c r="D18" s="2">
        <f>SUMIFS(transaction_clean[is_new_desk_sale], transaction_clean[associate_id], A18)</f>
        <v>24</v>
      </c>
      <c r="E18" s="2">
        <f>SUMIFS(transaction_clean[is_new_desk_refund], transaction_clean[orig_associate_id], A18)</f>
        <v>0</v>
      </c>
      <c r="F18" s="2">
        <f t="shared" si="0"/>
        <v>24</v>
      </c>
      <c r="G18" s="2">
        <f t="shared" si="1"/>
        <v>0</v>
      </c>
      <c r="H18" s="2">
        <f t="shared" si="2"/>
        <v>530.97</v>
      </c>
    </row>
    <row r="19" spans="1:8">
      <c r="A19" t="str">
        <v>A018</v>
      </c>
      <c r="B19" s="2">
        <f>ROUND(SUMIFS(transaction_clean[sale_incentive], transaction_clean[associate_id], A19), 2)</f>
        <v>658.9</v>
      </c>
      <c r="C19" s="2">
        <f>ROUND(SUMIFS(transaction_clean[refund_reversal], transaction_clean[orig_associate_id], A19), 2)</f>
        <v>29.6</v>
      </c>
      <c r="D19" s="2">
        <f>SUMIFS(transaction_clean[is_new_desk_sale], transaction_clean[associate_id], A19)</f>
        <v>28</v>
      </c>
      <c r="E19" s="2">
        <f>SUMIFS(transaction_clean[is_new_desk_refund], transaction_clean[orig_associate_id], A19)</f>
        <v>2</v>
      </c>
      <c r="F19" s="2">
        <f t="shared" si="0"/>
        <v>26</v>
      </c>
      <c r="G19" s="2">
        <f t="shared" si="1"/>
        <v>75</v>
      </c>
      <c r="H19" s="2">
        <f t="shared" si="2"/>
        <v>704.3</v>
      </c>
    </row>
    <row r="20" spans="1:8">
      <c r="A20" t="str">
        <v>A019</v>
      </c>
      <c r="B20" s="2">
        <f>ROUND(SUMIFS(transaction_clean[sale_incentive], transaction_clean[associate_id], A20), 2)</f>
        <v>873.35</v>
      </c>
      <c r="C20" s="2">
        <f>ROUND(SUMIFS(transaction_clean[refund_reversal], transaction_clean[orig_associate_id], A20), 2)</f>
        <v>0</v>
      </c>
      <c r="D20" s="2">
        <f>SUMIFS(transaction_clean[is_new_desk_sale], transaction_clean[associate_id], A20)</f>
        <v>34</v>
      </c>
      <c r="E20" s="2">
        <f>SUMIFS(transaction_clean[is_new_desk_refund], transaction_clean[orig_associate_id], A20)</f>
        <v>0</v>
      </c>
      <c r="F20" s="2">
        <f t="shared" si="0"/>
        <v>34</v>
      </c>
      <c r="G20" s="2">
        <f t="shared" si="1"/>
        <v>75</v>
      </c>
      <c r="H20" s="2">
        <f t="shared" si="2"/>
        <v>948.35</v>
      </c>
    </row>
    <row r="21" spans="1:8">
      <c r="A21" t="str">
        <v>A020</v>
      </c>
      <c r="B21" s="2">
        <f>ROUND(SUMIFS(transaction_clean[sale_incentive], transaction_clean[associate_id], A21), 2)</f>
        <v>704.9</v>
      </c>
      <c r="C21" s="2">
        <f>ROUND(SUMIFS(transaction_clean[refund_reversal], transaction_clean[orig_associate_id], A21), 2)</f>
        <v>36</v>
      </c>
      <c r="D21" s="2">
        <f>SUMIFS(transaction_clean[is_new_desk_sale], transaction_clean[associate_id], A21)</f>
        <v>27</v>
      </c>
      <c r="E21" s="2">
        <f>SUMIFS(transaction_clean[is_new_desk_refund], transaction_clean[orig_associate_id], A21)</f>
        <v>1</v>
      </c>
      <c r="F21" s="2">
        <f t="shared" si="0"/>
        <v>26</v>
      </c>
      <c r="G21" s="2">
        <f t="shared" si="1"/>
        <v>75</v>
      </c>
      <c r="H21" s="2">
        <f t="shared" si="2"/>
        <v>743.9</v>
      </c>
    </row>
    <row r="22" spans="1:8">
      <c r="A22" t="str">
        <v>A021</v>
      </c>
      <c r="B22" s="2">
        <f>ROUND(SUMIFS(transaction_clean[sale_incentive], transaction_clean[associate_id], A22), 2)</f>
        <v>585.55999999999995</v>
      </c>
      <c r="C22" s="2">
        <f>ROUND(SUMIFS(transaction_clean[refund_reversal], transaction_clean[orig_associate_id], A22), 2)</f>
        <v>9</v>
      </c>
      <c r="D22" s="2">
        <f>SUMIFS(transaction_clean[is_new_desk_sale], transaction_clean[associate_id], A22)</f>
        <v>24</v>
      </c>
      <c r="E22" s="2">
        <f>SUMIFS(transaction_clean[is_new_desk_refund], transaction_clean[orig_associate_id], A22)</f>
        <v>0</v>
      </c>
      <c r="F22" s="2">
        <f t="shared" si="0"/>
        <v>24</v>
      </c>
      <c r="G22" s="2">
        <f t="shared" si="1"/>
        <v>0</v>
      </c>
      <c r="H22" s="2">
        <f t="shared" si="2"/>
        <v>576.55999999999995</v>
      </c>
    </row>
    <row r="23" spans="1:8">
      <c r="A23" t="str">
        <v>A022</v>
      </c>
      <c r="B23" s="2">
        <f>ROUND(SUMIFS(transaction_clean[sale_incentive], transaction_clean[associate_id], A23), 2)</f>
        <v>651.58000000000004</v>
      </c>
      <c r="C23" s="2">
        <f>ROUND(SUMIFS(transaction_clean[refund_reversal], transaction_clean[orig_associate_id], A23), 2)</f>
        <v>55.2</v>
      </c>
      <c r="D23" s="2">
        <f>SUMIFS(transaction_clean[is_new_desk_sale], transaction_clean[associate_id], A23)</f>
        <v>32</v>
      </c>
      <c r="E23" s="2">
        <f>SUMIFS(transaction_clean[is_new_desk_refund], transaction_clean[orig_associate_id], A23)</f>
        <v>3</v>
      </c>
      <c r="F23" s="2">
        <f t="shared" si="0"/>
        <v>29</v>
      </c>
      <c r="G23" s="2">
        <f t="shared" si="1"/>
        <v>75</v>
      </c>
      <c r="H23" s="2">
        <f t="shared" si="2"/>
        <v>671.38</v>
      </c>
    </row>
    <row r="24" spans="1:8">
      <c r="A24" t="str">
        <v>A023</v>
      </c>
      <c r="B24" s="2">
        <f>ROUND(SUMIFS(transaction_clean[sale_incentive], transaction_clean[associate_id], A24), 2)</f>
        <v>632.22</v>
      </c>
      <c r="C24" s="2">
        <f>ROUND(SUMIFS(transaction_clean[refund_reversal], transaction_clean[orig_associate_id], A24), 2)</f>
        <v>0</v>
      </c>
      <c r="D24" s="2">
        <f>SUMIFS(transaction_clean[is_new_desk_sale], transaction_clean[associate_id], A24)</f>
        <v>27</v>
      </c>
      <c r="E24" s="2">
        <f>SUMIFS(transaction_clean[is_new_desk_refund], transaction_clean[orig_associate_id], A24)</f>
        <v>0</v>
      </c>
      <c r="F24" s="2">
        <f t="shared" si="0"/>
        <v>27</v>
      </c>
      <c r="G24" s="2">
        <f t="shared" si="1"/>
        <v>75</v>
      </c>
      <c r="H24" s="2">
        <f t="shared" si="2"/>
        <v>707.22</v>
      </c>
    </row>
    <row r="25" spans="1:8">
      <c r="A25" t="str">
        <v>A024</v>
      </c>
      <c r="B25" s="2">
        <f>ROUND(SUMIFS(transaction_clean[sale_incentive], transaction_clean[associate_id], A25), 2)</f>
        <v>690.56</v>
      </c>
      <c r="C25" s="2">
        <f>ROUND(SUMIFS(transaction_clean[refund_reversal], transaction_clean[orig_associate_id], A25), 2)</f>
        <v>9.6</v>
      </c>
      <c r="D25" s="2">
        <f>SUMIFS(transaction_clean[is_new_desk_sale], transaction_clean[associate_id], A25)</f>
        <v>30</v>
      </c>
      <c r="E25" s="2">
        <f>SUMIFS(transaction_clean[is_new_desk_refund], transaction_clean[orig_associate_id], A25)</f>
        <v>1</v>
      </c>
      <c r="F25" s="2">
        <f t="shared" si="0"/>
        <v>29</v>
      </c>
      <c r="G25" s="2">
        <f t="shared" si="1"/>
        <v>75</v>
      </c>
      <c r="H25" s="2">
        <f t="shared" si="2"/>
        <v>755.95999999999992</v>
      </c>
    </row>
    <row r="26" spans="1:8">
      <c r="A26" t="str">
        <v>A025</v>
      </c>
      <c r="B26" s="2">
        <f>ROUND(SUMIFS(transaction_clean[sale_incentive], transaction_clean[associate_id], A26), 2)</f>
        <v>926.25</v>
      </c>
      <c r="C26" s="2">
        <f>ROUND(SUMIFS(transaction_clean[refund_reversal], transaction_clean[orig_associate_id], A26), 2)</f>
        <v>171.6</v>
      </c>
      <c r="D26" s="2">
        <f>SUMIFS(transaction_clean[is_new_desk_sale], transaction_clean[associate_id], A26)</f>
        <v>36</v>
      </c>
      <c r="E26" s="2">
        <f>SUMIFS(transaction_clean[is_new_desk_refund], transaction_clean[orig_associate_id], A26)</f>
        <v>7</v>
      </c>
      <c r="F26" s="2">
        <f t="shared" si="0"/>
        <v>29</v>
      </c>
      <c r="G26" s="2">
        <f t="shared" si="1"/>
        <v>75</v>
      </c>
      <c r="H26" s="2">
        <f t="shared" si="2"/>
        <v>829.65</v>
      </c>
    </row>
    <row r="27" spans="1:8">
      <c r="A27" t="str">
        <v>A026</v>
      </c>
      <c r="B27" s="2">
        <f>ROUND(SUMIFS(transaction_clean[sale_incentive], transaction_clean[associate_id], A27), 2)</f>
        <v>630.76</v>
      </c>
      <c r="C27" s="2">
        <f>ROUND(SUMIFS(transaction_clean[refund_reversal], transaction_clean[orig_associate_id], A27), 2)</f>
        <v>27</v>
      </c>
      <c r="D27" s="2">
        <f>SUMIFS(transaction_clean[is_new_desk_sale], transaction_clean[associate_id], A27)</f>
        <v>26</v>
      </c>
      <c r="E27" s="2">
        <f>SUMIFS(transaction_clean[is_new_desk_refund], transaction_clean[orig_associate_id], A27)</f>
        <v>1</v>
      </c>
      <c r="F27" s="2">
        <f t="shared" si="0"/>
        <v>25</v>
      </c>
      <c r="G27" s="2">
        <f t="shared" si="1"/>
        <v>75</v>
      </c>
      <c r="H27" s="2">
        <f t="shared" si="2"/>
        <v>678.76</v>
      </c>
    </row>
    <row r="28" spans="1:8">
      <c r="A28" t="str">
        <v>A027</v>
      </c>
      <c r="B28" s="2">
        <f>ROUND(SUMIFS(transaction_clean[sale_incentive], transaction_clean[associate_id], A28), 2)</f>
        <v>1090.3</v>
      </c>
      <c r="C28" s="2">
        <f>ROUND(SUMIFS(transaction_clean[refund_reversal], transaction_clean[orig_associate_id], A28), 2)</f>
        <v>265.2</v>
      </c>
      <c r="D28" s="2">
        <f>SUMIFS(transaction_clean[is_new_desk_sale], transaction_clean[associate_id], A28)</f>
        <v>44</v>
      </c>
      <c r="E28" s="2">
        <f>SUMIFS(transaction_clean[is_new_desk_refund], transaction_clean[orig_associate_id], A28)</f>
        <v>11</v>
      </c>
      <c r="F28" s="2">
        <f t="shared" si="0"/>
        <v>33</v>
      </c>
      <c r="G28" s="2">
        <f t="shared" si="1"/>
        <v>75</v>
      </c>
      <c r="H28" s="2">
        <f t="shared" si="2"/>
        <v>900.09999999999991</v>
      </c>
    </row>
    <row r="29" spans="1:8">
      <c r="A29" t="str">
        <v>A028</v>
      </c>
      <c r="B29" s="2">
        <f>ROUND(SUMIFS(transaction_clean[sale_incentive], transaction_clean[associate_id], A29), 2)</f>
        <v>566.55999999999995</v>
      </c>
      <c r="C29" s="2">
        <f>ROUND(SUMIFS(transaction_clean[refund_reversal], transaction_clean[orig_associate_id], A29), 2)</f>
        <v>128</v>
      </c>
      <c r="D29" s="2">
        <f>SUMIFS(transaction_clean[is_new_desk_sale], transaction_clean[associate_id], A29)</f>
        <v>26</v>
      </c>
      <c r="E29" s="2">
        <f>SUMIFS(transaction_clean[is_new_desk_refund], transaction_clean[orig_associate_id], A29)</f>
        <v>5</v>
      </c>
      <c r="F29" s="2">
        <f t="shared" si="0"/>
        <v>21</v>
      </c>
      <c r="G29" s="2">
        <f t="shared" si="1"/>
        <v>0</v>
      </c>
      <c r="H29" s="2">
        <f t="shared" si="2"/>
        <v>438.55999999999995</v>
      </c>
    </row>
    <row r="30" spans="1:8">
      <c r="A30" t="str">
        <v>A029</v>
      </c>
      <c r="B30" s="2">
        <f>ROUND(SUMIFS(transaction_clean[sale_incentive], transaction_clean[associate_id], A30), 2)</f>
        <v>840.66</v>
      </c>
      <c r="C30" s="2">
        <f>ROUND(SUMIFS(transaction_clean[refund_reversal], transaction_clean[orig_associate_id], A30), 2)</f>
        <v>162</v>
      </c>
      <c r="D30" s="2">
        <f>SUMIFS(transaction_clean[is_new_desk_sale], transaction_clean[associate_id], A30)</f>
        <v>40</v>
      </c>
      <c r="E30" s="2">
        <f>SUMIFS(transaction_clean[is_new_desk_refund], transaction_clean[orig_associate_id], A30)</f>
        <v>6</v>
      </c>
      <c r="F30" s="2">
        <f t="shared" si="0"/>
        <v>34</v>
      </c>
      <c r="G30" s="2">
        <f t="shared" si="1"/>
        <v>75</v>
      </c>
      <c r="H30" s="2">
        <f t="shared" si="2"/>
        <v>753.66</v>
      </c>
    </row>
    <row r="31" spans="1:8">
      <c r="A31" t="str">
        <v>A030</v>
      </c>
      <c r="B31" s="2">
        <f>ROUND(SUMIFS(transaction_clean[sale_incentive], transaction_clean[associate_id], A31), 2)</f>
        <v>989.88</v>
      </c>
      <c r="C31" s="2">
        <f>ROUND(SUMIFS(transaction_clean[refund_reversal], transaction_clean[orig_associate_id], A31), 2)</f>
        <v>216</v>
      </c>
      <c r="D31" s="2">
        <f>SUMIFS(transaction_clean[is_new_desk_sale], transaction_clean[associate_id], A31)</f>
        <v>39</v>
      </c>
      <c r="E31" s="2">
        <f>SUMIFS(transaction_clean[is_new_desk_refund], transaction_clean[orig_associate_id], A31)</f>
        <v>8</v>
      </c>
      <c r="F31" s="2">
        <f t="shared" si="0"/>
        <v>31</v>
      </c>
      <c r="G31" s="2">
        <f t="shared" si="1"/>
        <v>75</v>
      </c>
      <c r="H31" s="2">
        <f t="shared" si="2"/>
        <v>848.88</v>
      </c>
    </row>
    <row r="32" spans="1:8">
      <c r="A32" t="str">
        <v>A031</v>
      </c>
      <c r="B32" s="2">
        <f>ROUND(SUMIFS(transaction_clean[sale_incentive], transaction_clean[associate_id], A32), 2)</f>
        <v>769.7</v>
      </c>
      <c r="C32" s="2">
        <f>ROUND(SUMIFS(transaction_clean[refund_reversal], transaction_clean[orig_associate_id], A32), 2)</f>
        <v>110.6</v>
      </c>
      <c r="D32" s="2">
        <f>SUMIFS(transaction_clean[is_new_desk_sale], transaction_clean[associate_id], A32)</f>
        <v>29</v>
      </c>
      <c r="E32" s="2">
        <f>SUMIFS(transaction_clean[is_new_desk_refund], transaction_clean[orig_associate_id], A32)</f>
        <v>5</v>
      </c>
      <c r="F32" s="2">
        <f t="shared" si="0"/>
        <v>24</v>
      </c>
      <c r="G32" s="2">
        <f t="shared" si="1"/>
        <v>0</v>
      </c>
      <c r="H32" s="2">
        <f t="shared" si="2"/>
        <v>659.1</v>
      </c>
    </row>
    <row r="33" spans="1:8">
      <c r="A33" t="str">
        <v>A032</v>
      </c>
      <c r="B33" s="2">
        <f>ROUND(SUMIFS(transaction_clean[sale_incentive], transaction_clean[associate_id], A33), 2)</f>
        <v>923.16</v>
      </c>
      <c r="C33" s="2">
        <f>ROUND(SUMIFS(transaction_clean[refund_reversal], transaction_clean[orig_associate_id], A33), 2)</f>
        <v>162</v>
      </c>
      <c r="D33" s="2">
        <f>SUMIFS(transaction_clean[is_new_desk_sale], transaction_clean[associate_id], A33)</f>
        <v>40</v>
      </c>
      <c r="E33" s="2">
        <f>SUMIFS(transaction_clean[is_new_desk_refund], transaction_clean[orig_associate_id], A33)</f>
        <v>6</v>
      </c>
      <c r="F33" s="2">
        <f t="shared" si="0"/>
        <v>34</v>
      </c>
      <c r="G33" s="2">
        <f t="shared" si="1"/>
        <v>75</v>
      </c>
      <c r="H33" s="2">
        <f t="shared" si="2"/>
        <v>836.16</v>
      </c>
    </row>
    <row r="34" spans="1:8">
      <c r="A34" t="str">
        <v>A033</v>
      </c>
      <c r="B34" s="2">
        <f>ROUND(SUMIFS(transaction_clean[sale_incentive], transaction_clean[associate_id], A34), 2)</f>
        <v>729.9</v>
      </c>
      <c r="C34" s="2">
        <f>ROUND(SUMIFS(transaction_clean[refund_reversal], transaction_clean[orig_associate_id], A34), 2)</f>
        <v>108</v>
      </c>
      <c r="D34" s="2">
        <f>SUMIFS(transaction_clean[is_new_desk_sale], transaction_clean[associate_id], A34)</f>
        <v>31</v>
      </c>
      <c r="E34" s="2">
        <f>SUMIFS(transaction_clean[is_new_desk_refund], transaction_clean[orig_associate_id], A34)</f>
        <v>4</v>
      </c>
      <c r="F34" s="2">
        <f t="shared" si="0"/>
        <v>27</v>
      </c>
      <c r="G34" s="2">
        <f t="shared" si="1"/>
        <v>75</v>
      </c>
      <c r="H34" s="2">
        <f t="shared" si="2"/>
        <v>696.9</v>
      </c>
    </row>
    <row r="35" spans="1:8">
      <c r="A35" t="str">
        <v>A034</v>
      </c>
      <c r="B35" s="2">
        <f>ROUND(SUMIFS(transaction_clean[sale_incentive], transaction_clean[associate_id], A35), 2)</f>
        <v>844.36</v>
      </c>
      <c r="C35" s="2">
        <f>ROUND(SUMIFS(transaction_clean[refund_reversal], transaction_clean[orig_associate_id], A35), 2)</f>
        <v>108</v>
      </c>
      <c r="D35" s="2">
        <f>SUMIFS(transaction_clean[is_new_desk_sale], transaction_clean[associate_id], A35)</f>
        <v>33</v>
      </c>
      <c r="E35" s="2">
        <f>SUMIFS(transaction_clean[is_new_desk_refund], transaction_clean[orig_associate_id], A35)</f>
        <v>4</v>
      </c>
      <c r="F35" s="2">
        <f t="shared" si="0"/>
        <v>29</v>
      </c>
      <c r="G35" s="2">
        <f t="shared" si="1"/>
        <v>75</v>
      </c>
      <c r="H35" s="2">
        <f t="shared" si="2"/>
        <v>811.36</v>
      </c>
    </row>
    <row r="36" spans="1:8">
      <c r="A36" t="str">
        <v>A035</v>
      </c>
      <c r="B36" s="2">
        <f>ROUND(SUMIFS(transaction_clean[sale_incentive], transaction_clean[associate_id], A36), 2)</f>
        <v>760.66</v>
      </c>
      <c r="C36" s="2">
        <f>ROUND(SUMIFS(transaction_clean[refund_reversal], transaction_clean[orig_associate_id], A36), 2)</f>
        <v>135</v>
      </c>
      <c r="D36" s="2">
        <f>SUMIFS(transaction_clean[is_new_desk_sale], transaction_clean[associate_id], A36)</f>
        <v>33</v>
      </c>
      <c r="E36" s="2">
        <f>SUMIFS(transaction_clean[is_new_desk_refund], transaction_clean[orig_associate_id], A36)</f>
        <v>5</v>
      </c>
      <c r="F36" s="2">
        <f t="shared" si="0"/>
        <v>28</v>
      </c>
      <c r="G36" s="2">
        <f t="shared" si="1"/>
        <v>75</v>
      </c>
      <c r="H36" s="2">
        <f t="shared" si="2"/>
        <v>700.66</v>
      </c>
    </row>
    <row r="37" spans="1:8">
      <c r="A37" t="str">
        <v>A036</v>
      </c>
      <c r="B37" s="2">
        <f>ROUND(SUMIFS(transaction_clean[sale_incentive], transaction_clean[associate_id], A37), 2)</f>
        <v>657.81</v>
      </c>
      <c r="C37" s="2">
        <f>ROUND(SUMIFS(transaction_clean[refund_reversal], transaction_clean[orig_associate_id], A37), 2)</f>
        <v>120.2</v>
      </c>
      <c r="D37" s="2">
        <f>SUMIFS(transaction_clean[is_new_desk_sale], transaction_clean[associate_id], A37)</f>
        <v>33</v>
      </c>
      <c r="E37" s="2">
        <f>SUMIFS(transaction_clean[is_new_desk_refund], transaction_clean[orig_associate_id], A37)</f>
        <v>6</v>
      </c>
      <c r="F37" s="2">
        <f t="shared" si="0"/>
        <v>27</v>
      </c>
      <c r="G37" s="2">
        <f t="shared" si="1"/>
        <v>75</v>
      </c>
      <c r="H37" s="2">
        <f t="shared" si="2"/>
        <v>612.6099999999999</v>
      </c>
    </row>
    <row r="38" spans="1:8">
      <c r="A38" t="str">
        <v>A037</v>
      </c>
      <c r="B38" s="2">
        <f>ROUND(SUMIFS(transaction_clean[sale_incentive], transaction_clean[associate_id], A38), 2)</f>
        <v>637.16</v>
      </c>
      <c r="C38" s="2">
        <f>ROUND(SUMIFS(transaction_clean[refund_reversal], transaction_clean[orig_associate_id], A38), 2)</f>
        <v>53</v>
      </c>
      <c r="D38" s="2">
        <f>SUMIFS(transaction_clean[is_new_desk_sale], transaction_clean[associate_id], A38)</f>
        <v>27</v>
      </c>
      <c r="E38" s="2">
        <f>SUMIFS(transaction_clean[is_new_desk_refund], transaction_clean[orig_associate_id], A38)</f>
        <v>2</v>
      </c>
      <c r="F38" s="2">
        <f t="shared" si="0"/>
        <v>25</v>
      </c>
      <c r="G38" s="2">
        <f t="shared" si="1"/>
        <v>75</v>
      </c>
      <c r="H38" s="2">
        <f t="shared" si="2"/>
        <v>659.16</v>
      </c>
    </row>
    <row r="39" spans="1:8">
      <c r="A39" t="str">
        <v>A038</v>
      </c>
      <c r="B39" s="2">
        <f>ROUND(SUMIFS(transaction_clean[sale_incentive], transaction_clean[associate_id], A39), 2)</f>
        <v>427</v>
      </c>
      <c r="C39" s="2">
        <f>ROUND(SUMIFS(transaction_clean[refund_reversal], transaction_clean[orig_associate_id], A39), 2)</f>
        <v>9.6</v>
      </c>
      <c r="D39" s="2">
        <f>SUMIFS(transaction_clean[is_new_desk_sale], transaction_clean[associate_id], A39)</f>
        <v>18</v>
      </c>
      <c r="E39" s="2">
        <f>SUMIFS(transaction_clean[is_new_desk_refund], transaction_clean[orig_associate_id], A39)</f>
        <v>1</v>
      </c>
      <c r="F39" s="2">
        <f t="shared" si="0"/>
        <v>17</v>
      </c>
      <c r="G39" s="2">
        <f t="shared" si="1"/>
        <v>0</v>
      </c>
      <c r="H39" s="2">
        <f t="shared" si="2"/>
        <v>417.4</v>
      </c>
    </row>
    <row r="40" spans="1:8">
      <c r="A40" t="str">
        <v>A039</v>
      </c>
      <c r="B40" s="2">
        <f>ROUND(SUMIFS(transaction_clean[sale_incentive], transaction_clean[associate_id], A40), 2)</f>
        <v>759.26</v>
      </c>
      <c r="C40" s="2">
        <f>ROUND(SUMIFS(transaction_clean[refund_reversal], transaction_clean[orig_associate_id], A40), 2)</f>
        <v>40</v>
      </c>
      <c r="D40" s="2">
        <f>SUMIFS(transaction_clean[is_new_desk_sale], transaction_clean[associate_id], A40)</f>
        <v>35</v>
      </c>
      <c r="E40" s="2">
        <f>SUMIFS(transaction_clean[is_new_desk_refund], transaction_clean[orig_associate_id], A40)</f>
        <v>2</v>
      </c>
      <c r="F40" s="2">
        <f t="shared" si="0"/>
        <v>33</v>
      </c>
      <c r="G40" s="2">
        <f t="shared" si="1"/>
        <v>75</v>
      </c>
      <c r="H40" s="2">
        <f t="shared" si="2"/>
        <v>794.26</v>
      </c>
    </row>
    <row r="41" spans="1:8">
      <c r="A41" t="str">
        <v>A040</v>
      </c>
      <c r="B41" s="2">
        <f>ROUND(SUMIFS(transaction_clean[sale_incentive], transaction_clean[associate_id], A41), 2)</f>
        <v>562.1</v>
      </c>
      <c r="C41" s="2">
        <f>ROUND(SUMIFS(transaction_clean[refund_reversal], transaction_clean[orig_associate_id], A41), 2)</f>
        <v>6</v>
      </c>
      <c r="D41" s="2">
        <f>SUMIFS(transaction_clean[is_new_desk_sale], transaction_clean[associate_id], A41)</f>
        <v>26</v>
      </c>
      <c r="E41" s="2">
        <f>SUMIFS(transaction_clean[is_new_desk_refund], transaction_clean[orig_associate_id], A41)</f>
        <v>0</v>
      </c>
      <c r="F41" s="2">
        <f t="shared" si="0"/>
        <v>26</v>
      </c>
      <c r="G41" s="2">
        <f t="shared" si="1"/>
        <v>75</v>
      </c>
      <c r="H41" s="2">
        <f t="shared" si="2"/>
        <v>631.1</v>
      </c>
    </row>
    <row r="42" spans="1:8">
      <c r="A42" t="str">
        <v>A041</v>
      </c>
      <c r="B42" s="2">
        <f>ROUND(SUMIFS(transaction_clean[sale_incentive], transaction_clean[associate_id], A42), 2)</f>
        <v>597</v>
      </c>
      <c r="C42" s="2">
        <f>ROUND(SUMIFS(transaction_clean[refund_reversal], transaction_clean[orig_associate_id], A42), 2)</f>
        <v>0</v>
      </c>
      <c r="D42" s="2">
        <f>SUMIFS(transaction_clean[is_new_desk_sale], transaction_clean[associate_id], A42)</f>
        <v>26</v>
      </c>
      <c r="E42" s="2">
        <f>SUMIFS(transaction_clean[is_new_desk_refund], transaction_clean[orig_associate_id], A42)</f>
        <v>0</v>
      </c>
      <c r="F42" s="2">
        <f t="shared" si="0"/>
        <v>26</v>
      </c>
      <c r="G42" s="2">
        <f t="shared" si="1"/>
        <v>75</v>
      </c>
      <c r="H42" s="2">
        <f t="shared" si="2"/>
        <v>672</v>
      </c>
    </row>
    <row r="43" spans="1:8">
      <c r="A43" t="str">
        <v>A042</v>
      </c>
      <c r="B43" s="2">
        <f>ROUND(SUMIFS(transaction_clean[sale_incentive], transaction_clean[associate_id], A43), 2)</f>
        <v>702.75</v>
      </c>
      <c r="C43" s="2">
        <f>ROUND(SUMIFS(transaction_clean[refund_reversal], transaction_clean[orig_associate_id], A43), 2)</f>
        <v>20</v>
      </c>
      <c r="D43" s="2">
        <f>SUMIFS(transaction_clean[is_new_desk_sale], transaction_clean[associate_id], A43)</f>
        <v>29</v>
      </c>
      <c r="E43" s="2">
        <f>SUMIFS(transaction_clean[is_new_desk_refund], transaction_clean[orig_associate_id], A43)</f>
        <v>1</v>
      </c>
      <c r="F43" s="2">
        <f t="shared" si="0"/>
        <v>28</v>
      </c>
      <c r="G43" s="2">
        <f t="shared" si="1"/>
        <v>75</v>
      </c>
      <c r="H43" s="2">
        <f t="shared" si="2"/>
        <v>757.75</v>
      </c>
    </row>
    <row r="44" spans="1:8">
      <c r="A44" t="str">
        <v>A043</v>
      </c>
      <c r="B44" s="2">
        <f>ROUND(SUMIFS(transaction_clean[sale_incentive], transaction_clean[associate_id], A44), 2)</f>
        <v>635.28</v>
      </c>
      <c r="C44" s="2">
        <f>ROUND(SUMIFS(transaction_clean[refund_reversal], transaction_clean[orig_associate_id], A44), 2)</f>
        <v>9.6</v>
      </c>
      <c r="D44" s="2">
        <f>SUMIFS(transaction_clean[is_new_desk_sale], transaction_clean[associate_id], A44)</f>
        <v>27</v>
      </c>
      <c r="E44" s="2">
        <f>SUMIFS(transaction_clean[is_new_desk_refund], transaction_clean[orig_associate_id], A44)</f>
        <v>1</v>
      </c>
      <c r="F44" s="2">
        <f t="shared" si="0"/>
        <v>26</v>
      </c>
      <c r="G44" s="2">
        <f t="shared" si="1"/>
        <v>75</v>
      </c>
      <c r="H44" s="2">
        <f t="shared" si="2"/>
        <v>700.68</v>
      </c>
    </row>
    <row r="45" spans="1:8">
      <c r="A45" t="str">
        <v>A044</v>
      </c>
      <c r="B45" s="2">
        <f>ROUND(SUMIFS(transaction_clean[sale_incentive], transaction_clean[associate_id], A45), 2)</f>
        <v>619.48</v>
      </c>
      <c r="C45" s="2">
        <f>ROUND(SUMIFS(transaction_clean[refund_reversal], transaction_clean[orig_associate_id], A45), 2)</f>
        <v>39.06</v>
      </c>
      <c r="D45" s="2">
        <f>SUMIFS(transaction_clean[is_new_desk_sale], transaction_clean[associate_id], A45)</f>
        <v>24</v>
      </c>
      <c r="E45" s="2">
        <f>SUMIFS(transaction_clean[is_new_desk_refund], transaction_clean[orig_associate_id], A45)</f>
        <v>1</v>
      </c>
      <c r="F45" s="2">
        <f t="shared" si="0"/>
        <v>23</v>
      </c>
      <c r="G45" s="2">
        <f t="shared" si="1"/>
        <v>0</v>
      </c>
      <c r="H45" s="2">
        <f t="shared" si="2"/>
        <v>580.42000000000007</v>
      </c>
    </row>
    <row r="46" spans="1:8">
      <c r="A46" t="str">
        <v>A045</v>
      </c>
      <c r="B46" s="2">
        <f>ROUND(SUMIFS(transaction_clean[sale_incentive], transaction_clean[associate_id], A46), 2)</f>
        <v>743.17</v>
      </c>
      <c r="C46" s="2">
        <f>ROUND(SUMIFS(transaction_clean[refund_reversal], transaction_clean[orig_associate_id], A46), 2)</f>
        <v>9.6</v>
      </c>
      <c r="D46" s="2">
        <f>SUMIFS(transaction_clean[is_new_desk_sale], transaction_clean[associate_id], A46)</f>
        <v>31</v>
      </c>
      <c r="E46" s="2">
        <f>SUMIFS(transaction_clean[is_new_desk_refund], transaction_clean[orig_associate_id], A46)</f>
        <v>1</v>
      </c>
      <c r="F46" s="2">
        <f t="shared" si="0"/>
        <v>30</v>
      </c>
      <c r="G46" s="2">
        <f t="shared" si="1"/>
        <v>75</v>
      </c>
      <c r="H46" s="2">
        <f t="shared" si="2"/>
        <v>808.56999999999994</v>
      </c>
    </row>
    <row r="47" spans="1:8">
      <c r="A47" t="str">
        <v>A046</v>
      </c>
      <c r="B47" s="2">
        <f>ROUND(SUMIFS(transaction_clean[sale_incentive], transaction_clean[associate_id], A47), 2)</f>
        <v>663.46</v>
      </c>
      <c r="C47" s="2">
        <f>ROUND(SUMIFS(transaction_clean[refund_reversal], transaction_clean[orig_associate_id], A47), 2)</f>
        <v>9.6</v>
      </c>
      <c r="D47" s="2">
        <f>SUMIFS(transaction_clean[is_new_desk_sale], transaction_clean[associate_id], A47)</f>
        <v>29</v>
      </c>
      <c r="E47" s="2">
        <f>SUMIFS(transaction_clean[is_new_desk_refund], transaction_clean[orig_associate_id], A47)</f>
        <v>1</v>
      </c>
      <c r="F47" s="2">
        <f t="shared" si="0"/>
        <v>28</v>
      </c>
      <c r="G47" s="2">
        <f t="shared" si="1"/>
        <v>75</v>
      </c>
      <c r="H47" s="2">
        <f t="shared" si="2"/>
        <v>728.86</v>
      </c>
    </row>
    <row r="48" spans="1:8">
      <c r="A48" t="str">
        <v>A047</v>
      </c>
      <c r="B48" s="2">
        <f>ROUND(SUMIFS(transaction_clean[sale_incentive], transaction_clean[associate_id], A48), 2)</f>
        <v>675.11</v>
      </c>
      <c r="C48" s="2">
        <f>ROUND(SUMIFS(transaction_clean[refund_reversal], transaction_clean[orig_associate_id], A48), 2)</f>
        <v>9.6</v>
      </c>
      <c r="D48" s="2">
        <f>SUMIFS(transaction_clean[is_new_desk_sale], transaction_clean[associate_id], A48)</f>
        <v>29</v>
      </c>
      <c r="E48" s="2">
        <f>SUMIFS(transaction_clean[is_new_desk_refund], transaction_clean[orig_associate_id], A48)</f>
        <v>1</v>
      </c>
      <c r="F48" s="2">
        <f t="shared" si="0"/>
        <v>28</v>
      </c>
      <c r="G48" s="2">
        <f t="shared" si="1"/>
        <v>75</v>
      </c>
      <c r="H48" s="2">
        <f t="shared" si="2"/>
        <v>740.51</v>
      </c>
    </row>
    <row r="49" spans="1:8">
      <c r="A49" t="str">
        <v>A048</v>
      </c>
      <c r="B49" s="2">
        <f>ROUND(SUMIFS(transaction_clean[sale_incentive], transaction_clean[associate_id], A49), 2)</f>
        <v>472.56</v>
      </c>
      <c r="C49" s="2">
        <f>ROUND(SUMIFS(transaction_clean[refund_reversal], transaction_clean[orig_associate_id], A49), 2)</f>
        <v>0</v>
      </c>
      <c r="D49" s="2">
        <f>SUMIFS(transaction_clean[is_new_desk_sale], transaction_clean[associate_id], A49)</f>
        <v>18</v>
      </c>
      <c r="E49" s="2">
        <f>SUMIFS(transaction_clean[is_new_desk_refund], transaction_clean[orig_associate_id], A49)</f>
        <v>0</v>
      </c>
      <c r="F49" s="2">
        <f t="shared" si="0"/>
        <v>18</v>
      </c>
      <c r="G49" s="2">
        <f t="shared" si="1"/>
        <v>0</v>
      </c>
      <c r="H49" s="2">
        <f>MAX(0, B49-C49+G49)</f>
        <v>472.56</v>
      </c>
    </row>
    <row r="50" spans="1:8">
      <c r="A50" s="7" t="s">
        <v>2251</v>
      </c>
      <c r="B50" s="8">
        <f t="shared" ref="B50:G50" si="3">SUM(B2:B49)</f>
        <v>32990.819999999992</v>
      </c>
      <c r="C50" s="8">
        <f t="shared" si="3"/>
        <v>2310.6599999999994</v>
      </c>
      <c r="D50" s="8">
        <f t="shared" si="3"/>
        <v>1412</v>
      </c>
      <c r="E50" s="8">
        <f t="shared" si="3"/>
        <v>96</v>
      </c>
      <c r="F50" s="8">
        <f t="shared" si="3"/>
        <v>1316</v>
      </c>
      <c r="G50" s="8">
        <f t="shared" si="3"/>
        <v>2775</v>
      </c>
      <c r="H50" s="9">
        <f>MAX(0, B50-C50+G50)</f>
        <v>33455.159999999989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4DF1-EC37-43EF-A286-5A726655C79F}">
  <dimension ref="A3:F57"/>
  <sheetViews>
    <sheetView tabSelected="1" topLeftCell="B1" workbookViewId="0">
      <selection activeCell="F4" sqref="F4"/>
    </sheetView>
  </sheetViews>
  <sheetFormatPr defaultRowHeight="13.8"/>
  <cols>
    <col min="1" max="1" width="24.296875" bestFit="1" customWidth="1"/>
    <col min="2" max="2" width="16.09765625" bestFit="1" customWidth="1"/>
    <col min="3" max="3" width="9.3984375" customWidth="1"/>
    <col min="4" max="4" width="10.296875" customWidth="1"/>
    <col min="5" max="5" width="47.8984375" bestFit="1" customWidth="1"/>
    <col min="6" max="11" width="10.09765625" bestFit="1" customWidth="1"/>
    <col min="12" max="12" width="11.8984375" bestFit="1" customWidth="1"/>
    <col min="13" max="30" width="10.09765625" bestFit="1" customWidth="1"/>
    <col min="31" max="31" width="11" bestFit="1" customWidth="1"/>
  </cols>
  <sheetData>
    <row r="3" spans="1:5">
      <c r="A3" s="10" t="s">
        <v>2253</v>
      </c>
      <c r="B3" s="10" t="s">
        <v>2254</v>
      </c>
    </row>
    <row r="4" spans="1:5">
      <c r="A4" s="10" t="s">
        <v>2256</v>
      </c>
      <c r="B4" t="s">
        <v>402</v>
      </c>
      <c r="C4" t="s">
        <v>16</v>
      </c>
      <c r="E4" s="15" t="s">
        <v>2257</v>
      </c>
    </row>
    <row r="5" spans="1:5">
      <c r="A5" s="11" t="s">
        <v>105</v>
      </c>
      <c r="B5">
        <v>16</v>
      </c>
      <c r="C5">
        <v>480</v>
      </c>
      <c r="E5" s="15">
        <f>GETPIVOTDATA("transaction_id",$A$3,"venue","Garden Wing","event_type","REFUND","offer_code","MIDYEAR-CIRCLE")/GETPIVOTDATA("transaction_id",$A$3,"venue","Garden Wing","event_type","SALE","offer_code","MIDYEAR-CIRCLE")</f>
        <v>0.75</v>
      </c>
    </row>
    <row r="6" spans="1:5">
      <c r="A6" s="12" t="s">
        <v>29</v>
      </c>
      <c r="B6">
        <v>2</v>
      </c>
      <c r="C6">
        <v>67</v>
      </c>
      <c r="E6" s="15" t="s">
        <v>2258</v>
      </c>
    </row>
    <row r="7" spans="1:5">
      <c r="A7" s="12" t="s">
        <v>2255</v>
      </c>
      <c r="B7">
        <v>14</v>
      </c>
      <c r="C7">
        <v>413</v>
      </c>
      <c r="E7" s="15">
        <f>GETPIVOTDATA("transaction_id",$A$3,"venue","Garden Wing","event_type","REFUND")/GETPIVOTDATA("transaction_id",$A$3,"event_type","REFUND")</f>
        <v>0.61739130434782608</v>
      </c>
    </row>
    <row r="8" spans="1:5">
      <c r="A8" s="11" t="s">
        <v>78</v>
      </c>
      <c r="B8">
        <v>71</v>
      </c>
      <c r="C8">
        <v>559</v>
      </c>
    </row>
    <row r="9" spans="1:5">
      <c r="A9" s="14" t="s">
        <v>1270</v>
      </c>
      <c r="B9" s="13">
        <v>57</v>
      </c>
      <c r="C9" s="13">
        <v>76</v>
      </c>
    </row>
    <row r="10" spans="1:5">
      <c r="A10" s="12" t="s">
        <v>29</v>
      </c>
      <c r="B10">
        <v>1</v>
      </c>
      <c r="C10">
        <v>84</v>
      </c>
    </row>
    <row r="11" spans="1:5">
      <c r="A11" s="12" t="s">
        <v>2255</v>
      </c>
      <c r="B11">
        <v>13</v>
      </c>
      <c r="C11">
        <v>399</v>
      </c>
      <c r="E11" s="2" t="s">
        <v>2267</v>
      </c>
    </row>
    <row r="12" spans="1:5">
      <c r="A12" s="11" t="s">
        <v>14</v>
      </c>
      <c r="B12">
        <v>10</v>
      </c>
      <c r="C12">
        <v>492</v>
      </c>
      <c r="E12" s="2">
        <f>225*0.12</f>
        <v>27</v>
      </c>
    </row>
    <row r="13" spans="1:5">
      <c r="A13" s="12" t="s">
        <v>29</v>
      </c>
      <c r="B13">
        <v>1</v>
      </c>
      <c r="C13">
        <v>85</v>
      </c>
      <c r="E13" s="2" t="s">
        <v>2268</v>
      </c>
    </row>
    <row r="14" spans="1:5">
      <c r="A14" s="12" t="s">
        <v>2255</v>
      </c>
      <c r="B14">
        <v>9</v>
      </c>
      <c r="C14">
        <v>407</v>
      </c>
      <c r="E14" s="2">
        <f>GETPIVOTDATA("transaction_id",$A$3,"venue","Garden Wing","event_type","SALE","offer_code","MIDYEAR-CIRCLE")*E12</f>
        <v>2052</v>
      </c>
    </row>
    <row r="15" spans="1:5">
      <c r="A15" s="11" t="s">
        <v>47</v>
      </c>
      <c r="B15">
        <v>18</v>
      </c>
      <c r="C15">
        <v>475</v>
      </c>
      <c r="E15" s="2" t="s">
        <v>2269</v>
      </c>
    </row>
    <row r="16" spans="1:5">
      <c r="A16" s="12" t="s">
        <v>29</v>
      </c>
      <c r="C16">
        <v>77</v>
      </c>
      <c r="E16" s="2">
        <f>GETPIVOTDATA("transaction_id",$A$3,"venue","Garden Wing","event_type","REFUND","offer_code","MIDYEAR-CIRCLE")*E12</f>
        <v>1539</v>
      </c>
    </row>
    <row r="17" spans="1:6">
      <c r="A17" s="12" t="s">
        <v>2255</v>
      </c>
      <c r="B17">
        <v>18</v>
      </c>
      <c r="C17">
        <v>398</v>
      </c>
      <c r="E17" s="2" t="s">
        <v>2270</v>
      </c>
    </row>
    <row r="18" spans="1:6">
      <c r="A18" s="11" t="s">
        <v>2252</v>
      </c>
      <c r="B18">
        <v>115</v>
      </c>
      <c r="C18">
        <v>2006</v>
      </c>
      <c r="E18" s="2">
        <f>E14-E16</f>
        <v>513</v>
      </c>
    </row>
    <row r="22" spans="1:6">
      <c r="F22" t="s">
        <v>2266</v>
      </c>
    </row>
    <row r="25" spans="1:6">
      <c r="A25" s="10" t="s">
        <v>2259</v>
      </c>
      <c r="B25" s="10" t="s">
        <v>2254</v>
      </c>
      <c r="E25" s="16" t="s">
        <v>2263</v>
      </c>
    </row>
    <row r="26" spans="1:6">
      <c r="A26" s="10" t="s">
        <v>2260</v>
      </c>
      <c r="B26" t="s">
        <v>78</v>
      </c>
      <c r="E26" t="s">
        <v>2264</v>
      </c>
    </row>
    <row r="27" spans="1:6">
      <c r="A27" s="11" t="s">
        <v>13</v>
      </c>
      <c r="B27" s="4">
        <v>462</v>
      </c>
      <c r="E27" s="4">
        <f>AVERAGE(B44:B47)</f>
        <v>433.75</v>
      </c>
    </row>
    <row r="28" spans="1:6">
      <c r="A28" s="11" t="s">
        <v>127</v>
      </c>
      <c r="B28" s="4">
        <v>505</v>
      </c>
      <c r="E28" t="s">
        <v>2265</v>
      </c>
    </row>
    <row r="29" spans="1:6">
      <c r="A29" s="11" t="s">
        <v>203</v>
      </c>
      <c r="B29" s="4">
        <v>455</v>
      </c>
      <c r="E29" s="4">
        <f>AVERAGE(B50:B54)</f>
        <v>474</v>
      </c>
    </row>
    <row r="30" spans="1:6">
      <c r="A30" s="11" t="s">
        <v>272</v>
      </c>
      <c r="B30" s="4">
        <v>469</v>
      </c>
      <c r="E30" s="4" t="s">
        <v>2262</v>
      </c>
    </row>
    <row r="31" spans="1:6">
      <c r="A31" s="11" t="s">
        <v>341</v>
      </c>
      <c r="B31" s="4">
        <v>481</v>
      </c>
      <c r="E31" s="4">
        <f>AVERAGE(B44:B54)</f>
        <v>453.72727272727275</v>
      </c>
    </row>
    <row r="32" spans="1:6">
      <c r="A32" s="11" t="s">
        <v>404</v>
      </c>
      <c r="B32" s="4">
        <v>443</v>
      </c>
      <c r="E32" t="s">
        <v>2261</v>
      </c>
    </row>
    <row r="33" spans="1:5">
      <c r="A33" s="11" t="s">
        <v>469</v>
      </c>
      <c r="B33" s="4">
        <v>435</v>
      </c>
      <c r="E33">
        <f>GETPIVOTDATA("admissions",$A$25,"venue","Garden Wing")</f>
        <v>460.5</v>
      </c>
    </row>
    <row r="34" spans="1:5">
      <c r="A34" s="11" t="s">
        <v>538</v>
      </c>
      <c r="B34" s="4">
        <v>426</v>
      </c>
    </row>
    <row r="35" spans="1:5">
      <c r="A35" s="11" t="s">
        <v>602</v>
      </c>
      <c r="B35" s="4">
        <v>482</v>
      </c>
    </row>
    <row r="36" spans="1:5">
      <c r="A36" s="11" t="s">
        <v>676</v>
      </c>
      <c r="B36" s="4">
        <v>455</v>
      </c>
    </row>
    <row r="37" spans="1:5">
      <c r="A37" s="11" t="s">
        <v>737</v>
      </c>
      <c r="B37" s="4">
        <v>500</v>
      </c>
    </row>
    <row r="38" spans="1:5">
      <c r="A38" s="11" t="s">
        <v>804</v>
      </c>
      <c r="B38" s="4">
        <v>438</v>
      </c>
    </row>
    <row r="39" spans="1:5">
      <c r="A39" s="11" t="s">
        <v>877</v>
      </c>
      <c r="B39" s="4">
        <v>478</v>
      </c>
    </row>
    <row r="40" spans="1:5">
      <c r="A40" s="11" t="s">
        <v>946</v>
      </c>
      <c r="B40" s="4">
        <v>454</v>
      </c>
    </row>
    <row r="41" spans="1:5">
      <c r="A41" s="11" t="s">
        <v>1013</v>
      </c>
      <c r="B41" s="4">
        <v>482</v>
      </c>
    </row>
    <row r="42" spans="1:5">
      <c r="A42" s="11" t="s">
        <v>1076</v>
      </c>
      <c r="B42" s="4">
        <v>461</v>
      </c>
    </row>
    <row r="43" spans="1:5">
      <c r="A43" s="11" t="s">
        <v>1145</v>
      </c>
      <c r="B43" s="4">
        <v>449</v>
      </c>
    </row>
    <row r="44" spans="1:5">
      <c r="A44" s="11" t="s">
        <v>1217</v>
      </c>
      <c r="B44" s="4">
        <v>430</v>
      </c>
    </row>
    <row r="45" spans="1:5">
      <c r="A45" s="11" t="s">
        <v>1313</v>
      </c>
      <c r="B45" s="4">
        <v>458</v>
      </c>
    </row>
    <row r="46" spans="1:5">
      <c r="A46" s="11" t="s">
        <v>1399</v>
      </c>
      <c r="B46" s="4">
        <v>423</v>
      </c>
    </row>
    <row r="47" spans="1:5">
      <c r="A47" s="11" t="s">
        <v>1483</v>
      </c>
      <c r="B47" s="4">
        <v>424</v>
      </c>
    </row>
    <row r="48" spans="1:5">
      <c r="A48" s="11" t="s">
        <v>1566</v>
      </c>
      <c r="B48" s="4">
        <v>455</v>
      </c>
    </row>
    <row r="49" spans="1:2">
      <c r="A49" s="11" t="s">
        <v>1639</v>
      </c>
      <c r="B49" s="4">
        <v>431</v>
      </c>
    </row>
    <row r="50" spans="1:2">
      <c r="A50" s="11" t="s">
        <v>1704</v>
      </c>
      <c r="B50" s="4">
        <v>515</v>
      </c>
    </row>
    <row r="51" spans="1:2">
      <c r="A51" s="11" t="s">
        <v>1774</v>
      </c>
      <c r="B51" s="4">
        <v>447</v>
      </c>
    </row>
    <row r="52" spans="1:2">
      <c r="A52" s="11" t="s">
        <v>1859</v>
      </c>
      <c r="B52" s="4">
        <v>433</v>
      </c>
    </row>
    <row r="53" spans="1:2">
      <c r="A53" s="11" t="s">
        <v>1947</v>
      </c>
      <c r="B53" s="4">
        <v>494</v>
      </c>
    </row>
    <row r="54" spans="1:2">
      <c r="A54" s="11" t="s">
        <v>2026</v>
      </c>
      <c r="B54" s="4">
        <v>481</v>
      </c>
    </row>
    <row r="55" spans="1:2">
      <c r="A55" s="11" t="s">
        <v>2099</v>
      </c>
      <c r="B55" s="4">
        <v>506</v>
      </c>
    </row>
    <row r="56" spans="1:2">
      <c r="A56" s="11" t="s">
        <v>2162</v>
      </c>
      <c r="B56" s="4">
        <v>443</v>
      </c>
    </row>
    <row r="57" spans="1:2">
      <c r="A57" s="11" t="s">
        <v>2252</v>
      </c>
      <c r="B57" s="4">
        <v>460.5</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E6F9F-0425-4F89-B602-66416B15FE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vt:lpstr>
      <vt:lpstr>Admissions</vt:lpstr>
      <vt:lpstr>Exception</vt:lpstr>
      <vt:lpstr>Clean_Data</vt:lpstr>
      <vt:lpstr>Payout_Summary</vt:lpstr>
      <vt:lpstr>Anomaly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Kiel Andrew Esta</dc:creator>
  <cp:lastModifiedBy>Kiel Andrew Esta</cp:lastModifiedBy>
  <dcterms:created xsi:type="dcterms:W3CDTF">2026-10-09T17:22:00Z</dcterms:created>
  <dcterms:modified xsi:type="dcterms:W3CDTF">2026-10-11T11:33:49Z</dcterms:modified>
</cp:coreProperties>
</file>